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ank\F1-pole-predictor\data\"/>
    </mc:Choice>
  </mc:AlternateContent>
  <xr:revisionPtr revIDLastSave="0" documentId="13_ncr:1_{F68F6C9F-69CF-48B9-A7F0-C022E9AEEC71}" xr6:coauthVersionLast="47" xr6:coauthVersionMax="47" xr10:uidLastSave="{00000000-0000-0000-0000-000000000000}"/>
  <bookViews>
    <workbookView xWindow="3960" yWindow="2844" windowWidth="11124" windowHeight="20280" tabRatio="803" xr2:uid="{180F4083-D0CF-442F-8840-C1C1F906FB2A}"/>
  </bookViews>
  <sheets>
    <sheet name="Race Results" sheetId="5" r:id="rId1"/>
    <sheet name="DriverNameMapping" sheetId="7" r:id="rId2"/>
    <sheet name="Todo" sheetId="8" state="hidden" r:id="rId3"/>
    <sheet name="Stats" sheetId="15" state="hidden" r:id="rId4"/>
    <sheet name="Guesses" sheetId="2" state="hidden" r:id="rId5"/>
    <sheet name="SS" sheetId="4" state="hidden" r:id="rId6"/>
  </sheets>
  <definedNames>
    <definedName name="_xlnm._FilterDatabase" localSheetId="4" hidden="1">Guesses!$A$1:$G$838</definedName>
    <definedName name="ExternalData_1" localSheetId="0" hidden="1">'Race Results'!$A$1:$D$21</definedName>
    <definedName name="max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5" l="1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Q5" i="15"/>
  <c r="R5" i="15"/>
  <c r="S5" i="15"/>
  <c r="T5" i="15"/>
  <c r="U5" i="15"/>
  <c r="V5" i="15"/>
  <c r="W5" i="15"/>
  <c r="Q6" i="15"/>
  <c r="R6" i="15"/>
  <c r="S6" i="15"/>
  <c r="T6" i="15"/>
  <c r="U6" i="15"/>
  <c r="V6" i="15"/>
  <c r="W6" i="15"/>
  <c r="Q7" i="15"/>
  <c r="R7" i="15"/>
  <c r="S7" i="15"/>
  <c r="T7" i="15"/>
  <c r="U7" i="15"/>
  <c r="V7" i="15"/>
  <c r="W7" i="15"/>
  <c r="Q8" i="15"/>
  <c r="R8" i="15"/>
  <c r="S8" i="15"/>
  <c r="T8" i="15"/>
  <c r="U8" i="15"/>
  <c r="V8" i="15"/>
  <c r="W8" i="15"/>
  <c r="Q9" i="15"/>
  <c r="R9" i="15"/>
  <c r="S9" i="15"/>
  <c r="T9" i="15"/>
  <c r="U9" i="15"/>
  <c r="V9" i="15"/>
  <c r="W9" i="15"/>
  <c r="Q10" i="15"/>
  <c r="R10" i="15"/>
  <c r="S10" i="15"/>
  <c r="T10" i="15"/>
  <c r="U10" i="15"/>
  <c r="V10" i="15"/>
  <c r="W10" i="15"/>
  <c r="Q11" i="15"/>
  <c r="R11" i="15"/>
  <c r="S11" i="15"/>
  <c r="T11" i="15"/>
  <c r="U11" i="15"/>
  <c r="V11" i="15"/>
  <c r="W11" i="15"/>
  <c r="Q12" i="15"/>
  <c r="R12" i="15"/>
  <c r="S12" i="15"/>
  <c r="T12" i="15"/>
  <c r="U12" i="15"/>
  <c r="V12" i="15"/>
  <c r="W12" i="15"/>
  <c r="Q13" i="15"/>
  <c r="R13" i="15"/>
  <c r="S13" i="15"/>
  <c r="T13" i="15"/>
  <c r="U13" i="15"/>
  <c r="V13" i="15"/>
  <c r="W13" i="15"/>
  <c r="Q14" i="15"/>
  <c r="R14" i="15"/>
  <c r="S14" i="15"/>
  <c r="T14" i="15"/>
  <c r="U14" i="15"/>
  <c r="V14" i="15"/>
  <c r="W14" i="15"/>
  <c r="Q15" i="15"/>
  <c r="R15" i="15"/>
  <c r="S15" i="15"/>
  <c r="T15" i="15"/>
  <c r="U15" i="15"/>
  <c r="V15" i="15"/>
  <c r="W15" i="15"/>
  <c r="Q16" i="15"/>
  <c r="R16" i="15"/>
  <c r="S16" i="15"/>
  <c r="T16" i="15"/>
  <c r="U16" i="15"/>
  <c r="V16" i="15"/>
  <c r="W16" i="15"/>
  <c r="Q17" i="15"/>
  <c r="R17" i="15"/>
  <c r="S17" i="15"/>
  <c r="T17" i="15"/>
  <c r="U17" i="15"/>
  <c r="V17" i="15"/>
  <c r="W17" i="15"/>
  <c r="Q18" i="15"/>
  <c r="R18" i="15"/>
  <c r="S18" i="15"/>
  <c r="T18" i="15"/>
  <c r="U18" i="15"/>
  <c r="V18" i="15"/>
  <c r="W18" i="15"/>
  <c r="Q19" i="15"/>
  <c r="R19" i="15"/>
  <c r="S19" i="15"/>
  <c r="T19" i="15"/>
  <c r="U19" i="15"/>
  <c r="V19" i="15"/>
  <c r="W19" i="15"/>
  <c r="Q20" i="15"/>
  <c r="R20" i="15"/>
  <c r="S20" i="15"/>
  <c r="T20" i="15"/>
  <c r="U20" i="15"/>
  <c r="V20" i="15"/>
  <c r="W20" i="15"/>
  <c r="Q21" i="15"/>
  <c r="R21" i="15"/>
  <c r="S21" i="15"/>
  <c r="T21" i="15"/>
  <c r="U21" i="15"/>
  <c r="V21" i="15"/>
  <c r="W21" i="15"/>
  <c r="Q22" i="15"/>
  <c r="R22" i="15"/>
  <c r="S22" i="15"/>
  <c r="T22" i="15"/>
  <c r="U22" i="15"/>
  <c r="V22" i="15"/>
  <c r="W22" i="15"/>
  <c r="Q23" i="15"/>
  <c r="R23" i="15"/>
  <c r="S23" i="15"/>
  <c r="T23" i="15"/>
  <c r="U23" i="15"/>
  <c r="V23" i="15"/>
  <c r="W23" i="15"/>
  <c r="Q24" i="15"/>
  <c r="R24" i="15"/>
  <c r="S24" i="15"/>
  <c r="T24" i="15"/>
  <c r="U24" i="15"/>
  <c r="V24" i="15"/>
  <c r="W24" i="15"/>
  <c r="Q25" i="15"/>
  <c r="R25" i="15"/>
  <c r="S25" i="15"/>
  <c r="T25" i="15"/>
  <c r="U25" i="15"/>
  <c r="V25" i="15"/>
  <c r="W25" i="15"/>
  <c r="Q26" i="15"/>
  <c r="R26" i="15"/>
  <c r="S26" i="15"/>
  <c r="T26" i="15"/>
  <c r="U26" i="15"/>
  <c r="V26" i="15"/>
  <c r="W26" i="15"/>
  <c r="Q27" i="15"/>
  <c r="R27" i="15"/>
  <c r="S27" i="15"/>
  <c r="T27" i="15"/>
  <c r="U27" i="15"/>
  <c r="V27" i="15"/>
  <c r="W27" i="15"/>
  <c r="Q28" i="15"/>
  <c r="R28" i="15"/>
  <c r="S28" i="15"/>
  <c r="T28" i="15"/>
  <c r="U28" i="15"/>
  <c r="V28" i="15"/>
  <c r="W28" i="15"/>
  <c r="Q29" i="15"/>
  <c r="R29" i="15"/>
  <c r="S29" i="15"/>
  <c r="T29" i="15"/>
  <c r="U29" i="15"/>
  <c r="V29" i="15"/>
  <c r="W29" i="15"/>
  <c r="Q4" i="15"/>
  <c r="R4" i="15"/>
  <c r="S4" i="15"/>
  <c r="T4" i="15"/>
  <c r="U4" i="15"/>
  <c r="V4" i="15"/>
  <c r="W4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4" i="15"/>
  <c r="K4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J4" i="15"/>
  <c r="L4" i="15"/>
  <c r="G3" i="5"/>
  <c r="J3" i="5" s="1"/>
  <c r="G4" i="5"/>
  <c r="K4" i="5" s="1"/>
  <c r="G2" i="5"/>
  <c r="J2" i="5" s="1"/>
  <c r="G5" i="5"/>
  <c r="J5" i="5" s="1"/>
  <c r="G6" i="5"/>
  <c r="J6" i="5" s="1"/>
  <c r="G7" i="5"/>
  <c r="J7" i="5" s="1"/>
  <c r="G8" i="5"/>
  <c r="J8" i="5" s="1"/>
  <c r="G9" i="5"/>
  <c r="J9" i="5" s="1"/>
  <c r="G10" i="5"/>
  <c r="J10" i="5" s="1"/>
  <c r="G11" i="5"/>
  <c r="J11" i="5" s="1"/>
  <c r="G12" i="5"/>
  <c r="K12" i="5" s="1"/>
  <c r="G13" i="5"/>
  <c r="J13" i="5" s="1"/>
  <c r="G14" i="5"/>
  <c r="G15" i="5"/>
  <c r="G16" i="5"/>
  <c r="G17" i="5"/>
  <c r="H17" i="5" s="1"/>
  <c r="L17" i="5" s="1" a="1"/>
  <c r="L17" i="5" s="1"/>
  <c r="G18" i="5"/>
  <c r="H18" i="5" s="1"/>
  <c r="L18" i="5" s="1" a="1"/>
  <c r="L18" i="5" s="1"/>
  <c r="G19" i="5"/>
  <c r="H19" i="5" s="1"/>
  <c r="L19" i="5" s="1" a="1"/>
  <c r="L19" i="5" s="1"/>
  <c r="G20" i="5"/>
  <c r="G21" i="5"/>
  <c r="K21" i="5" s="1"/>
  <c r="H3" i="5"/>
  <c r="L3" i="5" s="1" a="1"/>
  <c r="L3" i="5" s="1"/>
  <c r="H14" i="5"/>
  <c r="L14" i="5" s="1" a="1"/>
  <c r="L14" i="5" s="1"/>
  <c r="H15" i="5"/>
  <c r="L15" i="5" s="1" a="1"/>
  <c r="L15" i="5" s="1"/>
  <c r="H16" i="5"/>
  <c r="L16" i="5" s="1" a="1"/>
  <c r="L16" i="5" s="1"/>
  <c r="H20" i="5"/>
  <c r="L20" i="5" s="1" a="1"/>
  <c r="L20" i="5" s="1"/>
  <c r="H21" i="5"/>
  <c r="L21" i="5" s="1" a="1"/>
  <c r="L21" i="5" s="1"/>
  <c r="K2" i="5"/>
  <c r="K14" i="5"/>
  <c r="K15" i="5"/>
  <c r="K16" i="5"/>
  <c r="K17" i="5"/>
  <c r="K18" i="5"/>
  <c r="K19" i="5"/>
  <c r="K20" i="5"/>
  <c r="J14" i="5"/>
  <c r="J15" i="5"/>
  <c r="J16" i="5"/>
  <c r="J17" i="5"/>
  <c r="J18" i="5"/>
  <c r="J19" i="5"/>
  <c r="J20" i="5"/>
  <c r="J21" i="5"/>
  <c r="C22" i="4"/>
  <c r="H13" i="5" l="1"/>
  <c r="L13" i="5" s="1" a="1"/>
  <c r="L13" i="5" s="1"/>
  <c r="H9" i="5"/>
  <c r="L9" i="5" s="1" a="1"/>
  <c r="L9" i="5" s="1"/>
  <c r="K11" i="5"/>
  <c r="H7" i="5"/>
  <c r="L7" i="5" s="1" a="1"/>
  <c r="L7" i="5" s="1"/>
  <c r="K10" i="5"/>
  <c r="H6" i="5"/>
  <c r="L6" i="5" s="1" a="1"/>
  <c r="L6" i="5" s="1"/>
  <c r="K13" i="5"/>
  <c r="K8" i="5"/>
  <c r="H11" i="5"/>
  <c r="L11" i="5" s="1" a="1"/>
  <c r="L11" i="5" s="1"/>
  <c r="K6" i="5"/>
  <c r="J12" i="5"/>
  <c r="K3" i="5"/>
  <c r="H10" i="5"/>
  <c r="L10" i="5" s="1" a="1"/>
  <c r="L10" i="5" s="1"/>
  <c r="H12" i="5"/>
  <c r="L12" i="5" s="1" a="1"/>
  <c r="L12" i="5" s="1"/>
  <c r="H8" i="5"/>
  <c r="L8" i="5" s="1" a="1"/>
  <c r="L8" i="5" s="1"/>
  <c r="K9" i="5"/>
  <c r="K7" i="5"/>
  <c r="H5" i="5"/>
  <c r="L5" i="5" s="1" a="1"/>
  <c r="L5" i="5" s="1"/>
  <c r="K5" i="5"/>
  <c r="H4" i="5"/>
  <c r="L4" i="5" s="1" a="1"/>
  <c r="L4" i="5" s="1"/>
  <c r="J4" i="5"/>
  <c r="H2" i="5"/>
  <c r="L2" i="5" s="1" a="1"/>
  <c r="L2" i="5" s="1"/>
  <c r="C10" i="4" l="1"/>
  <c r="C9" i="4"/>
  <c r="C8" i="4"/>
  <c r="C7" i="4"/>
  <c r="C6" i="4"/>
  <c r="C4" i="4"/>
  <c r="C5" i="4"/>
  <c r="C3" i="4" l="1"/>
  <c r="C20" i="4" l="1"/>
  <c r="C19" i="4"/>
  <c r="C15" i="4"/>
  <c r="C17" i="4"/>
  <c r="C13" i="4"/>
  <c r="C12" i="4"/>
  <c r="C21" i="4"/>
  <c r="C18" i="4"/>
  <c r="C16" i="4"/>
  <c r="C14" i="4" l="1"/>
  <c r="C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  <connection id="2" xr16:uid="{00000000-0015-0000-FFFF-FFFF01000000}" keepAlive="1" name="Query - Table 0 (2)" description="Connection to the 'Table 0 (2)' query in the workbook." type="5" refreshedVersion="8" background="1" saveData="1">
    <dbPr connection="Provider=Microsoft.Mashup.OleDb.1;Data Source=$Workbook$;Location=&quot;Table 0 (2)&quot;;Extended Properties=&quot;&quot;" command="SELECT * FROM [Table 0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<sst xmlns="http://schemas.openxmlformats.org/spreadsheetml/2006/main" count="700" uniqueCount="195">
  <si>
    <t>Hungary</t>
  </si>
  <si>
    <t>Belgium</t>
  </si>
  <si>
    <t>Netherlands</t>
  </si>
  <si>
    <t>Italy2</t>
  </si>
  <si>
    <t>Singapore</t>
  </si>
  <si>
    <t>Japan</t>
  </si>
  <si>
    <t>Qatar</t>
  </si>
  <si>
    <t>United States</t>
  </si>
  <si>
    <t>Mexico</t>
  </si>
  <si>
    <t>Brazil</t>
  </si>
  <si>
    <t>Las Vegas</t>
  </si>
  <si>
    <t>Abu Dhabi</t>
  </si>
  <si>
    <t>Suzzy B</t>
  </si>
  <si>
    <t>Wade</t>
  </si>
  <si>
    <t>Deville</t>
  </si>
  <si>
    <t>Liz</t>
  </si>
  <si>
    <t>Kristel</t>
  </si>
  <si>
    <t>Mike</t>
  </si>
  <si>
    <t>Markus</t>
  </si>
  <si>
    <t>Jimbo</t>
  </si>
  <si>
    <t>Joshua</t>
  </si>
  <si>
    <t>Frank</t>
  </si>
  <si>
    <t>Alida</t>
  </si>
  <si>
    <t>Reinhard</t>
  </si>
  <si>
    <t>Ilarie</t>
  </si>
  <si>
    <t>Oscar</t>
  </si>
  <si>
    <t>Clarice</t>
  </si>
  <si>
    <t>PJ</t>
  </si>
  <si>
    <t>Nico JR</t>
  </si>
  <si>
    <t>Jason</t>
  </si>
  <si>
    <t>Bernd</t>
  </si>
  <si>
    <t>Petra</t>
  </si>
  <si>
    <t>Pam</t>
  </si>
  <si>
    <t>Nico SR</t>
  </si>
  <si>
    <t>Riaan</t>
  </si>
  <si>
    <t>Lee</t>
  </si>
  <si>
    <t>Liam</t>
  </si>
  <si>
    <t>Smartin</t>
  </si>
  <si>
    <t>Points</t>
  </si>
  <si>
    <t>Alex Albon - Williams</t>
  </si>
  <si>
    <t>George Russell - Mercedes</t>
  </si>
  <si>
    <t>Esteban Ocon - Alpine</t>
  </si>
  <si>
    <t>Oscar Piastri - McLaren</t>
  </si>
  <si>
    <t>Nico Hulkenberg - Haas</t>
  </si>
  <si>
    <t>Valtteri Bottas - Alfa Romeo Racing</t>
  </si>
  <si>
    <t>Yuki Tsunoda - AlphaTauri</t>
  </si>
  <si>
    <t>Lance Stroll - Aston Martin</t>
  </si>
  <si>
    <t>Max Verstappen - Red Bull</t>
  </si>
  <si>
    <t>Guanyu Zhou - Alfa Romeo Racing</t>
  </si>
  <si>
    <t>Pierre Gasly - Alpine</t>
  </si>
  <si>
    <t>Lando Norris - McLaren</t>
  </si>
  <si>
    <t>Carlos Sainz - Ferrari</t>
  </si>
  <si>
    <t>Fernando Alonso - Aston Martin</t>
  </si>
  <si>
    <t>Lewis Hamilton - Mercedes</t>
  </si>
  <si>
    <t>Kevin Magnussen - Haas</t>
  </si>
  <si>
    <t>Sergio Perez - Red Bull</t>
  </si>
  <si>
    <t>Nyck de Vries - Alpha Tauri</t>
  </si>
  <si>
    <t>Charles Leclerc - Ferrari</t>
  </si>
  <si>
    <t>Pos</t>
  </si>
  <si>
    <t>Driver</t>
  </si>
  <si>
    <t>Time</t>
  </si>
  <si>
    <t>Stops</t>
  </si>
  <si>
    <t>Map</t>
  </si>
  <si>
    <t>Position</t>
  </si>
  <si>
    <t>Bahrain</t>
  </si>
  <si>
    <t>Saudi Arabia</t>
  </si>
  <si>
    <t>Australia</t>
  </si>
  <si>
    <t>Azerbaijan</t>
  </si>
  <si>
    <t>Miami</t>
  </si>
  <si>
    <t>Italy</t>
  </si>
  <si>
    <t>Monaco</t>
  </si>
  <si>
    <t>Spain</t>
  </si>
  <si>
    <t>Canada</t>
  </si>
  <si>
    <t>Great Britain</t>
  </si>
  <si>
    <t>1</t>
  </si>
  <si>
    <t>Max VerstappenRed Bull</t>
  </si>
  <si>
    <t>2</t>
  </si>
  <si>
    <t>Fernando AlonsoAston Martin</t>
  </si>
  <si>
    <t>3</t>
  </si>
  <si>
    <t>Lewis HamiltonMercedes</t>
  </si>
  <si>
    <t>4</t>
  </si>
  <si>
    <t>Charles LeclercFerrari</t>
  </si>
  <si>
    <t>5</t>
  </si>
  <si>
    <t>Carlos SainzFerrari</t>
  </si>
  <si>
    <t>6</t>
  </si>
  <si>
    <t>Sergio PerezRed Bull</t>
  </si>
  <si>
    <t>7</t>
  </si>
  <si>
    <t>Alex AlbonWilliams</t>
  </si>
  <si>
    <t>8</t>
  </si>
  <si>
    <t>Esteban OconAlpine</t>
  </si>
  <si>
    <t>9</t>
  </si>
  <si>
    <t>Lance StrollAston Martin</t>
  </si>
  <si>
    <t>10</t>
  </si>
  <si>
    <t>Valtteri BottasAlfa Romeo Racing</t>
  </si>
  <si>
    <t>11</t>
  </si>
  <si>
    <t>Oscar PiastriMcLaren</t>
  </si>
  <si>
    <t>12</t>
  </si>
  <si>
    <t>Pierre GaslyAlpine</t>
  </si>
  <si>
    <t>Logan Sargeant - Williams</t>
  </si>
  <si>
    <t>13</t>
  </si>
  <si>
    <t>Lando NorrisMcLaren</t>
  </si>
  <si>
    <t>14</t>
  </si>
  <si>
    <t>Yuki TsunodaAlphaTauri</t>
  </si>
  <si>
    <t>Nico HulkenbergHaas</t>
  </si>
  <si>
    <t>Guanyu ZhouAlfa Romeo Racing</t>
  </si>
  <si>
    <t>Kevin MagnussenHaas</t>
  </si>
  <si>
    <t>Nyck de VriesAlpha Tauri</t>
  </si>
  <si>
    <t>George RussellMercedes</t>
  </si>
  <si>
    <t>Logan SargeantWilliams</t>
  </si>
  <si>
    <t>Driver Points</t>
  </si>
  <si>
    <t>Name mappings</t>
  </si>
  <si>
    <t>Done</t>
  </si>
  <si>
    <t>Automated population of guesses?</t>
  </si>
  <si>
    <t>Update race names to match google forms</t>
  </si>
  <si>
    <t>Filter graph to only show top x% of players</t>
  </si>
  <si>
    <t>Albon</t>
  </si>
  <si>
    <t>Alonso</t>
  </si>
  <si>
    <t>Bottas</t>
  </si>
  <si>
    <t>De Vries</t>
  </si>
  <si>
    <t>0,5(DNF)=0</t>
  </si>
  <si>
    <t>Gasly</t>
  </si>
  <si>
    <t>6(DNF)=0</t>
  </si>
  <si>
    <t>Hamilton</t>
  </si>
  <si>
    <t>Hulkenberg</t>
  </si>
  <si>
    <t>Leclerc</t>
  </si>
  <si>
    <t>Magnussen</t>
  </si>
  <si>
    <t>Norris</t>
  </si>
  <si>
    <t>Ocon</t>
  </si>
  <si>
    <t>2(DNF)=0</t>
  </si>
  <si>
    <t>Perez</t>
  </si>
  <si>
    <t>Piastri</t>
  </si>
  <si>
    <t>Russell</t>
  </si>
  <si>
    <t>Sainz</t>
  </si>
  <si>
    <t>Sargeant</t>
  </si>
  <si>
    <t>Stroll</t>
  </si>
  <si>
    <t>Tsunoda</t>
  </si>
  <si>
    <t>Verstappen</t>
  </si>
  <si>
    <t>Zhou</t>
  </si>
  <si>
    <t>Driver Placements</t>
  </si>
  <si>
    <t>19th</t>
  </si>
  <si>
    <t>3rd</t>
  </si>
  <si>
    <t>11th</t>
  </si>
  <si>
    <t>15th</t>
  </si>
  <si>
    <t>13th</t>
  </si>
  <si>
    <t>2nd</t>
  </si>
  <si>
    <t>7th</t>
  </si>
  <si>
    <t>20th</t>
  </si>
  <si>
    <t>17th</t>
  </si>
  <si>
    <t>6th</t>
  </si>
  <si>
    <t>14th</t>
  </si>
  <si>
    <t>5th</t>
  </si>
  <si>
    <t>8th</t>
  </si>
  <si>
    <t>18th</t>
  </si>
  <si>
    <t>12th</t>
  </si>
  <si>
    <t>16th</t>
  </si>
  <si>
    <t>4th</t>
  </si>
  <si>
    <t>10th</t>
  </si>
  <si>
    <t>1st</t>
  </si>
  <si>
    <t>9th</t>
  </si>
  <si>
    <t>Austria</t>
  </si>
  <si>
    <t>x</t>
  </si>
  <si>
    <t>mean</t>
  </si>
  <si>
    <t>std dev</t>
  </si>
  <si>
    <t>cum</t>
  </si>
  <si>
    <t>Daniel Ricciardo - Alpha Tauri</t>
  </si>
  <si>
    <t>Daniel RicciardoAlphaTauri</t>
  </si>
  <si>
    <t>Liam LawsonAlphaTauri</t>
  </si>
  <si>
    <t>Liam Lawson - Alpha Tauri</t>
  </si>
  <si>
    <t>Liam Lawson - AlphaTauri</t>
  </si>
  <si>
    <t>Yuki Tsunoda - Alpha Tauri</t>
  </si>
  <si>
    <t>19</t>
  </si>
  <si>
    <t>20</t>
  </si>
  <si>
    <t>15</t>
  </si>
  <si>
    <t>16</t>
  </si>
  <si>
    <t>17</t>
  </si>
  <si>
    <t>1:28.545</t>
  </si>
  <si>
    <t>+ 17.993</t>
  </si>
  <si>
    <t>+ 20.328</t>
  </si>
  <si>
    <t>+ 21.453</t>
  </si>
  <si>
    <t>+ 24.284</t>
  </si>
  <si>
    <t>+ 31.487</t>
  </si>
  <si>
    <t>+ 39.512</t>
  </si>
  <si>
    <t>+ 43.088</t>
  </si>
  <si>
    <t>+ 44.424</t>
  </si>
  <si>
    <t>+ 55.632</t>
  </si>
  <si>
    <t>+ 56.229</t>
  </si>
  <si>
    <t>+ 66.373</t>
  </si>
  <si>
    <t>+ 70.360</t>
  </si>
  <si>
    <t>+ 73.184</t>
  </si>
  <si>
    <t>+ 83.696</t>
  </si>
  <si>
    <t>+ 87.791</t>
  </si>
  <si>
    <t>+ 89.422</t>
  </si>
  <si>
    <t>+ 1 LAP</t>
  </si>
  <si>
    <t>R</t>
  </si>
  <si>
    <t>+ 1 LAPS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</si>
</sst>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4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0" borderId="4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0" fontId="0" fillId="6" borderId="0" xfId="0" applyFill="1"/>
    <xf numFmtId="0" fontId="3" fillId="6" borderId="6" xfId="0" applyFont="1" applyFill="1" applyBorder="1" applyAlignment="1">
      <alignment wrapText="1"/>
    </xf>
    <xf numFmtId="0" fontId="2" fillId="6" borderId="5" xfId="0" applyFont="1" applyFill="1" applyBorder="1"/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2" fillId="0" borderId="5" xfId="0" applyFont="1" applyBorder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/>
    <xf numFmtId="0" fontId="3" fillId="0" borderId="0" xfId="0" applyFont="1" applyAlignment="1">
      <alignment vertical="center"/>
    </xf>
    <xf numFmtId="0" fontId="3" fillId="0" borderId="0" xfId="0" applyFont="1"/>
    <xf numFmtId="0" fontId="3" fillId="6" borderId="8" xfId="0" applyFont="1" applyFill="1" applyBorder="1" applyAlignment="1">
      <alignment wrapText="1"/>
    </xf>
    <xf numFmtId="0" fontId="2" fillId="7" borderId="5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2" fillId="0" borderId="0" xfId="0" applyFont="1" applyAlignment="1">
      <alignment horizontal="left" indent="1"/>
    </xf>
    <xf numFmtId="0" fontId="3" fillId="6" borderId="9" xfId="0" applyFont="1" applyFill="1" applyBorder="1" applyAlignment="1">
      <alignment readingOrder="1"/>
    </xf>
    <xf numFmtId="0" fontId="3" fillId="6" borderId="10" xfId="0" applyFont="1" applyFill="1" applyBorder="1" applyAlignment="1">
      <alignment readingOrder="1"/>
    </xf>
    <xf numFmtId="0" fontId="3" fillId="6" borderId="11" xfId="0" applyFont="1" applyFill="1" applyBorder="1" applyAlignment="1">
      <alignment readingOrder="1"/>
    </xf>
    <xf numFmtId="0" fontId="10" fillId="0" borderId="0" xfId="0" applyFont="1"/>
    <xf numFmtId="0" fontId="0" fillId="9" borderId="0" xfId="0" applyFill="1"/>
    <xf numFmtId="0" fontId="0" fillId="9" borderId="0" xfId="0" applyFill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left"/>
    </xf>
    <xf numFmtId="0" fontId="2" fillId="9" borderId="5" xfId="0" applyFont="1" applyFill="1" applyBorder="1"/>
    <xf numFmtId="0" fontId="2" fillId="9" borderId="5" xfId="0" applyFont="1" applyFill="1" applyBorder="1" applyAlignment="1">
      <alignment horizontal="center"/>
    </xf>
    <xf numFmtId="0" fontId="10" fillId="9" borderId="0" xfId="0" applyFont="1" applyFill="1" applyAlignment="1">
      <alignment horizontal="left"/>
    </xf>
    <xf numFmtId="1" fontId="8" fillId="9" borderId="0" xfId="0" applyNumberFormat="1" applyFont="1" applyFill="1" applyAlignment="1">
      <alignment horizontal="left"/>
    </xf>
    <xf numFmtId="0" fontId="6" fillId="5" borderId="7" xfId="0" applyFont="1" applyFill="1" applyBorder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0" fillId="0" borderId="12" xfId="0" applyBorder="1"/>
    <xf numFmtId="0" fontId="0" fillId="10" borderId="0" xfId="0" applyFill="1"/>
    <xf numFmtId="0" fontId="11" fillId="0" borderId="0" xfId="0" applyFont="1"/>
    <xf numFmtId="0" fontId="0" fillId="11" borderId="0" xfId="0" applyFill="1"/>
    <xf numFmtId="0" fontId="2" fillId="6" borderId="0" xfId="0" applyFont="1" applyFill="1"/>
    <xf numFmtId="0" fontId="0" fillId="6" borderId="0" xfId="0" applyFill="1" applyAlignment="1">
      <alignment horizontal="center"/>
    </xf>
  </cellXfs>
  <cellStyles count="1">
    <cellStyle name="Normal" xfId="0" builtinId="0"/>
  </cellStyles>
  <dxfs count="14">
    <dxf>
      <font>
        <b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theme="7" tint="0.79998168889431442"/>
        </patternFill>
      </fill>
    </dxf>
  </dxfs>
  <tableStyles count="0" defaultTableStyle="TableStyleMedium2" defaultPivotStyle="PivotStyleLight16"/>
  <colors>
    <mruColors>
      <color rgb="FFFF66CC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Normal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Stats!$N$4:$N$29</c:f>
              <c:numCache>
                <c:formatCode>General</c:formatCode>
                <c:ptCount val="26"/>
                <c:pt idx="0">
                  <c:v>1.4363204599425072</c:v>
                </c:pt>
                <c:pt idx="1">
                  <c:v>1.4233220847394077</c:v>
                </c:pt>
                <c:pt idx="2">
                  <c:v>1.4038245219347583</c:v>
                </c:pt>
                <c:pt idx="3">
                  <c:v>1.3908261467316585</c:v>
                </c:pt>
                <c:pt idx="4">
                  <c:v>1.3063367079115111</c:v>
                </c:pt>
                <c:pt idx="5">
                  <c:v>1.2543432070991127</c:v>
                </c:pt>
                <c:pt idx="6">
                  <c:v>1.2283464566929134</c:v>
                </c:pt>
                <c:pt idx="7">
                  <c:v>1.1893513310836146</c:v>
                </c:pt>
                <c:pt idx="8">
                  <c:v>1.1178602674665667</c:v>
                </c:pt>
                <c:pt idx="9">
                  <c:v>1.1113610798650169</c:v>
                </c:pt>
                <c:pt idx="10">
                  <c:v>1.0593675790526185</c:v>
                </c:pt>
                <c:pt idx="11">
                  <c:v>0.99437570303712042</c:v>
                </c:pt>
                <c:pt idx="12">
                  <c:v>0.98787651543557053</c:v>
                </c:pt>
                <c:pt idx="13">
                  <c:v>0.96187976502937134</c:v>
                </c:pt>
                <c:pt idx="14">
                  <c:v>0.92288463942007248</c:v>
                </c:pt>
                <c:pt idx="15">
                  <c:v>0.86764154480689915</c:v>
                </c:pt>
                <c:pt idx="16">
                  <c:v>0.83189601299837523</c:v>
                </c:pt>
                <c:pt idx="17">
                  <c:v>0.83189601299837523</c:v>
                </c:pt>
                <c:pt idx="18">
                  <c:v>0.81239845019372581</c:v>
                </c:pt>
                <c:pt idx="19">
                  <c:v>0.81239845019372581</c:v>
                </c:pt>
                <c:pt idx="20">
                  <c:v>0.7604049493813273</c:v>
                </c:pt>
                <c:pt idx="21">
                  <c:v>0.74090738657667787</c:v>
                </c:pt>
                <c:pt idx="22">
                  <c:v>0.71491063617047867</c:v>
                </c:pt>
                <c:pt idx="23">
                  <c:v>0.69541307336582925</c:v>
                </c:pt>
                <c:pt idx="24">
                  <c:v>0.66291713535808028</c:v>
                </c:pt>
                <c:pt idx="25">
                  <c:v>0.48093988251468567</c:v>
                </c:pt>
              </c:numCache>
            </c:numRef>
          </c:xVal>
          <c:yVal>
            <c:numRef>
              <c:f>Stats!$O$4:$O$29</c:f>
              <c:numCache>
                <c:formatCode>General</c:formatCode>
                <c:ptCount val="26"/>
                <c:pt idx="0">
                  <c:v>4.9721494290009037E-3</c:v>
                </c:pt>
                <c:pt idx="1">
                  <c:v>5.3911610868546903E-3</c:v>
                </c:pt>
                <c:pt idx="2">
                  <c:v>6.0589461445767611E-3</c:v>
                </c:pt>
                <c:pt idx="3">
                  <c:v>6.5294810704919961E-3</c:v>
                </c:pt>
                <c:pt idx="4">
                  <c:v>1.0002473926913539E-2</c:v>
                </c:pt>
                <c:pt idx="5">
                  <c:v>1.235319337642031E-2</c:v>
                </c:pt>
                <c:pt idx="6">
                  <c:v>1.352818077080723E-2</c:v>
                </c:pt>
                <c:pt idx="7">
                  <c:v>1.522158755042829E-2</c:v>
                </c:pt>
                <c:pt idx="8">
                  <c:v>1.7845365361361228E-2</c:v>
                </c:pt>
                <c:pt idx="9">
                  <c:v>1.8038905701912862E-2</c:v>
                </c:pt>
                <c:pt idx="10">
                  <c:v>1.9236431958174888E-2</c:v>
                </c:pt>
                <c:pt idx="11">
                  <c:v>1.9729150299583661E-2</c:v>
                </c:pt>
                <c:pt idx="12">
                  <c:v>1.9712679388423301E-2</c:v>
                </c:pt>
                <c:pt idx="13">
                  <c:v>1.9527120465561199E-2</c:v>
                </c:pt>
                <c:pt idx="14">
                  <c:v>1.8901981816387279E-2</c:v>
                </c:pt>
                <c:pt idx="15">
                  <c:v>1.7382712820256909E-2</c:v>
                </c:pt>
                <c:pt idx="16">
                  <c:v>1.608212601961553E-2</c:v>
                </c:pt>
                <c:pt idx="17">
                  <c:v>1.608212601961553E-2</c:v>
                </c:pt>
                <c:pt idx="18">
                  <c:v>1.5294458716747268E-2</c:v>
                </c:pt>
                <c:pt idx="19">
                  <c:v>1.5294458716747268E-2</c:v>
                </c:pt>
                <c:pt idx="20">
                  <c:v>1.3022278386586397E-2</c:v>
                </c:pt>
                <c:pt idx="21">
                  <c:v>1.2136989396893441E-2</c:v>
                </c:pt>
                <c:pt idx="22">
                  <c:v>1.0955287581715141E-2</c:v>
                </c:pt>
                <c:pt idx="23">
                  <c:v>1.0080196547497765E-2</c:v>
                </c:pt>
                <c:pt idx="24">
                  <c:v>8.6675809521073056E-3</c:v>
                </c:pt>
                <c:pt idx="25">
                  <c:v>2.8052181072260487E-3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81-4FD4-9BA0-9B472C75A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939840"/>
        <c:axId val="43306672"/>
      </c:scatterChart>
      <c:valAx>
        <c:axId val="151993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6672"/>
        <c:crosses val="autoZero"/>
        <c:crossBetween val="midCat"/>
      </c:valAx>
      <c:valAx>
        <c:axId val="433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93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79375</xdr:colOff>
      <xdr:row>31</xdr:row>
      <xdr:rowOff>136525</xdr:rowOff>
    </xdr:from>
    <xdr:to>
      <xdr:col>13</xdr:col>
      <xdr:colOff>384175</xdr:colOff>
      <xdr:row>46</xdr:row>
      <xdr:rowOff>117475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5EA951-0872-4FFE-A5FD-23DB210F1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1000000}" autoFormatId="16" applyNumberFormats="0" applyBorderFormats="0" applyFontFormats="0" applyPatternFormats="0" applyAlignmentFormats="0" applyWidthHeightFormats="0">
  <queryTableRefresh nextId="9">
    <queryTableFields count="4">
      <queryTableField id="1" name="Pos" tableColumnId="1"/>
      <queryTableField id="3" name="Driver" tableColumnId="3"/>
      <queryTableField id="4" name="Time" tableColumnId="4"/>
      <queryTableField id="8" name="Stops" tableColumnId="8"/>
    </queryTableFields>
    <queryTableDeletedFields count="1">
      <deletedField name="Lap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2BB5D5-0DD5-4D2B-B261-57C14684AAE4}" name="Table_0" displayName="Table_0" ref="A1:D21" tableType="queryTable" totalsRowShown="0" headerRowDxfId="13" dataDxfId="11" headerRowBorderDxfId="12">
  <autoFilter ref="A1:D21" xr:uid="{FC2BB5D5-0DD5-4D2B-B261-57C14684AAE4}"/>
  <tableColumns count="4">
    <tableColumn id="1" xr3:uid="{56323713-7B56-4EC2-AFD5-D1953641CF7F}" uniqueName="1" name="Pos" queryTableFieldId="1" dataDxfId="10"/>
    <tableColumn id="3" xr3:uid="{D48BA325-2340-4E3C-8378-F5261189AA23}" uniqueName="3" name="Driver" queryTableFieldId="3" dataDxfId="9"/>
    <tableColumn id="4" xr3:uid="{DFCEC983-3F4B-40C5-80F9-46DD7EFC9D9D}" uniqueName="4" name="Time" queryTableFieldId="4" dataDxfId="8"/>
    <tableColumn id="8" xr3:uid="{662C2F5F-F616-4EB1-A0F3-4BCDE90E0366}" uniqueName="8" name="Stops" queryTableFieldId="8" dataDxfId="7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867CAD-12D5-44D1-B095-AB712A1FDB7E}" name="Table5" displayName="Table5" ref="G1:L21" totalsRowShown="0" headerRowBorderDxfId="6">
  <autoFilter ref="G1:L21" xr:uid="{83867CAD-12D5-44D1-B095-AB712A1FDB7E}"/>
  <sortState xmlns:xlrd2="http://schemas.microsoft.com/office/spreadsheetml/2017/richdata2" ref="G2:L21">
    <sortCondition ref="H1:H21"/>
  </sortState>
  <tableColumns count="6">
    <tableColumn id="1" xr3:uid="{ECE61288-3CDC-4D59-BAA3-86822D03239D}" name="Map" dataDxfId="5">
      <calculatedColumnFormula>Table_0[[#This Row],[Driver]]</calculatedColumnFormula>
    </tableColumn>
    <tableColumn id="2" xr3:uid="{580C30C8-5085-47DE-8D0E-2AC03771C8C4}" name="Position" dataDxfId="4">
      <calculatedColumnFormula>IFERROR(VALUE(_xlfn.XLOOKUP(G2,Table_0[Driver],Table_0[Pos])),"R")</calculatedColumnFormula>
    </tableColumn>
    <tableColumn id="3" xr3:uid="{D233E641-86CD-467E-BF6F-7386073FADC4}" name="Driver" dataDxfId="3">
      <calculatedColumnFormula>_xlfn.XLOOKUP(Table_0[[#This Row],[Driver]],DriverNameMapping!$A$1:$A$22,DriverNameMapping!$B$1:$B$22)</calculatedColumnFormula>
    </tableColumn>
    <tableColumn id="4" xr3:uid="{A68ADFF8-557B-4D10-AF77-EB1DC534581E}" name="Time" dataDxfId="2">
      <calculatedColumnFormula>_xlfn.XLOOKUP(G2,Table_0[Driver],Table_0[Time])</calculatedColumnFormula>
    </tableColumn>
    <tableColumn id="5" xr3:uid="{A73225E6-61BB-4527-B6D6-361D228C53A3}" name="Stops" dataDxfId="1">
      <calculatedColumnFormula>_xlfn.XLOOKUP(G2,Table_0[Driver],Table_0[Stops])</calculatedColumnFormula>
    </tableColumn>
    <tableColumn id="6" xr3:uid="{5B4E140B-B68E-4029-9135-471BC8E1ECB0}" name="Points" dataDxfId="0">
      <calculatedColumnFormula array="1">_xlfn.XLOOKUP(H2,VALUE(Table_0[Pos]),$E$2:$E$21,0)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87F0-B99E-4C81-B331-0B762B9A6115}">
  <sheetPr codeName="Sheet3"/>
  <dimension ref="A1:AK43"/>
  <sheetViews>
    <sheetView showGridLines="0" tabSelected="1" zoomScale="85" zoomScaleNormal="85" workbookViewId="0">
      <selection activeCell="D26" sqref="D26"/>
    </sheetView>
  </sheetViews>
  <sheetFormatPr defaultRowHeight="14.4" x14ac:dyDescent="0.3"/>
  <cols>
    <col min="1" max="1" width="6.6640625" bestFit="1" customWidth="1"/>
    <col min="2" max="2" width="29.88671875" bestFit="1" customWidth="1"/>
    <col min="3" max="3" width="8.33203125" bestFit="1" customWidth="1"/>
    <col min="4" max="4" width="11.109375" bestFit="1" customWidth="1"/>
    <col min="5" max="5" width="16.77734375" customWidth="1"/>
    <col min="6" max="6" width="3.21875" customWidth="1"/>
    <col min="7" max="7" width="29.77734375" style="42" bestFit="1" customWidth="1"/>
    <col min="8" max="8" width="10.6640625" style="42" customWidth="1"/>
    <col min="9" max="9" width="35" customWidth="1"/>
    <col min="10" max="11" width="10.6640625" style="5" customWidth="1"/>
    <col min="12" max="12" width="14.44140625" style="13" customWidth="1"/>
    <col min="13" max="13" width="3.21875" customWidth="1"/>
    <col min="14" max="14" width="10.44140625" bestFit="1" customWidth="1"/>
    <col min="15" max="15" width="30.5546875" style="4" customWidth="1"/>
    <col min="16" max="19" width="30.5546875" customWidth="1"/>
    <col min="20" max="20" width="30.5546875" hidden="1" customWidth="1"/>
    <col min="21" max="37" width="30.5546875" customWidth="1"/>
    <col min="38" max="40" width="29.5546875" customWidth="1"/>
  </cols>
  <sheetData>
    <row r="1" spans="1:37" ht="15" thickBot="1" x14ac:dyDescent="0.35">
      <c r="A1" s="25" t="s">
        <v>58</v>
      </c>
      <c r="B1" s="25" t="s">
        <v>59</v>
      </c>
      <c r="C1" s="25" t="s">
        <v>60</v>
      </c>
      <c r="D1" s="45" t="s">
        <v>61</v>
      </c>
      <c r="E1" s="52" t="s">
        <v>38</v>
      </c>
      <c r="F1" s="13"/>
      <c r="G1" s="46" t="s">
        <v>62</v>
      </c>
      <c r="H1" s="47" t="s">
        <v>63</v>
      </c>
      <c r="I1" s="47" t="s">
        <v>59</v>
      </c>
      <c r="J1" s="48" t="s">
        <v>60</v>
      </c>
      <c r="K1" s="48" t="s">
        <v>61</v>
      </c>
      <c r="L1" s="52" t="s">
        <v>38</v>
      </c>
      <c r="N1" s="4" t="s">
        <v>63</v>
      </c>
      <c r="O1" s="51" t="s">
        <v>64</v>
      </c>
      <c r="P1" s="26" t="s">
        <v>65</v>
      </c>
      <c r="Q1" s="26" t="s">
        <v>66</v>
      </c>
      <c r="R1" s="26" t="s">
        <v>67</v>
      </c>
      <c r="S1" s="26" t="s">
        <v>68</v>
      </c>
      <c r="T1" s="26" t="s">
        <v>69</v>
      </c>
      <c r="U1" s="26" t="s">
        <v>70</v>
      </c>
      <c r="V1" s="26" t="s">
        <v>71</v>
      </c>
      <c r="W1" s="26" t="s">
        <v>72</v>
      </c>
      <c r="X1" s="26" t="s">
        <v>159</v>
      </c>
      <c r="Y1" s="26" t="s">
        <v>73</v>
      </c>
      <c r="Z1" s="26" t="s">
        <v>0</v>
      </c>
      <c r="AA1" s="26" t="s">
        <v>1</v>
      </c>
      <c r="AB1" s="26" t="s">
        <v>2</v>
      </c>
      <c r="AC1" s="26" t="s">
        <v>3</v>
      </c>
      <c r="AD1" s="26" t="s">
        <v>4</v>
      </c>
      <c r="AE1" s="26" t="s">
        <v>5</v>
      </c>
      <c r="AF1" s="26" t="s">
        <v>6</v>
      </c>
      <c r="AG1" s="26" t="s">
        <v>7</v>
      </c>
      <c r="AH1" s="26" t="s">
        <v>8</v>
      </c>
      <c r="AI1" s="26" t="s">
        <v>9</v>
      </c>
      <c r="AJ1" s="26" t="s">
        <v>10</v>
      </c>
      <c r="AK1" s="27" t="s">
        <v>11</v>
      </c>
    </row>
    <row r="2" spans="1:37" ht="15" thickTop="1" x14ac:dyDescent="0.3">
      <c r="A2" s="59" t="s">
        <v>74</v>
      </c>
      <c r="B2" s="23" t="s">
        <v>75</v>
      </c>
      <c r="C2" s="23" t="s">
        <v>175</v>
      </c>
      <c r="D2" s="60" t="s">
        <v>76</v>
      </c>
      <c r="E2" s="53"/>
      <c r="F2" s="29"/>
      <c r="G2" s="49" t="str">
        <f>Table_0[[#This Row],[Driver]]</f>
        <v>Max VerstappenRed Bull</v>
      </c>
      <c r="H2" s="50">
        <f>IFERROR(VALUE(_xlfn.XLOOKUP(G2,Table_0[Driver],Table_0[Pos])),"R")</f>
        <v>1</v>
      </c>
      <c r="I2" s="43" t="str">
        <f>_xlfn.XLOOKUP(Table_0[[#This Row],[Driver]],DriverNameMapping!$A$1:$A$22,DriverNameMapping!$B$1:$B$22)</f>
        <v>Max Verstappen - Red Bull</v>
      </c>
      <c r="J2" s="44" t="str">
        <f>_xlfn.XLOOKUP(G2,Table_0[Driver],Table_0[Time])</f>
        <v>1:28.545</v>
      </c>
      <c r="K2" s="44" t="str">
        <f>_xlfn.XLOOKUP(G2,Table_0[Driver],Table_0[Stops])</f>
        <v>2</v>
      </c>
      <c r="L2" s="52" cm="1">
        <f t="array" ref="L2">_xlfn.XLOOKUP(H2,VALUE(Table_0[Pos]),$E$2:$E$21,0)</f>
        <v>0</v>
      </c>
      <c r="N2" s="4">
        <v>1</v>
      </c>
      <c r="O2" t="s">
        <v>47</v>
      </c>
      <c r="P2" t="s">
        <v>55</v>
      </c>
      <c r="Q2" t="s">
        <v>47</v>
      </c>
      <c r="R2" t="s">
        <v>55</v>
      </c>
      <c r="S2" t="s">
        <v>47</v>
      </c>
      <c r="U2" t="s">
        <v>47</v>
      </c>
      <c r="V2" t="s">
        <v>47</v>
      </c>
      <c r="W2" t="s">
        <v>47</v>
      </c>
      <c r="X2" t="s">
        <v>47</v>
      </c>
      <c r="Y2" t="s">
        <v>47</v>
      </c>
      <c r="Z2" t="s">
        <v>47</v>
      </c>
      <c r="AA2" t="s">
        <v>47</v>
      </c>
      <c r="AB2" t="s">
        <v>47</v>
      </c>
      <c r="AC2" t="s">
        <v>47</v>
      </c>
      <c r="AD2" t="s">
        <v>51</v>
      </c>
      <c r="AE2" t="s">
        <v>47</v>
      </c>
      <c r="AF2" t="s">
        <v>47</v>
      </c>
      <c r="AG2" t="s">
        <v>47</v>
      </c>
      <c r="AH2" t="s">
        <v>47</v>
      </c>
      <c r="AI2" t="s">
        <v>47</v>
      </c>
      <c r="AJ2" t="s">
        <v>47</v>
      </c>
      <c r="AK2" t="s">
        <v>47</v>
      </c>
    </row>
    <row r="3" spans="1:37" x14ac:dyDescent="0.3">
      <c r="A3" s="59" t="s">
        <v>76</v>
      </c>
      <c r="B3" s="23" t="s">
        <v>81</v>
      </c>
      <c r="C3" s="23" t="s">
        <v>176</v>
      </c>
      <c r="D3" s="60" t="s">
        <v>76</v>
      </c>
      <c r="E3" s="53"/>
      <c r="F3" s="29"/>
      <c r="G3" s="49" t="str">
        <f>Table_0[[#This Row],[Driver]]</f>
        <v>Charles LeclercFerrari</v>
      </c>
      <c r="H3" s="50">
        <f>IFERROR(VALUE(_xlfn.XLOOKUP(G3,Table_0[Driver],Table_0[Pos])),"R")</f>
        <v>2</v>
      </c>
      <c r="I3" s="43" t="str">
        <f>_xlfn.XLOOKUP(Table_0[[#This Row],[Driver]],DriverNameMapping!$A$1:$A$22,DriverNameMapping!$B$1:$B$22)</f>
        <v>Charles Leclerc - Ferrari</v>
      </c>
      <c r="J3" s="44" t="str">
        <f>_xlfn.XLOOKUP(G3,Table_0[Driver],Table_0[Time])</f>
        <v>+ 17.993</v>
      </c>
      <c r="K3" s="44" t="str">
        <f>_xlfn.XLOOKUP(G3,Table_0[Driver],Table_0[Stops])</f>
        <v>2</v>
      </c>
      <c r="L3" s="52" cm="1">
        <f t="array" ref="L3">_xlfn.XLOOKUP(H3,VALUE(Table_0[Pos]),$E$2:$E$21,0)</f>
        <v>0</v>
      </c>
      <c r="N3" s="4">
        <v>2</v>
      </c>
      <c r="O3" t="s">
        <v>55</v>
      </c>
      <c r="P3" t="s">
        <v>47</v>
      </c>
      <c r="Q3" t="s">
        <v>53</v>
      </c>
      <c r="R3" t="s">
        <v>47</v>
      </c>
      <c r="S3" t="s">
        <v>55</v>
      </c>
      <c r="U3" t="s">
        <v>52</v>
      </c>
      <c r="V3" t="s">
        <v>53</v>
      </c>
      <c r="W3" t="s">
        <v>52</v>
      </c>
      <c r="X3" t="s">
        <v>57</v>
      </c>
      <c r="Y3" t="s">
        <v>50</v>
      </c>
      <c r="Z3" t="s">
        <v>50</v>
      </c>
      <c r="AA3" t="s">
        <v>55</v>
      </c>
      <c r="AB3" t="s">
        <v>52</v>
      </c>
      <c r="AC3" t="s">
        <v>55</v>
      </c>
      <c r="AD3" t="s">
        <v>50</v>
      </c>
      <c r="AE3" t="s">
        <v>50</v>
      </c>
      <c r="AF3" t="s">
        <v>42</v>
      </c>
      <c r="AG3" t="s">
        <v>50</v>
      </c>
      <c r="AH3" t="s">
        <v>53</v>
      </c>
      <c r="AI3" t="s">
        <v>50</v>
      </c>
      <c r="AJ3" t="s">
        <v>57</v>
      </c>
      <c r="AK3" t="s">
        <v>57</v>
      </c>
    </row>
    <row r="4" spans="1:37" x14ac:dyDescent="0.3">
      <c r="A4" s="59" t="s">
        <v>78</v>
      </c>
      <c r="B4" s="23" t="s">
        <v>107</v>
      </c>
      <c r="C4" s="23" t="s">
        <v>177</v>
      </c>
      <c r="D4" s="60" t="s">
        <v>76</v>
      </c>
      <c r="E4" s="53"/>
      <c r="F4" s="29"/>
      <c r="G4" s="49" t="str">
        <f>Table_0[[#This Row],[Driver]]</f>
        <v>George RussellMercedes</v>
      </c>
      <c r="H4" s="50">
        <f>IFERROR(VALUE(_xlfn.XLOOKUP(G4,Table_0[Driver],Table_0[Pos])),"R")</f>
        <v>3</v>
      </c>
      <c r="I4" s="43" t="str">
        <f>_xlfn.XLOOKUP(Table_0[[#This Row],[Driver]],DriverNameMapping!$A$1:$A$22,DriverNameMapping!$B$1:$B$22)</f>
        <v>George Russell - Mercedes</v>
      </c>
      <c r="J4" s="44" t="str">
        <f>_xlfn.XLOOKUP(G4,Table_0[Driver],Table_0[Time])</f>
        <v>+ 20.328</v>
      </c>
      <c r="K4" s="44" t="str">
        <f>_xlfn.XLOOKUP(G4,Table_0[Driver],Table_0[Stops])</f>
        <v>2</v>
      </c>
      <c r="L4" s="52" cm="1">
        <f t="array" ref="L4">_xlfn.XLOOKUP(H4,VALUE(Table_0[Pos]),$E$2:$E$21,0)</f>
        <v>0</v>
      </c>
      <c r="N4" s="4">
        <v>3</v>
      </c>
      <c r="O4" t="s">
        <v>52</v>
      </c>
      <c r="P4" t="s">
        <v>52</v>
      </c>
      <c r="Q4" t="s">
        <v>52</v>
      </c>
      <c r="R4" t="s">
        <v>57</v>
      </c>
      <c r="S4" t="s">
        <v>52</v>
      </c>
      <c r="U4" t="s">
        <v>41</v>
      </c>
      <c r="V4" t="s">
        <v>40</v>
      </c>
      <c r="W4" t="s">
        <v>53</v>
      </c>
      <c r="X4" t="s">
        <v>55</v>
      </c>
      <c r="Y4" t="s">
        <v>53</v>
      </c>
      <c r="Z4" t="s">
        <v>55</v>
      </c>
      <c r="AA4" t="s">
        <v>57</v>
      </c>
      <c r="AB4" t="s">
        <v>49</v>
      </c>
      <c r="AC4" t="s">
        <v>51</v>
      </c>
      <c r="AD4" t="s">
        <v>53</v>
      </c>
      <c r="AE4" t="s">
        <v>42</v>
      </c>
      <c r="AF4" t="s">
        <v>50</v>
      </c>
      <c r="AG4" t="s">
        <v>51</v>
      </c>
      <c r="AH4" t="s">
        <v>57</v>
      </c>
      <c r="AI4" t="s">
        <v>52</v>
      </c>
      <c r="AJ4" t="s">
        <v>55</v>
      </c>
      <c r="AK4" t="s">
        <v>40</v>
      </c>
    </row>
    <row r="5" spans="1:37" x14ac:dyDescent="0.3">
      <c r="A5" s="59" t="s">
        <v>80</v>
      </c>
      <c r="B5" s="23" t="s">
        <v>85</v>
      </c>
      <c r="C5" s="23" t="s">
        <v>178</v>
      </c>
      <c r="D5" s="60" t="s">
        <v>76</v>
      </c>
      <c r="E5" s="53"/>
      <c r="F5" s="29"/>
      <c r="G5" s="49" t="str">
        <f>Table_0[[#This Row],[Driver]]</f>
        <v>Sergio PerezRed Bull</v>
      </c>
      <c r="H5" s="50">
        <f>IFERROR(VALUE(_xlfn.XLOOKUP(G5,Table_0[Driver],Table_0[Pos])),"R")</f>
        <v>4</v>
      </c>
      <c r="I5" s="43" t="str">
        <f>_xlfn.XLOOKUP(Table_0[[#This Row],[Driver]],DriverNameMapping!$A$1:$A$22,DriverNameMapping!$B$1:$B$22)</f>
        <v>Sergio Perez - Red Bull</v>
      </c>
      <c r="J5" s="44" t="str">
        <f>_xlfn.XLOOKUP(G5,Table_0[Driver],Table_0[Time])</f>
        <v>+ 21.453</v>
      </c>
      <c r="K5" s="44" t="str">
        <f>_xlfn.XLOOKUP(G5,Table_0[Driver],Table_0[Stops])</f>
        <v>2</v>
      </c>
      <c r="L5" s="52" cm="1">
        <f t="array" ref="L5">_xlfn.XLOOKUP(H5,VALUE(Table_0[Pos]),$E$2:$E$21,0)</f>
        <v>0</v>
      </c>
      <c r="N5" s="4">
        <v>4</v>
      </c>
      <c r="O5" t="s">
        <v>51</v>
      </c>
      <c r="P5" t="s">
        <v>40</v>
      </c>
      <c r="Q5" t="s">
        <v>46</v>
      </c>
      <c r="R5" t="s">
        <v>52</v>
      </c>
      <c r="S5" t="s">
        <v>40</v>
      </c>
      <c r="U5" t="s">
        <v>53</v>
      </c>
      <c r="V5" t="s">
        <v>55</v>
      </c>
      <c r="W5" t="s">
        <v>57</v>
      </c>
      <c r="X5" t="s">
        <v>50</v>
      </c>
      <c r="Y5" t="s">
        <v>42</v>
      </c>
      <c r="Z5" t="s">
        <v>53</v>
      </c>
      <c r="AA5" t="s">
        <v>53</v>
      </c>
      <c r="AB5" t="s">
        <v>55</v>
      </c>
      <c r="AC5" t="s">
        <v>57</v>
      </c>
      <c r="AD5" t="s">
        <v>57</v>
      </c>
      <c r="AE5" t="s">
        <v>57</v>
      </c>
      <c r="AF5" t="s">
        <v>40</v>
      </c>
      <c r="AG5" t="s">
        <v>55</v>
      </c>
      <c r="AH5" t="s">
        <v>51</v>
      </c>
      <c r="AI5" t="s">
        <v>55</v>
      </c>
      <c r="AJ5" t="s">
        <v>41</v>
      </c>
      <c r="AK5" t="s">
        <v>55</v>
      </c>
    </row>
    <row r="6" spans="1:37" x14ac:dyDescent="0.3">
      <c r="A6" s="59" t="s">
        <v>82</v>
      </c>
      <c r="B6" s="23" t="s">
        <v>100</v>
      </c>
      <c r="C6" s="23" t="s">
        <v>179</v>
      </c>
      <c r="D6" s="60" t="s">
        <v>76</v>
      </c>
      <c r="E6" s="54">
        <v>1</v>
      </c>
      <c r="F6" s="30"/>
      <c r="G6" s="49" t="str">
        <f>Table_0[[#This Row],[Driver]]</f>
        <v>Lando NorrisMcLaren</v>
      </c>
      <c r="H6" s="50">
        <f>IFERROR(VALUE(_xlfn.XLOOKUP(G6,Table_0[Driver],Table_0[Pos])),"R")</f>
        <v>5</v>
      </c>
      <c r="I6" s="43" t="str">
        <f>_xlfn.XLOOKUP(Table_0[[#This Row],[Driver]],DriverNameMapping!$A$1:$A$22,DriverNameMapping!$B$1:$B$22)</f>
        <v>Lando Norris - McLaren</v>
      </c>
      <c r="J6" s="44" t="str">
        <f>_xlfn.XLOOKUP(G6,Table_0[Driver],Table_0[Time])</f>
        <v>+ 24.284</v>
      </c>
      <c r="K6" s="44" t="str">
        <f>_xlfn.XLOOKUP(G6,Table_0[Driver],Table_0[Stops])</f>
        <v>2</v>
      </c>
      <c r="L6" s="52" cm="1">
        <f t="array" ref="L6">_xlfn.XLOOKUP(H6,VALUE(Table_0[Pos]),$E$2:$E$21,0)</f>
        <v>1</v>
      </c>
      <c r="N6" s="4">
        <v>5</v>
      </c>
      <c r="O6" t="s">
        <v>53</v>
      </c>
      <c r="P6" t="s">
        <v>53</v>
      </c>
      <c r="Q6" t="s">
        <v>55</v>
      </c>
      <c r="R6" t="s">
        <v>51</v>
      </c>
      <c r="S6" t="s">
        <v>51</v>
      </c>
      <c r="U6" t="s">
        <v>40</v>
      </c>
      <c r="V6" t="s">
        <v>51</v>
      </c>
      <c r="W6" t="s">
        <v>51</v>
      </c>
      <c r="X6" t="s">
        <v>52</v>
      </c>
      <c r="Y6" t="s">
        <v>40</v>
      </c>
      <c r="Z6" t="s">
        <v>42</v>
      </c>
      <c r="AA6" t="s">
        <v>52</v>
      </c>
      <c r="AB6" t="s">
        <v>51</v>
      </c>
      <c r="AC6" t="s">
        <v>40</v>
      </c>
      <c r="AD6" t="s">
        <v>47</v>
      </c>
      <c r="AE6" t="s">
        <v>53</v>
      </c>
      <c r="AF6" t="s">
        <v>57</v>
      </c>
      <c r="AG6" t="s">
        <v>40</v>
      </c>
      <c r="AH6" t="s">
        <v>50</v>
      </c>
      <c r="AI6" t="s">
        <v>46</v>
      </c>
      <c r="AJ6" t="s">
        <v>46</v>
      </c>
      <c r="AK6" t="s">
        <v>50</v>
      </c>
    </row>
    <row r="7" spans="1:37" x14ac:dyDescent="0.3">
      <c r="A7" s="59" t="s">
        <v>84</v>
      </c>
      <c r="B7" s="23" t="s">
        <v>95</v>
      </c>
      <c r="C7" s="23" t="s">
        <v>180</v>
      </c>
      <c r="D7" s="60" t="s">
        <v>76</v>
      </c>
      <c r="E7" s="54">
        <v>4</v>
      </c>
      <c r="F7" s="30"/>
      <c r="G7" s="49" t="str">
        <f>Table_0[[#This Row],[Driver]]</f>
        <v>Oscar PiastriMcLaren</v>
      </c>
      <c r="H7" s="50">
        <f>IFERROR(VALUE(_xlfn.XLOOKUP(G7,Table_0[Driver],Table_0[Pos])),"R")</f>
        <v>6</v>
      </c>
      <c r="I7" s="43" t="str">
        <f>_xlfn.XLOOKUP(Table_0[[#This Row],[Driver]],DriverNameMapping!$A$1:$A$22,DriverNameMapping!$B$1:$B$22)</f>
        <v>Oscar Piastri - McLaren</v>
      </c>
      <c r="J7" s="44" t="str">
        <f>_xlfn.XLOOKUP(G7,Table_0[Driver],Table_0[Time])</f>
        <v>+ 31.487</v>
      </c>
      <c r="K7" s="44" t="str">
        <f>_xlfn.XLOOKUP(G7,Table_0[Driver],Table_0[Stops])</f>
        <v>2</v>
      </c>
      <c r="L7" s="52" cm="1">
        <f t="array" ref="L7">_xlfn.XLOOKUP(H7,VALUE(Table_0[Pos]),$E$2:$E$21,0)</f>
        <v>4</v>
      </c>
      <c r="N7" s="4">
        <v>6</v>
      </c>
      <c r="O7" t="s">
        <v>46</v>
      </c>
      <c r="P7" t="s">
        <v>51</v>
      </c>
      <c r="Q7" t="s">
        <v>50</v>
      </c>
      <c r="R7" t="s">
        <v>53</v>
      </c>
      <c r="S7" t="s">
        <v>53</v>
      </c>
      <c r="U7" t="s">
        <v>57</v>
      </c>
      <c r="V7" t="s">
        <v>46</v>
      </c>
      <c r="W7" t="s">
        <v>55</v>
      </c>
      <c r="X7" t="s">
        <v>51</v>
      </c>
      <c r="Y7" t="s">
        <v>55</v>
      </c>
      <c r="Z7" t="s">
        <v>40</v>
      </c>
      <c r="AA7" t="s">
        <v>40</v>
      </c>
      <c r="AB7" t="s">
        <v>53</v>
      </c>
      <c r="AC7" t="s">
        <v>53</v>
      </c>
      <c r="AD7" t="s">
        <v>49</v>
      </c>
      <c r="AE7" t="s">
        <v>51</v>
      </c>
      <c r="AF7" t="s">
        <v>52</v>
      </c>
      <c r="AG7" t="s">
        <v>49</v>
      </c>
      <c r="AH7" t="s">
        <v>40</v>
      </c>
      <c r="AI7" t="s">
        <v>51</v>
      </c>
      <c r="AJ7" t="s">
        <v>51</v>
      </c>
      <c r="AK7" t="s">
        <v>42</v>
      </c>
    </row>
    <row r="8" spans="1:37" x14ac:dyDescent="0.3">
      <c r="A8" s="59" t="s">
        <v>86</v>
      </c>
      <c r="B8" s="23" t="s">
        <v>77</v>
      </c>
      <c r="C8" s="23" t="s">
        <v>181</v>
      </c>
      <c r="D8" s="60" t="s">
        <v>76</v>
      </c>
      <c r="E8" s="54">
        <v>8</v>
      </c>
      <c r="F8" s="30"/>
      <c r="G8" s="49" t="str">
        <f>Table_0[[#This Row],[Driver]]</f>
        <v>Fernando AlonsoAston Martin</v>
      </c>
      <c r="H8" s="50">
        <f>IFERROR(VALUE(_xlfn.XLOOKUP(G8,Table_0[Driver],Table_0[Pos])),"R")</f>
        <v>7</v>
      </c>
      <c r="I8" s="43" t="str">
        <f>_xlfn.XLOOKUP(Table_0[[#This Row],[Driver]],DriverNameMapping!$A$1:$A$22,DriverNameMapping!$B$1:$B$22)</f>
        <v>Fernando Alonso - Aston Martin</v>
      </c>
      <c r="J8" s="44" t="str">
        <f>_xlfn.XLOOKUP(G8,Table_0[Driver],Table_0[Time])</f>
        <v>+ 39.512</v>
      </c>
      <c r="K8" s="44" t="str">
        <f>_xlfn.XLOOKUP(G8,Table_0[Driver],Table_0[Stops])</f>
        <v>2</v>
      </c>
      <c r="L8" s="52" cm="1">
        <f t="array" ref="L8">_xlfn.XLOOKUP(H8,VALUE(Table_0[Pos]),$E$2:$E$21,0)</f>
        <v>8</v>
      </c>
      <c r="N8" s="4">
        <v>7</v>
      </c>
      <c r="O8" t="s">
        <v>40</v>
      </c>
      <c r="P8" t="s">
        <v>57</v>
      </c>
      <c r="Q8" t="s">
        <v>43</v>
      </c>
      <c r="R8" t="s">
        <v>46</v>
      </c>
      <c r="S8" t="s">
        <v>57</v>
      </c>
      <c r="U8" t="s">
        <v>49</v>
      </c>
      <c r="V8" t="s">
        <v>52</v>
      </c>
      <c r="W8" t="s">
        <v>39</v>
      </c>
      <c r="X8" t="s">
        <v>40</v>
      </c>
      <c r="Y8" t="s">
        <v>52</v>
      </c>
      <c r="Z8" t="s">
        <v>57</v>
      </c>
      <c r="AA8" t="s">
        <v>50</v>
      </c>
      <c r="AB8" t="s">
        <v>50</v>
      </c>
      <c r="AC8" t="s">
        <v>39</v>
      </c>
      <c r="AD8" t="s">
        <v>42</v>
      </c>
      <c r="AE8" t="s">
        <v>40</v>
      </c>
      <c r="AF8" t="s">
        <v>41</v>
      </c>
      <c r="AG8" t="s">
        <v>46</v>
      </c>
      <c r="AH8" t="s">
        <v>164</v>
      </c>
      <c r="AI8" t="s">
        <v>49</v>
      </c>
      <c r="AJ8" t="s">
        <v>53</v>
      </c>
      <c r="AK8" t="s">
        <v>52</v>
      </c>
    </row>
    <row r="9" spans="1:37" x14ac:dyDescent="0.3">
      <c r="A9" s="59" t="s">
        <v>88</v>
      </c>
      <c r="B9" s="23" t="s">
        <v>102</v>
      </c>
      <c r="C9" s="23" t="s">
        <v>182</v>
      </c>
      <c r="D9" s="60" t="s">
        <v>74</v>
      </c>
      <c r="E9" s="54">
        <v>12</v>
      </c>
      <c r="F9" s="30"/>
      <c r="G9" s="49" t="str">
        <f>Table_0[[#This Row],[Driver]]</f>
        <v>Yuki TsunodaAlphaTauri</v>
      </c>
      <c r="H9" s="50">
        <f>IFERROR(VALUE(_xlfn.XLOOKUP(G9,Table_0[Driver],Table_0[Pos])),"R")</f>
        <v>8</v>
      </c>
      <c r="I9" s="43" t="str">
        <f>_xlfn.XLOOKUP(Table_0[[#This Row],[Driver]],DriverNameMapping!$A$1:$A$22,DriverNameMapping!$B$1:$B$22)</f>
        <v>Yuki Tsunoda - Alpha Tauri</v>
      </c>
      <c r="J9" s="44" t="str">
        <f>_xlfn.XLOOKUP(G9,Table_0[Driver],Table_0[Time])</f>
        <v>+ 43.088</v>
      </c>
      <c r="K9" s="44" t="str">
        <f>_xlfn.XLOOKUP(G9,Table_0[Driver],Table_0[Stops])</f>
        <v>1</v>
      </c>
      <c r="L9" s="52" cm="1">
        <f t="array" ref="L9">_xlfn.XLOOKUP(H9,VALUE(Table_0[Pos]),$E$2:$E$21,0)</f>
        <v>12</v>
      </c>
      <c r="N9" s="4">
        <v>8</v>
      </c>
      <c r="O9" t="s">
        <v>44</v>
      </c>
      <c r="P9" t="s">
        <v>41</v>
      </c>
      <c r="Q9" t="s">
        <v>42</v>
      </c>
      <c r="R9" t="s">
        <v>40</v>
      </c>
      <c r="S9" t="s">
        <v>49</v>
      </c>
      <c r="U9" t="s">
        <v>51</v>
      </c>
      <c r="V9" t="s">
        <v>41</v>
      </c>
      <c r="W9" t="s">
        <v>41</v>
      </c>
      <c r="X9" t="s">
        <v>53</v>
      </c>
      <c r="Y9" t="s">
        <v>39</v>
      </c>
      <c r="Z9" t="s">
        <v>51</v>
      </c>
      <c r="AA9" t="s">
        <v>41</v>
      </c>
      <c r="AB9" t="s">
        <v>39</v>
      </c>
      <c r="AC9" t="s">
        <v>50</v>
      </c>
      <c r="AD9" t="s">
        <v>55</v>
      </c>
      <c r="AE9" t="s">
        <v>52</v>
      </c>
      <c r="AF9" t="s">
        <v>44</v>
      </c>
      <c r="AG9" t="s">
        <v>169</v>
      </c>
      <c r="AH9" t="s">
        <v>42</v>
      </c>
      <c r="AI9" t="s">
        <v>53</v>
      </c>
      <c r="AJ9" t="s">
        <v>40</v>
      </c>
      <c r="AK9" t="s">
        <v>169</v>
      </c>
    </row>
    <row r="10" spans="1:37" x14ac:dyDescent="0.3">
      <c r="A10" s="59" t="s">
        <v>90</v>
      </c>
      <c r="B10" s="23" t="s">
        <v>79</v>
      </c>
      <c r="C10" s="23" t="s">
        <v>183</v>
      </c>
      <c r="D10" s="60" t="s">
        <v>76</v>
      </c>
      <c r="E10" s="54">
        <v>18</v>
      </c>
      <c r="F10" s="30"/>
      <c r="G10" s="49" t="str">
        <f>Table_0[[#This Row],[Driver]]</f>
        <v>Lewis HamiltonMercedes</v>
      </c>
      <c r="H10" s="50">
        <f>IFERROR(VALUE(_xlfn.XLOOKUP(G10,Table_0[Driver],Table_0[Pos])),"R")</f>
        <v>9</v>
      </c>
      <c r="I10" s="43" t="str">
        <f>_xlfn.XLOOKUP(Table_0[[#This Row],[Driver]],DriverNameMapping!$A$1:$A$22,DriverNameMapping!$B$1:$B$22)</f>
        <v>Lewis Hamilton - Mercedes</v>
      </c>
      <c r="J10" s="44" t="str">
        <f>_xlfn.XLOOKUP(G10,Table_0[Driver],Table_0[Time])</f>
        <v>+ 44.424</v>
      </c>
      <c r="K10" s="44" t="str">
        <f>_xlfn.XLOOKUP(G10,Table_0[Driver],Table_0[Stops])</f>
        <v>2</v>
      </c>
      <c r="L10" s="52" cm="1">
        <f t="array" ref="L10">_xlfn.XLOOKUP(H10,VALUE(Table_0[Pos]),$E$2:$E$21,0)</f>
        <v>18</v>
      </c>
      <c r="N10" s="4">
        <v>9</v>
      </c>
      <c r="O10" t="s">
        <v>49</v>
      </c>
      <c r="P10" t="s">
        <v>49</v>
      </c>
      <c r="Q10" t="s">
        <v>48</v>
      </c>
      <c r="R10" t="s">
        <v>50</v>
      </c>
      <c r="S10" t="s">
        <v>41</v>
      </c>
      <c r="U10" t="s">
        <v>50</v>
      </c>
      <c r="V10" t="s">
        <v>48</v>
      </c>
      <c r="W10" t="s">
        <v>46</v>
      </c>
      <c r="X10" t="s">
        <v>46</v>
      </c>
      <c r="Y10" t="s">
        <v>57</v>
      </c>
      <c r="Z10" t="s">
        <v>52</v>
      </c>
      <c r="AA10" t="s">
        <v>46</v>
      </c>
      <c r="AB10" t="s">
        <v>42</v>
      </c>
      <c r="AC10" t="s">
        <v>52</v>
      </c>
      <c r="AD10" t="s">
        <v>168</v>
      </c>
      <c r="AE10" t="s">
        <v>49</v>
      </c>
      <c r="AF10" t="s">
        <v>48</v>
      </c>
      <c r="AG10" t="s">
        <v>39</v>
      </c>
      <c r="AH10" t="s">
        <v>39</v>
      </c>
      <c r="AI10" t="s">
        <v>169</v>
      </c>
      <c r="AJ10" t="s">
        <v>52</v>
      </c>
      <c r="AK10" t="s">
        <v>53</v>
      </c>
    </row>
    <row r="11" spans="1:37" x14ac:dyDescent="0.3">
      <c r="A11" s="59" t="s">
        <v>92</v>
      </c>
      <c r="B11" s="23" t="s">
        <v>91</v>
      </c>
      <c r="C11" s="23" t="s">
        <v>184</v>
      </c>
      <c r="D11" s="60" t="s">
        <v>76</v>
      </c>
      <c r="E11" s="54">
        <v>25</v>
      </c>
      <c r="F11" s="30"/>
      <c r="G11" s="49" t="str">
        <f>Table_0[[#This Row],[Driver]]</f>
        <v>Lance StrollAston Martin</v>
      </c>
      <c r="H11" s="50">
        <f>IFERROR(VALUE(_xlfn.XLOOKUP(G11,Table_0[Driver],Table_0[Pos])),"R")</f>
        <v>10</v>
      </c>
      <c r="I11" s="43" t="str">
        <f>_xlfn.XLOOKUP(Table_0[[#This Row],[Driver]],DriverNameMapping!$A$1:$A$22,DriverNameMapping!$B$1:$B$22)</f>
        <v>Lance Stroll - Aston Martin</v>
      </c>
      <c r="J11" s="44" t="str">
        <f>_xlfn.XLOOKUP(G11,Table_0[Driver],Table_0[Time])</f>
        <v>+ 55.632</v>
      </c>
      <c r="K11" s="44" t="str">
        <f>_xlfn.XLOOKUP(G11,Table_0[Driver],Table_0[Stops])</f>
        <v>2</v>
      </c>
      <c r="L11" s="52" cm="1">
        <f t="array" ref="L11">_xlfn.XLOOKUP(H11,VALUE(Table_0[Pos]),$E$2:$E$21,0)</f>
        <v>25</v>
      </c>
      <c r="N11" s="4">
        <v>10</v>
      </c>
      <c r="O11" t="s">
        <v>39</v>
      </c>
      <c r="P11" t="s">
        <v>54</v>
      </c>
      <c r="Q11" t="s">
        <v>45</v>
      </c>
      <c r="R11" t="s">
        <v>45</v>
      </c>
      <c r="S11" t="s">
        <v>54</v>
      </c>
      <c r="U11" t="s">
        <v>42</v>
      </c>
      <c r="V11" t="s">
        <v>49</v>
      </c>
      <c r="W11" t="s">
        <v>44</v>
      </c>
      <c r="X11" t="s">
        <v>49</v>
      </c>
      <c r="Y11" t="s">
        <v>51</v>
      </c>
      <c r="Z11" t="s">
        <v>46</v>
      </c>
      <c r="AA11" t="s">
        <v>45</v>
      </c>
      <c r="AB11" t="s">
        <v>41</v>
      </c>
      <c r="AC11" t="s">
        <v>44</v>
      </c>
      <c r="AD11" t="s">
        <v>54</v>
      </c>
      <c r="AE11" t="s">
        <v>41</v>
      </c>
      <c r="AF11" t="s">
        <v>55</v>
      </c>
      <c r="AG11" t="s">
        <v>98</v>
      </c>
      <c r="AH11" t="s">
        <v>41</v>
      </c>
      <c r="AI11" t="s">
        <v>41</v>
      </c>
      <c r="AJ11" t="s">
        <v>42</v>
      </c>
      <c r="AK11" t="s">
        <v>46</v>
      </c>
    </row>
    <row r="12" spans="1:37" x14ac:dyDescent="0.3">
      <c r="A12" s="59" t="s">
        <v>94</v>
      </c>
      <c r="B12" s="23" t="s">
        <v>165</v>
      </c>
      <c r="C12" s="23" t="s">
        <v>185</v>
      </c>
      <c r="D12" s="60" t="s">
        <v>76</v>
      </c>
      <c r="E12" s="54">
        <v>15</v>
      </c>
      <c r="F12" s="30"/>
      <c r="G12" s="49" t="str">
        <f>Table_0[[#This Row],[Driver]]</f>
        <v>Daniel RicciardoAlphaTauri</v>
      </c>
      <c r="H12" s="50">
        <f>IFERROR(VALUE(_xlfn.XLOOKUP(G12,Table_0[Driver],Table_0[Pos])),"R")</f>
        <v>11</v>
      </c>
      <c r="I12" s="43" t="str">
        <f>_xlfn.XLOOKUP(Table_0[[#This Row],[Driver]],DriverNameMapping!$A$1:$A$22,DriverNameMapping!$B$1:$B$22)</f>
        <v>Daniel Ricciardo - Alpha Tauri</v>
      </c>
      <c r="J12" s="44" t="str">
        <f>_xlfn.XLOOKUP(G12,Table_0[Driver],Table_0[Time])</f>
        <v>+ 56.229</v>
      </c>
      <c r="K12" s="44" t="str">
        <f>_xlfn.XLOOKUP(G12,Table_0[Driver],Table_0[Stops])</f>
        <v>2</v>
      </c>
      <c r="L12" s="52" cm="1">
        <f t="array" ref="L12">_xlfn.XLOOKUP(H12,VALUE(Table_0[Pos]),$E$2:$E$21,0)</f>
        <v>15</v>
      </c>
      <c r="N12" s="4">
        <v>11</v>
      </c>
      <c r="O12" t="s">
        <v>45</v>
      </c>
      <c r="P12" t="s">
        <v>45</v>
      </c>
      <c r="Q12" t="s">
        <v>44</v>
      </c>
      <c r="R12" t="s">
        <v>42</v>
      </c>
      <c r="S12" t="s">
        <v>45</v>
      </c>
      <c r="U12" t="s">
        <v>44</v>
      </c>
      <c r="V12" t="s">
        <v>57</v>
      </c>
      <c r="W12" t="s">
        <v>42</v>
      </c>
      <c r="X12" t="s">
        <v>39</v>
      </c>
      <c r="Y12" t="s">
        <v>98</v>
      </c>
      <c r="Z12" t="s">
        <v>39</v>
      </c>
      <c r="AA12" t="s">
        <v>49</v>
      </c>
      <c r="AB12" t="s">
        <v>46</v>
      </c>
      <c r="AC12" t="s">
        <v>168</v>
      </c>
      <c r="AD12" t="s">
        <v>39</v>
      </c>
      <c r="AE12" t="s">
        <v>167</v>
      </c>
      <c r="AF12" t="s">
        <v>46</v>
      </c>
      <c r="AG12" t="s">
        <v>43</v>
      </c>
      <c r="AH12" t="s">
        <v>49</v>
      </c>
      <c r="AI12" t="s">
        <v>98</v>
      </c>
      <c r="AJ12" t="s">
        <v>49</v>
      </c>
      <c r="AK12" t="s">
        <v>164</v>
      </c>
    </row>
    <row r="13" spans="1:37" x14ac:dyDescent="0.3">
      <c r="A13" s="59" t="s">
        <v>96</v>
      </c>
      <c r="B13" s="23" t="s">
        <v>89</v>
      </c>
      <c r="C13" s="23" t="s">
        <v>186</v>
      </c>
      <c r="D13" s="60" t="s">
        <v>74</v>
      </c>
      <c r="E13" s="54">
        <v>10</v>
      </c>
      <c r="F13" s="30"/>
      <c r="G13" s="49" t="str">
        <f>Table_0[[#This Row],[Driver]]</f>
        <v>Esteban OconAlpine</v>
      </c>
      <c r="H13" s="50">
        <f>IFERROR(VALUE(_xlfn.XLOOKUP(G13,Table_0[Driver],Table_0[Pos])),"R")</f>
        <v>12</v>
      </c>
      <c r="I13" s="43" t="str">
        <f>_xlfn.XLOOKUP(Table_0[[#This Row],[Driver]],DriverNameMapping!$A$1:$A$22,DriverNameMapping!$B$1:$B$22)</f>
        <v>Esteban Ocon - Alpine</v>
      </c>
      <c r="J13" s="44" t="str">
        <f>_xlfn.XLOOKUP(G13,Table_0[Driver],Table_0[Time])</f>
        <v>+ 66.373</v>
      </c>
      <c r="K13" s="44" t="str">
        <f>_xlfn.XLOOKUP(G13,Table_0[Driver],Table_0[Stops])</f>
        <v>1</v>
      </c>
      <c r="L13" s="52" cm="1">
        <f t="array" ref="L13">_xlfn.XLOOKUP(H13,VALUE(Table_0[Pos]),$E$2:$E$21,0)</f>
        <v>10</v>
      </c>
      <c r="N13" s="4">
        <v>12</v>
      </c>
      <c r="O13" t="s">
        <v>98</v>
      </c>
      <c r="P13" t="s">
        <v>43</v>
      </c>
      <c r="Q13" t="s">
        <v>51</v>
      </c>
      <c r="R13" t="s">
        <v>39</v>
      </c>
      <c r="S13" t="s">
        <v>46</v>
      </c>
      <c r="U13" t="s">
        <v>56</v>
      </c>
      <c r="V13" t="s">
        <v>45</v>
      </c>
      <c r="W13" t="s">
        <v>49</v>
      </c>
      <c r="X13" t="s">
        <v>48</v>
      </c>
      <c r="Y13" t="s">
        <v>44</v>
      </c>
      <c r="Z13" t="s">
        <v>44</v>
      </c>
      <c r="AA13" t="s">
        <v>44</v>
      </c>
      <c r="AB13" t="s">
        <v>43</v>
      </c>
      <c r="AC13" t="s">
        <v>42</v>
      </c>
      <c r="AD13" t="s">
        <v>48</v>
      </c>
      <c r="AE13" t="s">
        <v>169</v>
      </c>
      <c r="AF13" t="s">
        <v>49</v>
      </c>
      <c r="AG13" t="s">
        <v>44</v>
      </c>
      <c r="AH13" t="s">
        <v>169</v>
      </c>
      <c r="AI13" t="s">
        <v>43</v>
      </c>
      <c r="AJ13" t="s">
        <v>39</v>
      </c>
      <c r="AK13" t="s">
        <v>41</v>
      </c>
    </row>
    <row r="14" spans="1:37" x14ac:dyDescent="0.3">
      <c r="A14" s="59" t="s">
        <v>99</v>
      </c>
      <c r="B14" s="23" t="s">
        <v>97</v>
      </c>
      <c r="C14" s="23" t="s">
        <v>187</v>
      </c>
      <c r="D14" s="60" t="s">
        <v>76</v>
      </c>
      <c r="E14" s="54">
        <v>6</v>
      </c>
      <c r="F14" s="30"/>
      <c r="G14" s="49" t="str">
        <f>Table_0[[#This Row],[Driver]]</f>
        <v>Pierre GaslyAlpine</v>
      </c>
      <c r="H14" s="50">
        <f>IFERROR(VALUE(_xlfn.XLOOKUP(G14,Table_0[Driver],Table_0[Pos])),"R")</f>
        <v>13</v>
      </c>
      <c r="I14" s="43" t="str">
        <f>_xlfn.XLOOKUP(Table_0[[#This Row],[Driver]],DriverNameMapping!$A$1:$A$22,DriverNameMapping!$B$1:$B$22)</f>
        <v>Pierre Gasly - Alpine</v>
      </c>
      <c r="J14" s="44" t="str">
        <f>_xlfn.XLOOKUP(G14,Table_0[Driver],Table_0[Time])</f>
        <v>+ 70.360</v>
      </c>
      <c r="K14" s="44" t="str">
        <f>_xlfn.XLOOKUP(G14,Table_0[Driver],Table_0[Stops])</f>
        <v>2</v>
      </c>
      <c r="L14" s="52" cm="1">
        <f t="array" ref="L14">_xlfn.XLOOKUP(H14,VALUE(Table_0[Pos]),$E$2:$E$21,0)</f>
        <v>6</v>
      </c>
      <c r="N14" s="4">
        <v>13</v>
      </c>
      <c r="O14" t="s">
        <v>54</v>
      </c>
      <c r="P14" t="s">
        <v>48</v>
      </c>
      <c r="Q14" t="s">
        <v>56</v>
      </c>
      <c r="R14" t="s">
        <v>54</v>
      </c>
      <c r="S14" t="s">
        <v>44</v>
      </c>
      <c r="U14" t="s">
        <v>48</v>
      </c>
      <c r="V14" t="s">
        <v>42</v>
      </c>
      <c r="W14" t="s">
        <v>50</v>
      </c>
      <c r="X14" t="s">
        <v>98</v>
      </c>
      <c r="Y14" t="s">
        <v>43</v>
      </c>
      <c r="Z14" t="s">
        <v>164</v>
      </c>
      <c r="AA14" t="s">
        <v>48</v>
      </c>
      <c r="AB14" t="s">
        <v>167</v>
      </c>
      <c r="AC14" t="s">
        <v>98</v>
      </c>
      <c r="AD14" t="s">
        <v>43</v>
      </c>
      <c r="AE14" t="s">
        <v>48</v>
      </c>
      <c r="AF14" t="s">
        <v>39</v>
      </c>
      <c r="AG14" t="s">
        <v>48</v>
      </c>
      <c r="AH14" t="s">
        <v>43</v>
      </c>
      <c r="AI14" t="s">
        <v>164</v>
      </c>
      <c r="AJ14" t="s">
        <v>54</v>
      </c>
      <c r="AK14" t="s">
        <v>49</v>
      </c>
    </row>
    <row r="15" spans="1:37" x14ac:dyDescent="0.3">
      <c r="A15" s="59" t="s">
        <v>101</v>
      </c>
      <c r="B15" s="23" t="s">
        <v>87</v>
      </c>
      <c r="C15" s="23" t="s">
        <v>188</v>
      </c>
      <c r="D15" s="60" t="s">
        <v>76</v>
      </c>
      <c r="E15" s="54">
        <v>2</v>
      </c>
      <c r="F15" s="30"/>
      <c r="G15" s="49" t="str">
        <f>Table_0[[#This Row],[Driver]]</f>
        <v>Alex AlbonWilliams</v>
      </c>
      <c r="H15" s="50">
        <f>IFERROR(VALUE(_xlfn.XLOOKUP(G15,Table_0[Driver],Table_0[Pos])),"R")</f>
        <v>14</v>
      </c>
      <c r="I15" s="43" t="str">
        <f>_xlfn.XLOOKUP(Table_0[[#This Row],[Driver]],DriverNameMapping!$A$1:$A$22,DriverNameMapping!$B$1:$B$22)</f>
        <v>Alex Albon - Williams</v>
      </c>
      <c r="J15" s="44" t="str">
        <f>_xlfn.XLOOKUP(G15,Table_0[Driver],Table_0[Time])</f>
        <v>+ 73.184</v>
      </c>
      <c r="K15" s="44" t="str">
        <f>_xlfn.XLOOKUP(G15,Table_0[Driver],Table_0[Stops])</f>
        <v>2</v>
      </c>
      <c r="L15" s="52" cm="1">
        <f t="array" ref="L15">_xlfn.XLOOKUP(H15,VALUE(Table_0[Pos]),$E$2:$E$21,0)</f>
        <v>2</v>
      </c>
      <c r="N15" s="4">
        <v>14</v>
      </c>
      <c r="O15" t="s">
        <v>56</v>
      </c>
      <c r="P15" t="s">
        <v>56</v>
      </c>
      <c r="Q15" t="s">
        <v>49</v>
      </c>
      <c r="R15" t="s">
        <v>49</v>
      </c>
      <c r="S15" t="s">
        <v>39</v>
      </c>
      <c r="U15" t="s">
        <v>39</v>
      </c>
      <c r="V15" t="s">
        <v>56</v>
      </c>
      <c r="W15" t="s">
        <v>45</v>
      </c>
      <c r="X15" t="s">
        <v>41</v>
      </c>
      <c r="Y15" t="s">
        <v>46</v>
      </c>
      <c r="Z15" t="s">
        <v>43</v>
      </c>
      <c r="AA15" t="s">
        <v>39</v>
      </c>
      <c r="AB15" t="s">
        <v>54</v>
      </c>
      <c r="AC15" t="s">
        <v>48</v>
      </c>
      <c r="AD15" t="s">
        <v>98</v>
      </c>
      <c r="AE15" t="s">
        <v>43</v>
      </c>
      <c r="AF15" t="s">
        <v>54</v>
      </c>
      <c r="AG15" t="s">
        <v>54</v>
      </c>
      <c r="AH15" t="s">
        <v>48</v>
      </c>
      <c r="AI15" t="s">
        <v>42</v>
      </c>
      <c r="AJ15" t="s">
        <v>164</v>
      </c>
      <c r="AK15" t="s">
        <v>39</v>
      </c>
    </row>
    <row r="16" spans="1:37" x14ac:dyDescent="0.3">
      <c r="A16" s="59" t="s">
        <v>172</v>
      </c>
      <c r="B16" s="23" t="s">
        <v>103</v>
      </c>
      <c r="C16" s="23" t="s">
        <v>189</v>
      </c>
      <c r="D16" s="60" t="s">
        <v>76</v>
      </c>
      <c r="E16" s="54">
        <v>0.5</v>
      </c>
      <c r="F16" s="30"/>
      <c r="G16" s="49" t="str">
        <f>Table_0[[#This Row],[Driver]]</f>
        <v>Nico HulkenbergHaas</v>
      </c>
      <c r="H16" s="50">
        <f>IFERROR(VALUE(_xlfn.XLOOKUP(G16,Table_0[Driver],Table_0[Pos])),"R")</f>
        <v>15</v>
      </c>
      <c r="I16" s="43" t="str">
        <f>_xlfn.XLOOKUP(Table_0[[#This Row],[Driver]],DriverNameMapping!$A$1:$A$22,DriverNameMapping!$B$1:$B$22)</f>
        <v>Nico Hulkenberg - Haas</v>
      </c>
      <c r="J16" s="44" t="str">
        <f>_xlfn.XLOOKUP(G16,Table_0[Driver],Table_0[Time])</f>
        <v>+ 83.696</v>
      </c>
      <c r="K16" s="44" t="str">
        <f>_xlfn.XLOOKUP(G16,Table_0[Driver],Table_0[Stops])</f>
        <v>2</v>
      </c>
      <c r="L16" s="52" cm="1">
        <f t="array" ref="L16">_xlfn.XLOOKUP(H16,VALUE(Table_0[Pos]),$E$2:$E$21,0)</f>
        <v>0.5</v>
      </c>
      <c r="N16" s="4">
        <v>15</v>
      </c>
      <c r="O16" t="s">
        <v>43</v>
      </c>
      <c r="P16" t="s">
        <v>42</v>
      </c>
      <c r="Q16" t="s">
        <v>41</v>
      </c>
      <c r="R16" t="s">
        <v>41</v>
      </c>
      <c r="S16" t="s">
        <v>43</v>
      </c>
      <c r="U16" t="s">
        <v>45</v>
      </c>
      <c r="V16" t="s">
        <v>43</v>
      </c>
      <c r="W16" t="s">
        <v>43</v>
      </c>
      <c r="X16" t="s">
        <v>44</v>
      </c>
      <c r="Y16" t="s">
        <v>48</v>
      </c>
      <c r="Z16" t="s">
        <v>45</v>
      </c>
      <c r="AA16" t="s">
        <v>54</v>
      </c>
      <c r="AB16" t="s">
        <v>44</v>
      </c>
      <c r="AC16" t="s">
        <v>49</v>
      </c>
      <c r="AD16" t="s">
        <v>52</v>
      </c>
      <c r="AE16" t="s">
        <v>54</v>
      </c>
      <c r="AF16" t="s">
        <v>169</v>
      </c>
      <c r="AG16" t="s">
        <v>164</v>
      </c>
      <c r="AH16" t="s">
        <v>98</v>
      </c>
      <c r="AI16" t="s">
        <v>57</v>
      </c>
      <c r="AJ16" t="s">
        <v>48</v>
      </c>
      <c r="AK16" t="s">
        <v>43</v>
      </c>
    </row>
    <row r="17" spans="1:37" x14ac:dyDescent="0.3">
      <c r="A17" s="59" t="s">
        <v>173</v>
      </c>
      <c r="B17" s="23" t="s">
        <v>108</v>
      </c>
      <c r="C17" s="23" t="s">
        <v>190</v>
      </c>
      <c r="D17" s="60" t="s">
        <v>76</v>
      </c>
      <c r="E17" s="53"/>
      <c r="F17" s="29"/>
      <c r="G17" s="49" t="str">
        <f>Table_0[[#This Row],[Driver]]</f>
        <v>Logan SargeantWilliams</v>
      </c>
      <c r="H17" s="50">
        <f>IFERROR(VALUE(_xlfn.XLOOKUP(G17,Table_0[Driver],Table_0[Pos])),"R")</f>
        <v>16</v>
      </c>
      <c r="I17" s="43" t="str">
        <f>_xlfn.XLOOKUP(Table_0[[#This Row],[Driver]],DriverNameMapping!$A$1:$A$22,DriverNameMapping!$B$1:$B$22)</f>
        <v>Logan Sargeant - Williams</v>
      </c>
      <c r="J17" s="44" t="str">
        <f>_xlfn.XLOOKUP(G17,Table_0[Driver],Table_0[Time])</f>
        <v>+ 87.791</v>
      </c>
      <c r="K17" s="44" t="str">
        <f>_xlfn.XLOOKUP(G17,Table_0[Driver],Table_0[Stops])</f>
        <v>2</v>
      </c>
      <c r="L17" s="52" cm="1">
        <f t="array" ref="L17">_xlfn.XLOOKUP(H17,VALUE(Table_0[Pos]),$E$2:$E$21,0)</f>
        <v>0</v>
      </c>
      <c r="N17" s="4">
        <v>16</v>
      </c>
      <c r="O17" t="s">
        <v>48</v>
      </c>
      <c r="P17" t="s">
        <v>98</v>
      </c>
      <c r="Q17" t="s">
        <v>57</v>
      </c>
      <c r="R17" t="s">
        <v>98</v>
      </c>
      <c r="S17" t="s">
        <v>48</v>
      </c>
      <c r="U17" t="s">
        <v>43</v>
      </c>
      <c r="V17" t="s">
        <v>39</v>
      </c>
      <c r="W17" t="s">
        <v>48</v>
      </c>
      <c r="X17" t="s">
        <v>42</v>
      </c>
      <c r="Y17" t="s">
        <v>45</v>
      </c>
      <c r="Z17" t="s">
        <v>48</v>
      </c>
      <c r="AA17" t="s">
        <v>164</v>
      </c>
      <c r="AB17" t="s">
        <v>45</v>
      </c>
      <c r="AC17" t="s">
        <v>46</v>
      </c>
      <c r="AD17" t="s">
        <v>40</v>
      </c>
      <c r="AE17" t="s">
        <v>39</v>
      </c>
      <c r="AF17" t="s">
        <v>43</v>
      </c>
      <c r="AG17" t="s">
        <v>57</v>
      </c>
      <c r="AH17" t="s">
        <v>44</v>
      </c>
      <c r="AI17" t="s">
        <v>54</v>
      </c>
      <c r="AJ17" t="s">
        <v>98</v>
      </c>
      <c r="AK17" t="s">
        <v>98</v>
      </c>
    </row>
    <row r="18" spans="1:37" x14ac:dyDescent="0.3">
      <c r="A18" s="59" t="s">
        <v>174</v>
      </c>
      <c r="B18" s="23" t="s">
        <v>104</v>
      </c>
      <c r="C18" s="23" t="s">
        <v>191</v>
      </c>
      <c r="D18" s="60" t="s">
        <v>76</v>
      </c>
      <c r="E18" s="53"/>
      <c r="F18" s="29"/>
      <c r="G18" s="49" t="str">
        <f>Table_0[[#This Row],[Driver]]</f>
        <v>Guanyu ZhouAlfa Romeo Racing</v>
      </c>
      <c r="H18" s="50">
        <f>IFERROR(VALUE(_xlfn.XLOOKUP(G18,Table_0[Driver],Table_0[Pos])),"R")</f>
        <v>17</v>
      </c>
      <c r="I18" s="43" t="str">
        <f>_xlfn.XLOOKUP(Table_0[[#This Row],[Driver]],DriverNameMapping!$A$1:$A$22,DriverNameMapping!$B$1:$B$22)</f>
        <v>Guanyu Zhou - Alfa Romeo Racing</v>
      </c>
      <c r="J18" s="44" t="str">
        <f>_xlfn.XLOOKUP(G18,Table_0[Driver],Table_0[Time])</f>
        <v>+ 89.422</v>
      </c>
      <c r="K18" s="44" t="str">
        <f>_xlfn.XLOOKUP(G18,Table_0[Driver],Table_0[Stops])</f>
        <v>2</v>
      </c>
      <c r="L18" s="52" cm="1">
        <f t="array" ref="L18">_xlfn.XLOOKUP(H18,VALUE(Table_0[Pos]),$E$2:$E$21,0)</f>
        <v>0</v>
      </c>
      <c r="N18" s="4">
        <v>17</v>
      </c>
      <c r="O18" t="s">
        <v>50</v>
      </c>
      <c r="P18" t="s">
        <v>50</v>
      </c>
      <c r="Q18" t="s">
        <v>54</v>
      </c>
      <c r="R18" t="s">
        <v>43</v>
      </c>
      <c r="S18" t="s">
        <v>50</v>
      </c>
      <c r="U18" t="s">
        <v>55</v>
      </c>
      <c r="V18" t="s">
        <v>50</v>
      </c>
      <c r="W18" t="s">
        <v>54</v>
      </c>
      <c r="X18" t="s">
        <v>56</v>
      </c>
      <c r="Y18" t="s">
        <v>56</v>
      </c>
      <c r="Z18" t="s">
        <v>54</v>
      </c>
      <c r="AA18" t="s">
        <v>43</v>
      </c>
      <c r="AB18" t="s">
        <v>40</v>
      </c>
      <c r="AC18" t="s">
        <v>43</v>
      </c>
      <c r="AD18" t="s">
        <v>44</v>
      </c>
      <c r="AE18" t="s">
        <v>44</v>
      </c>
      <c r="AF18" t="s">
        <v>167</v>
      </c>
      <c r="AG18" t="s">
        <v>53</v>
      </c>
      <c r="AH18" t="s">
        <v>46</v>
      </c>
      <c r="AI18" t="s">
        <v>39</v>
      </c>
      <c r="AJ18" t="s">
        <v>44</v>
      </c>
      <c r="AK18" t="s">
        <v>48</v>
      </c>
    </row>
    <row r="19" spans="1:37" x14ac:dyDescent="0.3">
      <c r="A19" s="59" t="s">
        <v>170</v>
      </c>
      <c r="B19" s="23" t="s">
        <v>93</v>
      </c>
      <c r="C19" s="23" t="s">
        <v>192</v>
      </c>
      <c r="D19" s="60" t="s">
        <v>74</v>
      </c>
      <c r="E19" s="53"/>
      <c r="F19" s="29"/>
      <c r="G19" s="49" t="str">
        <f>Table_0[[#This Row],[Driver]]</f>
        <v>Valtteri BottasAlfa Romeo Racing</v>
      </c>
      <c r="H19" s="50">
        <f>IFERROR(VALUE(_xlfn.XLOOKUP(G19,Table_0[Driver],Table_0[Pos])),"R")</f>
        <v>19</v>
      </c>
      <c r="I19" s="43" t="str">
        <f>_xlfn.XLOOKUP(Table_0[[#This Row],[Driver]],DriverNameMapping!$A$1:$A$22,DriverNameMapping!$B$1:$B$22)</f>
        <v>Valtteri Bottas - Alfa Romeo Racing</v>
      </c>
      <c r="J19" s="44" t="str">
        <f>_xlfn.XLOOKUP(G19,Table_0[Driver],Table_0[Time])</f>
        <v>+ 1 LAP</v>
      </c>
      <c r="K19" s="44" t="str">
        <f>_xlfn.XLOOKUP(G19,Table_0[Driver],Table_0[Stops])</f>
        <v>1</v>
      </c>
      <c r="L19" s="52" cm="1">
        <f t="array" ref="L19">_xlfn.XLOOKUP(H19,VALUE(Table_0[Pos]),$E$2:$E$21,0)</f>
        <v>0</v>
      </c>
      <c r="N19" s="4">
        <v>18</v>
      </c>
      <c r="O19" t="s">
        <v>41</v>
      </c>
      <c r="P19" t="s">
        <v>44</v>
      </c>
      <c r="Q19" t="s">
        <v>40</v>
      </c>
      <c r="R19" t="s">
        <v>44</v>
      </c>
      <c r="S19" t="s">
        <v>56</v>
      </c>
      <c r="U19" t="s">
        <v>98</v>
      </c>
      <c r="V19" t="s">
        <v>54</v>
      </c>
      <c r="W19" t="s">
        <v>56</v>
      </c>
      <c r="X19" t="s">
        <v>54</v>
      </c>
      <c r="Y19" t="s">
        <v>49</v>
      </c>
      <c r="Z19" t="s">
        <v>41</v>
      </c>
      <c r="AA19" t="s">
        <v>98</v>
      </c>
      <c r="AB19" t="s">
        <v>57</v>
      </c>
      <c r="AC19" t="s">
        <v>54</v>
      </c>
      <c r="AD19" t="s">
        <v>41</v>
      </c>
      <c r="AE19" t="s">
        <v>46</v>
      </c>
      <c r="AF19" t="s">
        <v>53</v>
      </c>
      <c r="AG19" t="s">
        <v>41</v>
      </c>
      <c r="AH19" t="s">
        <v>52</v>
      </c>
      <c r="AI19" t="s">
        <v>44</v>
      </c>
      <c r="AJ19" t="s">
        <v>169</v>
      </c>
      <c r="AK19" t="s">
        <v>44</v>
      </c>
    </row>
    <row r="20" spans="1:37" x14ac:dyDescent="0.3">
      <c r="A20" s="59" t="s">
        <v>171</v>
      </c>
      <c r="B20" s="23" t="s">
        <v>105</v>
      </c>
      <c r="C20" s="23" t="s">
        <v>192</v>
      </c>
      <c r="D20" s="60" t="s">
        <v>76</v>
      </c>
      <c r="E20" s="53"/>
      <c r="F20" s="29"/>
      <c r="G20" s="49" t="str">
        <f>Table_0[[#This Row],[Driver]]</f>
        <v>Kevin MagnussenHaas</v>
      </c>
      <c r="H20" s="50">
        <f>IFERROR(VALUE(_xlfn.XLOOKUP(G20,Table_0[Driver],Table_0[Pos])),"R")</f>
        <v>20</v>
      </c>
      <c r="I20" s="43" t="str">
        <f>_xlfn.XLOOKUP(Table_0[[#This Row],[Driver]],DriverNameMapping!$A$1:$A$22,DriverNameMapping!$B$1:$B$22)</f>
        <v>Kevin Magnussen - Haas</v>
      </c>
      <c r="J20" s="44" t="str">
        <f>_xlfn.XLOOKUP(G20,Table_0[Driver],Table_0[Time])</f>
        <v>+ 1 LAP</v>
      </c>
      <c r="K20" s="44" t="str">
        <f>_xlfn.XLOOKUP(G20,Table_0[Driver],Table_0[Stops])</f>
        <v>2</v>
      </c>
      <c r="L20" s="52" cm="1">
        <f t="array" ref="L20">_xlfn.XLOOKUP(H20,VALUE(Table_0[Pos]),$E$2:$E$21,0)</f>
        <v>0</v>
      </c>
      <c r="N20" s="4">
        <v>19</v>
      </c>
      <c r="O20" t="s">
        <v>57</v>
      </c>
      <c r="P20" t="s">
        <v>39</v>
      </c>
      <c r="Q20" t="s">
        <v>39</v>
      </c>
      <c r="R20" t="s">
        <v>48</v>
      </c>
      <c r="S20" t="s">
        <v>42</v>
      </c>
      <c r="U20" t="s">
        <v>46</v>
      </c>
      <c r="V20" t="s">
        <v>44</v>
      </c>
      <c r="W20" t="s">
        <v>40</v>
      </c>
      <c r="X20" t="s">
        <v>45</v>
      </c>
      <c r="Y20" t="s">
        <v>41</v>
      </c>
      <c r="Z20" t="s">
        <v>49</v>
      </c>
      <c r="AA20" t="s">
        <v>42</v>
      </c>
      <c r="AB20" t="s">
        <v>98</v>
      </c>
      <c r="AC20" t="s">
        <v>41</v>
      </c>
      <c r="AD20" t="s">
        <v>45</v>
      </c>
      <c r="AE20" t="s">
        <v>98</v>
      </c>
      <c r="AF20" t="s">
        <v>51</v>
      </c>
      <c r="AG20" t="s">
        <v>42</v>
      </c>
      <c r="AH20" t="s">
        <v>54</v>
      </c>
      <c r="AI20" t="s">
        <v>48</v>
      </c>
      <c r="AJ20" t="s">
        <v>43</v>
      </c>
      <c r="AK20" t="s">
        <v>54</v>
      </c>
    </row>
    <row r="21" spans="1:37" x14ac:dyDescent="0.3">
      <c r="A21" s="59" t="s">
        <v>193</v>
      </c>
      <c r="B21" s="23" t="s">
        <v>83</v>
      </c>
      <c r="C21" s="23" t="s">
        <v>194</v>
      </c>
      <c r="D21" s="60" t="s">
        <v>78</v>
      </c>
      <c r="E21" s="53"/>
      <c r="F21" s="29"/>
      <c r="G21" s="49" t="str">
        <f>Table_0[[#This Row],[Driver]]</f>
        <v>Carlos SainzFerrari</v>
      </c>
      <c r="H21" s="50" t="str">
        <f>IFERROR(VALUE(_xlfn.XLOOKUP(G21,Table_0[Driver],Table_0[Pos])),"R")</f>
        <v>R</v>
      </c>
      <c r="I21" s="43" t="str">
        <f>_xlfn.XLOOKUP(Table_0[[#This Row],[Driver]],DriverNameMapping!$A$1:$A$22,DriverNameMapping!$B$1:$B$22)</f>
        <v>Carlos Sainz - Ferrari</v>
      </c>
      <c r="J21" s="44" t="str">
        <f>_xlfn.XLOOKUP(G21,Table_0[Driver],Table_0[Time])</f>
        <v>+ 1 LAPS</v>
      </c>
      <c r="K21" s="44" t="str">
        <f>_xlfn.XLOOKUP(G21,Table_0[Driver],Table_0[Stops])</f>
        <v>3</v>
      </c>
      <c r="L21" s="52" cm="1">
        <f t="array" ref="L21">_xlfn.XLOOKUP(H21,VALUE(Table_0[Pos]),$E$2:$E$21,0)</f>
        <v>0</v>
      </c>
      <c r="N21" s="4">
        <v>20</v>
      </c>
      <c r="O21" t="s">
        <v>42</v>
      </c>
      <c r="P21" t="s">
        <v>46</v>
      </c>
      <c r="Q21" t="s">
        <v>98</v>
      </c>
      <c r="R21" t="s">
        <v>56</v>
      </c>
      <c r="S21" t="s">
        <v>98</v>
      </c>
      <c r="U21" t="s">
        <v>54</v>
      </c>
      <c r="V21" t="s">
        <v>98</v>
      </c>
      <c r="W21" t="s">
        <v>98</v>
      </c>
      <c r="X21" t="s">
        <v>43</v>
      </c>
      <c r="Y21" t="s">
        <v>54</v>
      </c>
      <c r="Z21" t="s">
        <v>98</v>
      </c>
      <c r="AA21" t="s">
        <v>51</v>
      </c>
      <c r="AB21" t="s">
        <v>48</v>
      </c>
      <c r="AC21" t="s">
        <v>45</v>
      </c>
      <c r="AD21" t="s">
        <v>46</v>
      </c>
      <c r="AE21" t="s">
        <v>55</v>
      </c>
      <c r="AF21" t="s">
        <v>98</v>
      </c>
      <c r="AG21" t="s">
        <v>52</v>
      </c>
      <c r="AH21" t="s">
        <v>55</v>
      </c>
      <c r="AI21" t="s">
        <v>40</v>
      </c>
      <c r="AJ21" t="s">
        <v>50</v>
      </c>
      <c r="AK21" t="s">
        <v>51</v>
      </c>
    </row>
    <row r="23" spans="1:37" ht="18" x14ac:dyDescent="0.35">
      <c r="E23" s="29"/>
      <c r="G23" s="57"/>
      <c r="J23" s="13"/>
    </row>
    <row r="24" spans="1:37" x14ac:dyDescent="0.3">
      <c r="E24" s="29"/>
      <c r="J24" s="13"/>
      <c r="O24" s="38"/>
      <c r="P24" s="38"/>
      <c r="Q24" s="38"/>
      <c r="R24" s="38"/>
    </row>
    <row r="25" spans="1:37" x14ac:dyDescent="0.3">
      <c r="E25" s="29"/>
      <c r="J25" s="13"/>
      <c r="O25" s="38"/>
      <c r="P25" s="38"/>
      <c r="Q25" s="38"/>
      <c r="R25" s="38"/>
    </row>
    <row r="26" spans="1:37" x14ac:dyDescent="0.3">
      <c r="E26" s="29"/>
      <c r="J26" s="13"/>
      <c r="O26" s="38"/>
      <c r="P26" s="38"/>
      <c r="Q26" s="38"/>
      <c r="R26" s="38"/>
    </row>
    <row r="27" spans="1:37" x14ac:dyDescent="0.3">
      <c r="E27" s="30"/>
      <c r="J27" s="13"/>
      <c r="O27" s="38"/>
      <c r="P27" s="38"/>
      <c r="Q27" s="38"/>
      <c r="R27" s="38"/>
    </row>
    <row r="28" spans="1:37" x14ac:dyDescent="0.3">
      <c r="E28" s="30"/>
      <c r="J28" s="13"/>
      <c r="O28" s="38"/>
      <c r="P28" s="38"/>
      <c r="Q28" s="38"/>
      <c r="R28" s="38"/>
    </row>
    <row r="29" spans="1:37" x14ac:dyDescent="0.3">
      <c r="E29" s="30"/>
      <c r="J29" s="13"/>
      <c r="O29" s="38"/>
      <c r="P29" s="38"/>
      <c r="Q29" s="38"/>
      <c r="R29" s="38"/>
    </row>
    <row r="30" spans="1:37" x14ac:dyDescent="0.3">
      <c r="E30" s="30"/>
      <c r="J30" s="13"/>
      <c r="O30" s="38"/>
      <c r="P30" s="38"/>
      <c r="Q30" s="38"/>
      <c r="R30" s="38"/>
    </row>
    <row r="31" spans="1:37" x14ac:dyDescent="0.3">
      <c r="E31" s="30"/>
      <c r="J31" s="13"/>
      <c r="O31" s="38"/>
      <c r="P31" s="38"/>
      <c r="Q31" s="38"/>
      <c r="R31" s="38"/>
    </row>
    <row r="32" spans="1:37" x14ac:dyDescent="0.3">
      <c r="E32" s="30"/>
      <c r="J32" s="13"/>
      <c r="O32" s="38"/>
      <c r="P32" s="38"/>
      <c r="Q32" s="38"/>
      <c r="R32" s="38"/>
    </row>
    <row r="33" spans="5:18" x14ac:dyDescent="0.3">
      <c r="E33" s="30"/>
      <c r="J33" s="13"/>
      <c r="O33" s="38"/>
      <c r="P33" s="38"/>
      <c r="Q33" s="38"/>
      <c r="R33" s="38"/>
    </row>
    <row r="34" spans="5:18" x14ac:dyDescent="0.3">
      <c r="E34" s="30"/>
      <c r="J34" s="13"/>
      <c r="O34" s="38"/>
      <c r="P34" s="38"/>
      <c r="Q34" s="38"/>
      <c r="R34" s="38"/>
    </row>
    <row r="35" spans="5:18" x14ac:dyDescent="0.3">
      <c r="E35" s="30"/>
      <c r="J35" s="13"/>
      <c r="O35" s="38"/>
      <c r="P35" s="38"/>
      <c r="Q35" s="38"/>
      <c r="R35" s="38"/>
    </row>
    <row r="36" spans="5:18" x14ac:dyDescent="0.3">
      <c r="E36" s="30"/>
      <c r="J36" s="13"/>
      <c r="O36" s="38"/>
      <c r="P36" s="38"/>
      <c r="Q36" s="38"/>
      <c r="R36" s="38"/>
    </row>
    <row r="37" spans="5:18" x14ac:dyDescent="0.3">
      <c r="E37" s="30"/>
      <c r="J37" s="13"/>
      <c r="O37" s="38"/>
      <c r="P37" s="38"/>
      <c r="Q37" s="38"/>
      <c r="R37" s="38"/>
    </row>
    <row r="38" spans="5:18" x14ac:dyDescent="0.3">
      <c r="E38" s="29"/>
      <c r="J38" s="13"/>
      <c r="O38" s="38"/>
      <c r="P38" s="38"/>
      <c r="Q38" s="38"/>
      <c r="R38" s="38"/>
    </row>
    <row r="39" spans="5:18" x14ac:dyDescent="0.3">
      <c r="E39" s="29"/>
      <c r="J39" s="13"/>
      <c r="O39" s="38"/>
      <c r="P39" s="38"/>
      <c r="Q39" s="38"/>
      <c r="R39" s="38"/>
    </row>
    <row r="40" spans="5:18" x14ac:dyDescent="0.3">
      <c r="E40" s="29"/>
      <c r="J40" s="13"/>
      <c r="O40" s="38"/>
      <c r="P40" s="38"/>
      <c r="Q40" s="38"/>
      <c r="R40" s="38"/>
    </row>
    <row r="41" spans="5:18" x14ac:dyDescent="0.3">
      <c r="E41" s="29"/>
      <c r="J41" s="13"/>
      <c r="O41" s="38"/>
      <c r="P41" s="38"/>
      <c r="Q41" s="38"/>
      <c r="R41" s="38"/>
    </row>
    <row r="42" spans="5:18" x14ac:dyDescent="0.3">
      <c r="E42" s="29"/>
      <c r="J42" s="13"/>
      <c r="O42" s="38"/>
      <c r="P42" s="38"/>
      <c r="Q42" s="38"/>
      <c r="R42" s="38"/>
    </row>
    <row r="43" spans="5:18" x14ac:dyDescent="0.3">
      <c r="J43" s="13"/>
      <c r="O43" s="38"/>
      <c r="P43" s="38"/>
      <c r="Q43" s="38"/>
      <c r="R43" s="38"/>
    </row>
  </sheetData>
  <conditionalFormatting sqref="E2:G21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{766D1F58-81A9-4123-A621-CCD43B487173}</x14:id>
        </ext>
      </extLst>
    </cfRule>
  </conditionalFormatting>
  <conditionalFormatting sqref="L2:L2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{7D095C95-A787-4C2F-ADB7-8F1D1841AD2F}</x14:id>
        </ext>
      </extLst>
    </cfRule>
  </conditionalFormatting>
  <conditionalFormatting sqref="J24:J43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{FC453E05-C02F-48BE-9573-45EB2B5CB7D8}</x14:id>
        </ext>
      </extLst>
    </cfRule>
  </conditionalFormatting>
  <conditionalFormatting sqref="E23:E42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{A905B99E-B2FB-4F20-9452-A4A634E39C8A}</x14:id>
        </ext>
      </extLst>
    </cfRule>
  </conditionalFormatting>
  <conditionalFormatting sqref="L24:L43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{C4FCB392-9AE7-4F22-AE15-9BB39996A67F}</x14:id>
        </ext>
      </extLst>
    </cfRule>
  </conditionalFormatting>
  <conditionalFormatting sqref="J23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{394FD8A5-89CD-4DCD-8945-42F21E96D324}</x14:id>
        </ext>
      </extLst>
    </cfRule>
  </conditionalFormatting>
  <conditionalFormatting sqref="L23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{A9AF8F63-F7D8-42FA-BE0C-F15CB8D55AE0}</x14:id>
        </ext>
      </extLst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D1F58-81A9-4123-A621-CCD43B4871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E2:G21</xm:sqref>
        </x14:conditionalFormatting>
        <x14:conditionalFormatting xmlns:xm="http://schemas.microsoft.com/office/excel/2006/main">
          <x14:cfRule type="dataBar" id="{7D095C95-A787-4C2F-ADB7-8F1D1841A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L2:L21</xm:sqref>
        </x14:conditionalFormatting>
        <x14:conditionalFormatting xmlns:xm="http://schemas.microsoft.com/office/excel/2006/main">
          <x14:cfRule type="dataBar" id="{FC453E05-C02F-48BE-9573-45EB2B5CB7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J24:J43</xm:sqref>
        </x14:conditionalFormatting>
        <x14:conditionalFormatting xmlns:xm="http://schemas.microsoft.com/office/excel/2006/main">
          <x14:cfRule type="dataBar" id="{A905B99E-B2FB-4F20-9452-A4A634E39C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E23:E42</xm:sqref>
        </x14:conditionalFormatting>
        <x14:conditionalFormatting xmlns:xm="http://schemas.microsoft.com/office/excel/2006/main">
          <x14:cfRule type="dataBar" id="{C4FCB392-9AE7-4F22-AE15-9BB39996A6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L24:L43</xm:sqref>
        </x14:conditionalFormatting>
        <x14:conditionalFormatting xmlns:xm="http://schemas.microsoft.com/office/excel/2006/main">
          <x14:cfRule type="dataBar" id="{394FD8A5-89CD-4DCD-8945-42F21E96D3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J23</xm:sqref>
        </x14:conditionalFormatting>
        <x14:conditionalFormatting xmlns:xm="http://schemas.microsoft.com/office/excel/2006/main">
          <x14:cfRule type="dataBar" id="{A9AF8F63-F7D8-42FA-BE0C-F15CB8D55A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8E665-F700-4A07-A048-E54F711C3DFB}">
  <dimension ref="A1:B22"/>
  <sheetViews>
    <sheetView workbookViewId="0">
      <selection activeCell="B12" sqref="B12"/>
    </sheetView>
  </sheetViews>
  <sheetFormatPr defaultRowHeight="14.4" x14ac:dyDescent="0.3"/>
  <cols>
    <col min="1" max="2" width="28.5546875" bestFit="1" customWidth="1"/>
  </cols>
  <sheetData>
    <row r="1" spans="1:2" x14ac:dyDescent="0.3">
      <c r="A1" t="s">
        <v>85</v>
      </c>
      <c r="B1" t="s">
        <v>55</v>
      </c>
    </row>
    <row r="2" spans="1:2" x14ac:dyDescent="0.3">
      <c r="A2" t="s">
        <v>75</v>
      </c>
      <c r="B2" t="s">
        <v>47</v>
      </c>
    </row>
    <row r="3" spans="1:2" x14ac:dyDescent="0.3">
      <c r="A3" t="s">
        <v>81</v>
      </c>
      <c r="B3" t="s">
        <v>57</v>
      </c>
    </row>
    <row r="4" spans="1:2" x14ac:dyDescent="0.3">
      <c r="A4" t="s">
        <v>77</v>
      </c>
      <c r="B4" t="s">
        <v>52</v>
      </c>
    </row>
    <row r="5" spans="1:2" x14ac:dyDescent="0.3">
      <c r="A5" t="s">
        <v>83</v>
      </c>
      <c r="B5" t="s">
        <v>51</v>
      </c>
    </row>
    <row r="6" spans="1:2" x14ac:dyDescent="0.3">
      <c r="A6" t="s">
        <v>79</v>
      </c>
      <c r="B6" t="s">
        <v>53</v>
      </c>
    </row>
    <row r="7" spans="1:2" x14ac:dyDescent="0.3">
      <c r="A7" t="s">
        <v>91</v>
      </c>
      <c r="B7" t="s">
        <v>46</v>
      </c>
    </row>
    <row r="8" spans="1:2" x14ac:dyDescent="0.3">
      <c r="A8" t="s">
        <v>107</v>
      </c>
      <c r="B8" t="s">
        <v>40</v>
      </c>
    </row>
    <row r="9" spans="1:2" x14ac:dyDescent="0.3">
      <c r="A9" t="s">
        <v>100</v>
      </c>
      <c r="B9" t="s">
        <v>50</v>
      </c>
    </row>
    <row r="10" spans="1:2" x14ac:dyDescent="0.3">
      <c r="A10" t="s">
        <v>102</v>
      </c>
      <c r="B10" t="s">
        <v>169</v>
      </c>
    </row>
    <row r="11" spans="1:2" x14ac:dyDescent="0.3">
      <c r="A11" t="s">
        <v>95</v>
      </c>
      <c r="B11" t="s">
        <v>42</v>
      </c>
    </row>
    <row r="12" spans="1:2" x14ac:dyDescent="0.3">
      <c r="A12" t="s">
        <v>87</v>
      </c>
      <c r="B12" t="s">
        <v>39</v>
      </c>
    </row>
    <row r="13" spans="1:2" x14ac:dyDescent="0.3">
      <c r="A13" t="s">
        <v>105</v>
      </c>
      <c r="B13" t="s">
        <v>54</v>
      </c>
    </row>
    <row r="14" spans="1:2" x14ac:dyDescent="0.3">
      <c r="A14" t="s">
        <v>97</v>
      </c>
      <c r="B14" t="s">
        <v>49</v>
      </c>
    </row>
    <row r="15" spans="1:2" x14ac:dyDescent="0.3">
      <c r="A15" t="s">
        <v>89</v>
      </c>
      <c r="B15" t="s">
        <v>41</v>
      </c>
    </row>
    <row r="16" spans="1:2" x14ac:dyDescent="0.3">
      <c r="A16" t="s">
        <v>108</v>
      </c>
      <c r="B16" t="s">
        <v>98</v>
      </c>
    </row>
    <row r="17" spans="1:2" x14ac:dyDescent="0.3">
      <c r="A17" t="s">
        <v>103</v>
      </c>
      <c r="B17" t="s">
        <v>43</v>
      </c>
    </row>
    <row r="18" spans="1:2" x14ac:dyDescent="0.3">
      <c r="A18" t="s">
        <v>93</v>
      </c>
      <c r="B18" t="s">
        <v>44</v>
      </c>
    </row>
    <row r="19" spans="1:2" x14ac:dyDescent="0.3">
      <c r="A19" t="s">
        <v>104</v>
      </c>
      <c r="B19" t="s">
        <v>48</v>
      </c>
    </row>
    <row r="20" spans="1:2" x14ac:dyDescent="0.3">
      <c r="A20" t="s">
        <v>106</v>
      </c>
      <c r="B20" t="s">
        <v>56</v>
      </c>
    </row>
    <row r="21" spans="1:2" x14ac:dyDescent="0.3">
      <c r="A21" t="s">
        <v>165</v>
      </c>
      <c r="B21" t="s">
        <v>164</v>
      </c>
    </row>
    <row r="22" spans="1:2" x14ac:dyDescent="0.3">
      <c r="A22" t="s">
        <v>166</v>
      </c>
      <c r="B22" t="s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B99DF-6272-4C6F-B990-0996A4553D93}">
  <dimension ref="A1:B4"/>
  <sheetViews>
    <sheetView workbookViewId="0">
      <selection activeCell="A3" sqref="A3"/>
    </sheetView>
  </sheetViews>
  <sheetFormatPr defaultRowHeight="14.4" x14ac:dyDescent="0.3"/>
  <cols>
    <col min="1" max="1" width="57.5546875" bestFit="1" customWidth="1"/>
    <col min="3" max="3" width="17.77734375" bestFit="1" customWidth="1"/>
  </cols>
  <sheetData>
    <row r="1" spans="1:2" x14ac:dyDescent="0.3">
      <c r="A1" t="s">
        <v>110</v>
      </c>
      <c r="B1" s="56" t="s">
        <v>111</v>
      </c>
    </row>
    <row r="2" spans="1:2" x14ac:dyDescent="0.3">
      <c r="A2" t="s">
        <v>112</v>
      </c>
      <c r="B2" s="56" t="s">
        <v>111</v>
      </c>
    </row>
    <row r="3" spans="1:2" x14ac:dyDescent="0.3">
      <c r="A3" t="s">
        <v>113</v>
      </c>
    </row>
    <row r="4" spans="1:2" x14ac:dyDescent="0.3">
      <c r="A4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1D528-ED0A-434F-B2AE-8B705B1ACD5D}">
  <dimension ref="C3:W29"/>
  <sheetViews>
    <sheetView workbookViewId="0">
      <selection activeCell="K30" sqref="K30"/>
    </sheetView>
  </sheetViews>
  <sheetFormatPr defaultRowHeight="14.4" x14ac:dyDescent="0.3"/>
  <sheetData>
    <row r="3" spans="3:23" x14ac:dyDescent="0.3">
      <c r="I3" t="s">
        <v>160</v>
      </c>
      <c r="J3" t="s">
        <v>161</v>
      </c>
      <c r="K3" t="s">
        <v>162</v>
      </c>
      <c r="L3" t="s">
        <v>163</v>
      </c>
      <c r="P3">
        <v>0.25</v>
      </c>
      <c r="Q3">
        <v>0.5</v>
      </c>
      <c r="R3">
        <v>0.75</v>
      </c>
      <c r="S3">
        <v>1</v>
      </c>
      <c r="T3">
        <v>1.25</v>
      </c>
      <c r="U3">
        <v>1.5</v>
      </c>
      <c r="V3">
        <v>1.75</v>
      </c>
      <c r="W3">
        <v>2</v>
      </c>
    </row>
    <row r="4" spans="3:23" x14ac:dyDescent="0.3">
      <c r="C4">
        <v>1</v>
      </c>
      <c r="D4" t="s">
        <v>14</v>
      </c>
      <c r="E4">
        <v>85.5</v>
      </c>
      <c r="F4">
        <v>3</v>
      </c>
      <c r="G4">
        <v>1</v>
      </c>
      <c r="H4">
        <v>2</v>
      </c>
      <c r="J4">
        <f>AVERAGE(M4:M29)</f>
        <v>76.932692307692307</v>
      </c>
      <c r="K4">
        <f>_xlfn.STDEV.P(M4:M29)</f>
        <v>20.216325002275589</v>
      </c>
      <c r="L4">
        <f>SUM(M4:M29)</f>
        <v>2000.25</v>
      </c>
      <c r="M4">
        <v>110.5</v>
      </c>
      <c r="N4">
        <f>M4/$J$4</f>
        <v>1.4363204599425072</v>
      </c>
      <c r="O4">
        <f t="shared" ref="O4:O29" si="0">_xlfn.NORM.DIST(M4,$J$4,$K$4,FALSE)</f>
        <v>4.9721494290009037E-3</v>
      </c>
      <c r="P4">
        <f>IF($N4&lt;=P$3,$N4,0)</f>
        <v>0</v>
      </c>
      <c r="Q4">
        <f t="shared" ref="Q4:W19" si="1">IF($N4&lt;=Q$3,$N4,0)</f>
        <v>0</v>
      </c>
      <c r="R4">
        <f t="shared" si="1"/>
        <v>0</v>
      </c>
      <c r="S4">
        <f t="shared" si="1"/>
        <v>0</v>
      </c>
      <c r="T4">
        <f t="shared" si="1"/>
        <v>0</v>
      </c>
      <c r="U4" s="58">
        <f t="shared" si="1"/>
        <v>1.4363204599425072</v>
      </c>
      <c r="V4">
        <f t="shared" si="1"/>
        <v>1.4363204599425072</v>
      </c>
      <c r="W4">
        <f t="shared" si="1"/>
        <v>1.4363204599425072</v>
      </c>
    </row>
    <row r="5" spans="3:23" x14ac:dyDescent="0.3">
      <c r="C5">
        <v>2</v>
      </c>
      <c r="D5" t="s">
        <v>16</v>
      </c>
      <c r="E5">
        <v>84.5</v>
      </c>
      <c r="F5">
        <v>4</v>
      </c>
      <c r="G5">
        <v>2</v>
      </c>
      <c r="H5">
        <v>2</v>
      </c>
      <c r="M5">
        <v>109.5</v>
      </c>
      <c r="N5">
        <f t="shared" ref="N5:N29" si="2">M5/$J$4</f>
        <v>1.4233220847394077</v>
      </c>
      <c r="O5">
        <f t="shared" si="0"/>
        <v>5.3911610868546903E-3</v>
      </c>
      <c r="P5">
        <f t="shared" ref="P5:P29" si="3">IF(N5&lt;=$P$3,N5,0)</f>
        <v>0</v>
      </c>
      <c r="Q5">
        <f t="shared" si="1"/>
        <v>0</v>
      </c>
      <c r="R5">
        <f t="shared" si="1"/>
        <v>0</v>
      </c>
      <c r="S5">
        <f t="shared" si="1"/>
        <v>0</v>
      </c>
      <c r="T5">
        <f t="shared" si="1"/>
        <v>0</v>
      </c>
      <c r="U5" s="58">
        <f t="shared" si="1"/>
        <v>1.4233220847394077</v>
      </c>
      <c r="V5">
        <f t="shared" si="1"/>
        <v>1.4233220847394077</v>
      </c>
      <c r="W5">
        <f t="shared" si="1"/>
        <v>1.4233220847394077</v>
      </c>
    </row>
    <row r="6" spans="3:23" x14ac:dyDescent="0.3">
      <c r="C6">
        <v>3</v>
      </c>
      <c r="D6" t="s">
        <v>13</v>
      </c>
      <c r="E6">
        <v>95.5</v>
      </c>
      <c r="F6">
        <v>2</v>
      </c>
      <c r="G6">
        <v>3</v>
      </c>
      <c r="H6">
        <v>-1</v>
      </c>
      <c r="M6">
        <v>108</v>
      </c>
      <c r="N6">
        <f t="shared" si="2"/>
        <v>1.4038245219347583</v>
      </c>
      <c r="O6">
        <f t="shared" si="0"/>
        <v>6.0589461445767611E-3</v>
      </c>
      <c r="P6">
        <f t="shared" si="3"/>
        <v>0</v>
      </c>
      <c r="Q6">
        <f t="shared" si="1"/>
        <v>0</v>
      </c>
      <c r="R6">
        <f t="shared" si="1"/>
        <v>0</v>
      </c>
      <c r="S6">
        <f t="shared" si="1"/>
        <v>0</v>
      </c>
      <c r="T6">
        <f t="shared" si="1"/>
        <v>0</v>
      </c>
      <c r="U6" s="58">
        <f t="shared" si="1"/>
        <v>1.4038245219347583</v>
      </c>
      <c r="V6">
        <f t="shared" si="1"/>
        <v>1.4038245219347583</v>
      </c>
      <c r="W6">
        <f t="shared" si="1"/>
        <v>1.4038245219347583</v>
      </c>
    </row>
    <row r="7" spans="3:23" x14ac:dyDescent="0.3">
      <c r="C7">
        <v>4</v>
      </c>
      <c r="D7" t="s">
        <v>12</v>
      </c>
      <c r="E7">
        <v>106</v>
      </c>
      <c r="F7">
        <v>1</v>
      </c>
      <c r="G7">
        <v>4</v>
      </c>
      <c r="H7">
        <v>-3</v>
      </c>
      <c r="M7">
        <v>107</v>
      </c>
      <c r="N7">
        <f t="shared" si="2"/>
        <v>1.3908261467316585</v>
      </c>
      <c r="O7">
        <f t="shared" si="0"/>
        <v>6.5294810704919961E-3</v>
      </c>
      <c r="P7">
        <f t="shared" si="3"/>
        <v>0</v>
      </c>
      <c r="Q7">
        <f t="shared" si="1"/>
        <v>0</v>
      </c>
      <c r="R7">
        <f t="shared" si="1"/>
        <v>0</v>
      </c>
      <c r="S7">
        <f t="shared" si="1"/>
        <v>0</v>
      </c>
      <c r="T7">
        <f t="shared" si="1"/>
        <v>0</v>
      </c>
      <c r="U7" s="58">
        <f t="shared" si="1"/>
        <v>1.3908261467316585</v>
      </c>
      <c r="V7">
        <f t="shared" si="1"/>
        <v>1.3908261467316585</v>
      </c>
      <c r="W7">
        <f t="shared" si="1"/>
        <v>1.3908261467316585</v>
      </c>
    </row>
    <row r="8" spans="3:23" x14ac:dyDescent="0.3">
      <c r="C8">
        <v>5</v>
      </c>
      <c r="D8" t="s">
        <v>21</v>
      </c>
      <c r="E8">
        <v>75.5</v>
      </c>
      <c r="F8">
        <v>10</v>
      </c>
      <c r="G8">
        <v>5</v>
      </c>
      <c r="H8">
        <v>5</v>
      </c>
      <c r="M8">
        <v>100.5</v>
      </c>
      <c r="N8">
        <f t="shared" si="2"/>
        <v>1.3063367079115111</v>
      </c>
      <c r="O8">
        <f t="shared" si="0"/>
        <v>1.0002473926913539E-2</v>
      </c>
      <c r="P8">
        <f t="shared" si="3"/>
        <v>0</v>
      </c>
      <c r="Q8">
        <f t="shared" si="1"/>
        <v>0</v>
      </c>
      <c r="R8">
        <f t="shared" si="1"/>
        <v>0</v>
      </c>
      <c r="S8">
        <f t="shared" si="1"/>
        <v>0</v>
      </c>
      <c r="T8">
        <f t="shared" si="1"/>
        <v>0</v>
      </c>
      <c r="U8" s="58">
        <f t="shared" si="1"/>
        <v>1.3063367079115111</v>
      </c>
      <c r="V8">
        <f t="shared" si="1"/>
        <v>1.3063367079115111</v>
      </c>
      <c r="W8">
        <f t="shared" si="1"/>
        <v>1.3063367079115111</v>
      </c>
    </row>
    <row r="9" spans="3:23" x14ac:dyDescent="0.3">
      <c r="C9">
        <v>6</v>
      </c>
      <c r="D9" t="s">
        <v>18</v>
      </c>
      <c r="E9">
        <v>84</v>
      </c>
      <c r="F9">
        <v>6</v>
      </c>
      <c r="G9">
        <v>6</v>
      </c>
      <c r="H9">
        <v>0</v>
      </c>
      <c r="M9">
        <v>96.5</v>
      </c>
      <c r="N9">
        <f t="shared" si="2"/>
        <v>1.2543432070991127</v>
      </c>
      <c r="O9">
        <f t="shared" si="0"/>
        <v>1.235319337642031E-2</v>
      </c>
      <c r="P9">
        <f t="shared" si="3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1"/>
        <v>0</v>
      </c>
      <c r="U9" s="58">
        <f t="shared" si="1"/>
        <v>1.2543432070991127</v>
      </c>
      <c r="V9">
        <f t="shared" si="1"/>
        <v>1.2543432070991127</v>
      </c>
      <c r="W9">
        <f t="shared" si="1"/>
        <v>1.2543432070991127</v>
      </c>
    </row>
    <row r="10" spans="3:23" x14ac:dyDescent="0.3">
      <c r="C10">
        <v>7</v>
      </c>
      <c r="D10" t="s">
        <v>25</v>
      </c>
      <c r="E10">
        <v>69.5</v>
      </c>
      <c r="F10">
        <v>14</v>
      </c>
      <c r="G10">
        <v>7</v>
      </c>
      <c r="H10">
        <v>7</v>
      </c>
      <c r="M10">
        <v>94.5</v>
      </c>
      <c r="N10">
        <f t="shared" si="2"/>
        <v>1.2283464566929134</v>
      </c>
      <c r="O10">
        <f t="shared" si="0"/>
        <v>1.352818077080723E-2</v>
      </c>
      <c r="P10">
        <f t="shared" si="3"/>
        <v>0</v>
      </c>
      <c r="Q10">
        <f t="shared" si="1"/>
        <v>0</v>
      </c>
      <c r="R10">
        <f t="shared" si="1"/>
        <v>0</v>
      </c>
      <c r="S10">
        <f t="shared" si="1"/>
        <v>0</v>
      </c>
      <c r="T10" s="58">
        <f t="shared" si="1"/>
        <v>1.2283464566929134</v>
      </c>
      <c r="U10">
        <f t="shared" si="1"/>
        <v>1.2283464566929134</v>
      </c>
      <c r="V10">
        <f t="shared" si="1"/>
        <v>1.2283464566929134</v>
      </c>
      <c r="W10">
        <f t="shared" si="1"/>
        <v>1.2283464566929134</v>
      </c>
    </row>
    <row r="11" spans="3:23" x14ac:dyDescent="0.3">
      <c r="C11">
        <v>8</v>
      </c>
      <c r="D11" t="s">
        <v>17</v>
      </c>
      <c r="E11">
        <v>84</v>
      </c>
      <c r="F11">
        <v>7</v>
      </c>
      <c r="G11">
        <v>8</v>
      </c>
      <c r="H11">
        <v>-1</v>
      </c>
      <c r="M11">
        <v>91.5</v>
      </c>
      <c r="N11">
        <f t="shared" si="2"/>
        <v>1.1893513310836146</v>
      </c>
      <c r="O11">
        <f t="shared" si="0"/>
        <v>1.522158755042829E-2</v>
      </c>
      <c r="P11">
        <f t="shared" si="3"/>
        <v>0</v>
      </c>
      <c r="Q11">
        <f t="shared" si="1"/>
        <v>0</v>
      </c>
      <c r="R11">
        <f t="shared" si="1"/>
        <v>0</v>
      </c>
      <c r="S11">
        <f t="shared" si="1"/>
        <v>0</v>
      </c>
      <c r="T11" s="58">
        <f t="shared" si="1"/>
        <v>1.1893513310836146</v>
      </c>
      <c r="U11">
        <f t="shared" si="1"/>
        <v>1.1893513310836146</v>
      </c>
      <c r="V11">
        <f t="shared" si="1"/>
        <v>1.1893513310836146</v>
      </c>
      <c r="W11">
        <f t="shared" si="1"/>
        <v>1.1893513310836146</v>
      </c>
    </row>
    <row r="12" spans="3:23" x14ac:dyDescent="0.3">
      <c r="C12">
        <v>9</v>
      </c>
      <c r="D12" t="s">
        <v>24</v>
      </c>
      <c r="E12">
        <v>71</v>
      </c>
      <c r="F12">
        <v>13</v>
      </c>
      <c r="G12">
        <v>9</v>
      </c>
      <c r="H12">
        <v>4</v>
      </c>
      <c r="M12">
        <v>86</v>
      </c>
      <c r="N12">
        <f t="shared" si="2"/>
        <v>1.1178602674665667</v>
      </c>
      <c r="O12">
        <f t="shared" si="0"/>
        <v>1.7845365361361228E-2</v>
      </c>
      <c r="P12">
        <f t="shared" si="3"/>
        <v>0</v>
      </c>
      <c r="Q12">
        <f t="shared" si="1"/>
        <v>0</v>
      </c>
      <c r="R12">
        <f t="shared" si="1"/>
        <v>0</v>
      </c>
      <c r="S12">
        <f t="shared" si="1"/>
        <v>0</v>
      </c>
      <c r="T12" s="58">
        <f t="shared" si="1"/>
        <v>1.1178602674665667</v>
      </c>
      <c r="U12">
        <f t="shared" si="1"/>
        <v>1.1178602674665667</v>
      </c>
      <c r="V12">
        <f t="shared" si="1"/>
        <v>1.1178602674665667</v>
      </c>
      <c r="W12">
        <f t="shared" si="1"/>
        <v>1.1178602674665667</v>
      </c>
    </row>
    <row r="13" spans="3:23" x14ac:dyDescent="0.3">
      <c r="C13">
        <v>10</v>
      </c>
      <c r="D13" t="s">
        <v>15</v>
      </c>
      <c r="E13">
        <v>84.5</v>
      </c>
      <c r="F13">
        <v>5</v>
      </c>
      <c r="G13">
        <v>10</v>
      </c>
      <c r="H13">
        <v>-5</v>
      </c>
      <c r="M13">
        <v>85.5</v>
      </c>
      <c r="N13">
        <f t="shared" si="2"/>
        <v>1.1113610798650169</v>
      </c>
      <c r="O13">
        <f t="shared" si="0"/>
        <v>1.8038905701912862E-2</v>
      </c>
      <c r="P13">
        <f t="shared" si="3"/>
        <v>0</v>
      </c>
      <c r="Q13">
        <f t="shared" si="1"/>
        <v>0</v>
      </c>
      <c r="R13">
        <f t="shared" si="1"/>
        <v>0</v>
      </c>
      <c r="S13">
        <f t="shared" si="1"/>
        <v>0</v>
      </c>
      <c r="T13" s="58">
        <f t="shared" si="1"/>
        <v>1.1113610798650169</v>
      </c>
      <c r="U13">
        <f t="shared" si="1"/>
        <v>1.1113610798650169</v>
      </c>
      <c r="V13">
        <f t="shared" si="1"/>
        <v>1.1113610798650169</v>
      </c>
      <c r="W13">
        <f t="shared" si="1"/>
        <v>1.1113610798650169</v>
      </c>
    </row>
    <row r="14" spans="3:23" x14ac:dyDescent="0.3">
      <c r="C14">
        <v>11</v>
      </c>
      <c r="D14" t="s">
        <v>19</v>
      </c>
      <c r="E14">
        <v>80.5</v>
      </c>
      <c r="F14">
        <v>8</v>
      </c>
      <c r="G14">
        <v>11</v>
      </c>
      <c r="H14">
        <v>-3</v>
      </c>
      <c r="M14">
        <v>81.5</v>
      </c>
      <c r="N14">
        <f t="shared" si="2"/>
        <v>1.0593675790526185</v>
      </c>
      <c r="O14">
        <f t="shared" si="0"/>
        <v>1.9236431958174888E-2</v>
      </c>
      <c r="P14">
        <f t="shared" si="3"/>
        <v>0</v>
      </c>
      <c r="Q14">
        <f t="shared" si="1"/>
        <v>0</v>
      </c>
      <c r="R14">
        <f t="shared" si="1"/>
        <v>0</v>
      </c>
      <c r="S14">
        <f t="shared" si="1"/>
        <v>0</v>
      </c>
      <c r="T14" s="58">
        <f t="shared" si="1"/>
        <v>1.0593675790526185</v>
      </c>
      <c r="U14">
        <f t="shared" si="1"/>
        <v>1.0593675790526185</v>
      </c>
      <c r="V14">
        <f t="shared" si="1"/>
        <v>1.0593675790526185</v>
      </c>
      <c r="W14">
        <f t="shared" si="1"/>
        <v>1.0593675790526185</v>
      </c>
    </row>
    <row r="15" spans="3:23" x14ac:dyDescent="0.3">
      <c r="C15">
        <v>12</v>
      </c>
      <c r="D15" t="s">
        <v>20</v>
      </c>
      <c r="E15">
        <v>76.25</v>
      </c>
      <c r="F15">
        <v>9</v>
      </c>
      <c r="G15">
        <v>12</v>
      </c>
      <c r="H15">
        <v>-3</v>
      </c>
      <c r="M15">
        <v>76.5</v>
      </c>
      <c r="N15">
        <f t="shared" si="2"/>
        <v>0.99437570303712042</v>
      </c>
      <c r="O15">
        <f t="shared" si="0"/>
        <v>1.9729150299583661E-2</v>
      </c>
      <c r="P15">
        <f t="shared" si="3"/>
        <v>0</v>
      </c>
      <c r="Q15">
        <f t="shared" si="1"/>
        <v>0</v>
      </c>
      <c r="R15">
        <f t="shared" si="1"/>
        <v>0</v>
      </c>
      <c r="S15" s="58">
        <f t="shared" si="1"/>
        <v>0.99437570303712042</v>
      </c>
      <c r="T15">
        <f t="shared" si="1"/>
        <v>0.99437570303712042</v>
      </c>
      <c r="U15">
        <f t="shared" si="1"/>
        <v>0.99437570303712042</v>
      </c>
      <c r="V15">
        <f t="shared" si="1"/>
        <v>0.99437570303712042</v>
      </c>
      <c r="W15">
        <f t="shared" si="1"/>
        <v>0.99437570303712042</v>
      </c>
    </row>
    <row r="16" spans="3:23" x14ac:dyDescent="0.3">
      <c r="C16">
        <v>13</v>
      </c>
      <c r="D16" t="s">
        <v>22</v>
      </c>
      <c r="E16">
        <v>75</v>
      </c>
      <c r="F16">
        <v>11</v>
      </c>
      <c r="G16">
        <v>13</v>
      </c>
      <c r="H16">
        <v>-2</v>
      </c>
      <c r="M16">
        <v>76</v>
      </c>
      <c r="N16">
        <f t="shared" si="2"/>
        <v>0.98787651543557053</v>
      </c>
      <c r="O16">
        <f t="shared" si="0"/>
        <v>1.9712679388423301E-2</v>
      </c>
      <c r="P16">
        <f t="shared" si="3"/>
        <v>0</v>
      </c>
      <c r="Q16">
        <f t="shared" si="1"/>
        <v>0</v>
      </c>
      <c r="R16">
        <f t="shared" si="1"/>
        <v>0</v>
      </c>
      <c r="S16" s="58">
        <f t="shared" si="1"/>
        <v>0.98787651543557053</v>
      </c>
      <c r="T16">
        <f t="shared" si="1"/>
        <v>0.98787651543557053</v>
      </c>
      <c r="U16">
        <f t="shared" si="1"/>
        <v>0.98787651543557053</v>
      </c>
      <c r="V16">
        <f t="shared" si="1"/>
        <v>0.98787651543557053</v>
      </c>
      <c r="W16">
        <f t="shared" si="1"/>
        <v>0.98787651543557053</v>
      </c>
    </row>
    <row r="17" spans="3:23" x14ac:dyDescent="0.3">
      <c r="C17">
        <v>14</v>
      </c>
      <c r="D17" t="s">
        <v>23</v>
      </c>
      <c r="E17">
        <v>72</v>
      </c>
      <c r="F17">
        <v>12</v>
      </c>
      <c r="G17">
        <v>14</v>
      </c>
      <c r="H17">
        <v>-2</v>
      </c>
      <c r="M17">
        <v>74</v>
      </c>
      <c r="N17">
        <f t="shared" si="2"/>
        <v>0.96187976502937134</v>
      </c>
      <c r="O17">
        <f t="shared" si="0"/>
        <v>1.9527120465561199E-2</v>
      </c>
      <c r="P17">
        <f t="shared" si="3"/>
        <v>0</v>
      </c>
      <c r="Q17">
        <f t="shared" si="1"/>
        <v>0</v>
      </c>
      <c r="R17">
        <f t="shared" si="1"/>
        <v>0</v>
      </c>
      <c r="S17" s="58">
        <f t="shared" si="1"/>
        <v>0.96187976502937134</v>
      </c>
      <c r="T17">
        <f t="shared" si="1"/>
        <v>0.96187976502937134</v>
      </c>
      <c r="U17">
        <f t="shared" si="1"/>
        <v>0.96187976502937134</v>
      </c>
      <c r="V17">
        <f t="shared" si="1"/>
        <v>0.96187976502937134</v>
      </c>
      <c r="W17">
        <f t="shared" si="1"/>
        <v>0.96187976502937134</v>
      </c>
    </row>
    <row r="18" spans="3:23" x14ac:dyDescent="0.3">
      <c r="C18">
        <v>15</v>
      </c>
      <c r="D18" t="s">
        <v>30</v>
      </c>
      <c r="E18">
        <v>58.5</v>
      </c>
      <c r="F18">
        <v>19</v>
      </c>
      <c r="G18">
        <v>15</v>
      </c>
      <c r="H18">
        <v>4</v>
      </c>
      <c r="M18">
        <v>71</v>
      </c>
      <c r="N18">
        <f t="shared" si="2"/>
        <v>0.92288463942007248</v>
      </c>
      <c r="O18">
        <f t="shared" si="0"/>
        <v>1.8901981816387279E-2</v>
      </c>
      <c r="P18">
        <f t="shared" si="3"/>
        <v>0</v>
      </c>
      <c r="Q18">
        <f t="shared" si="1"/>
        <v>0</v>
      </c>
      <c r="R18">
        <f t="shared" si="1"/>
        <v>0</v>
      </c>
      <c r="S18" s="58">
        <f t="shared" si="1"/>
        <v>0.92288463942007248</v>
      </c>
      <c r="T18">
        <f t="shared" si="1"/>
        <v>0.92288463942007248</v>
      </c>
      <c r="U18">
        <f t="shared" si="1"/>
        <v>0.92288463942007248</v>
      </c>
      <c r="V18">
        <f t="shared" si="1"/>
        <v>0.92288463942007248</v>
      </c>
      <c r="W18">
        <f t="shared" si="1"/>
        <v>0.92288463942007248</v>
      </c>
    </row>
    <row r="19" spans="3:23" x14ac:dyDescent="0.3">
      <c r="C19">
        <v>16</v>
      </c>
      <c r="D19" t="s">
        <v>33</v>
      </c>
      <c r="E19">
        <v>54.25</v>
      </c>
      <c r="F19">
        <v>22</v>
      </c>
      <c r="G19">
        <v>16</v>
      </c>
      <c r="H19">
        <v>6</v>
      </c>
      <c r="M19">
        <v>66.75</v>
      </c>
      <c r="N19">
        <f t="shared" si="2"/>
        <v>0.86764154480689915</v>
      </c>
      <c r="O19">
        <f t="shared" si="0"/>
        <v>1.7382712820256909E-2</v>
      </c>
      <c r="P19">
        <f t="shared" si="3"/>
        <v>0</v>
      </c>
      <c r="Q19">
        <f t="shared" si="1"/>
        <v>0</v>
      </c>
      <c r="R19">
        <f t="shared" si="1"/>
        <v>0</v>
      </c>
      <c r="S19" s="58">
        <f t="shared" si="1"/>
        <v>0.86764154480689915</v>
      </c>
      <c r="T19">
        <f t="shared" si="1"/>
        <v>0.86764154480689915</v>
      </c>
      <c r="U19">
        <f t="shared" si="1"/>
        <v>0.86764154480689915</v>
      </c>
      <c r="V19">
        <f t="shared" si="1"/>
        <v>0.86764154480689915</v>
      </c>
      <c r="W19">
        <f t="shared" si="1"/>
        <v>0.86764154480689915</v>
      </c>
    </row>
    <row r="20" spans="3:23" x14ac:dyDescent="0.3">
      <c r="C20">
        <v>17</v>
      </c>
      <c r="D20" t="s">
        <v>27</v>
      </c>
      <c r="E20">
        <v>63</v>
      </c>
      <c r="F20">
        <v>16</v>
      </c>
      <c r="G20">
        <v>17</v>
      </c>
      <c r="H20">
        <v>-1</v>
      </c>
      <c r="M20">
        <v>64</v>
      </c>
      <c r="N20">
        <f t="shared" si="2"/>
        <v>0.83189601299837523</v>
      </c>
      <c r="O20">
        <f t="shared" si="0"/>
        <v>1.608212601961553E-2</v>
      </c>
      <c r="P20">
        <f t="shared" si="3"/>
        <v>0</v>
      </c>
      <c r="Q20">
        <f t="shared" ref="Q20:W29" si="4">IF($N20&lt;=Q$3,$N20,0)</f>
        <v>0</v>
      </c>
      <c r="R20">
        <f t="shared" si="4"/>
        <v>0</v>
      </c>
      <c r="S20" s="58">
        <f t="shared" si="4"/>
        <v>0.83189601299837523</v>
      </c>
      <c r="T20">
        <f t="shared" si="4"/>
        <v>0.83189601299837523</v>
      </c>
      <c r="U20">
        <f t="shared" si="4"/>
        <v>0.83189601299837523</v>
      </c>
      <c r="V20">
        <f t="shared" si="4"/>
        <v>0.83189601299837523</v>
      </c>
      <c r="W20">
        <f t="shared" si="4"/>
        <v>0.83189601299837523</v>
      </c>
    </row>
    <row r="21" spans="3:23" x14ac:dyDescent="0.3">
      <c r="C21">
        <v>18</v>
      </c>
      <c r="D21" t="s">
        <v>26</v>
      </c>
      <c r="E21">
        <v>64</v>
      </c>
      <c r="F21">
        <v>15</v>
      </c>
      <c r="G21">
        <v>18</v>
      </c>
      <c r="H21">
        <v>-3</v>
      </c>
      <c r="M21">
        <v>64</v>
      </c>
      <c r="N21">
        <f t="shared" si="2"/>
        <v>0.83189601299837523</v>
      </c>
      <c r="O21">
        <f t="shared" si="0"/>
        <v>1.608212601961553E-2</v>
      </c>
      <c r="P21">
        <f t="shared" si="3"/>
        <v>0</v>
      </c>
      <c r="Q21">
        <f t="shared" si="4"/>
        <v>0</v>
      </c>
      <c r="R21">
        <f t="shared" si="4"/>
        <v>0</v>
      </c>
      <c r="S21" s="58">
        <f t="shared" si="4"/>
        <v>0.83189601299837523</v>
      </c>
      <c r="T21">
        <f t="shared" si="4"/>
        <v>0.83189601299837523</v>
      </c>
      <c r="U21">
        <f t="shared" si="4"/>
        <v>0.83189601299837523</v>
      </c>
      <c r="V21">
        <f t="shared" si="4"/>
        <v>0.83189601299837523</v>
      </c>
      <c r="W21">
        <f t="shared" si="4"/>
        <v>0.83189601299837523</v>
      </c>
    </row>
    <row r="22" spans="3:23" x14ac:dyDescent="0.3">
      <c r="C22">
        <v>19</v>
      </c>
      <c r="D22" t="s">
        <v>29</v>
      </c>
      <c r="E22">
        <v>60.5</v>
      </c>
      <c r="F22">
        <v>18</v>
      </c>
      <c r="G22">
        <v>19</v>
      </c>
      <c r="H22">
        <v>-1</v>
      </c>
      <c r="M22">
        <v>62.5</v>
      </c>
      <c r="N22">
        <f t="shared" si="2"/>
        <v>0.81239845019372581</v>
      </c>
      <c r="O22">
        <f t="shared" si="0"/>
        <v>1.5294458716747268E-2</v>
      </c>
      <c r="P22">
        <f t="shared" si="3"/>
        <v>0</v>
      </c>
      <c r="Q22">
        <f t="shared" si="4"/>
        <v>0</v>
      </c>
      <c r="R22">
        <f t="shared" si="4"/>
        <v>0</v>
      </c>
      <c r="S22" s="58">
        <f t="shared" si="4"/>
        <v>0.81239845019372581</v>
      </c>
      <c r="T22">
        <f t="shared" si="4"/>
        <v>0.81239845019372581</v>
      </c>
      <c r="U22">
        <f t="shared" si="4"/>
        <v>0.81239845019372581</v>
      </c>
      <c r="V22">
        <f t="shared" si="4"/>
        <v>0.81239845019372581</v>
      </c>
      <c r="W22">
        <f t="shared" si="4"/>
        <v>0.81239845019372581</v>
      </c>
    </row>
    <row r="23" spans="3:23" x14ac:dyDescent="0.3">
      <c r="C23">
        <v>20</v>
      </c>
      <c r="D23" t="s">
        <v>28</v>
      </c>
      <c r="E23">
        <v>62.5</v>
      </c>
      <c r="F23">
        <v>17</v>
      </c>
      <c r="G23">
        <v>20</v>
      </c>
      <c r="H23">
        <v>-3</v>
      </c>
      <c r="M23">
        <v>62.5</v>
      </c>
      <c r="N23">
        <f t="shared" si="2"/>
        <v>0.81239845019372581</v>
      </c>
      <c r="O23">
        <f t="shared" si="0"/>
        <v>1.5294458716747268E-2</v>
      </c>
      <c r="P23">
        <f t="shared" si="3"/>
        <v>0</v>
      </c>
      <c r="Q23">
        <f t="shared" si="4"/>
        <v>0</v>
      </c>
      <c r="R23">
        <f t="shared" si="4"/>
        <v>0</v>
      </c>
      <c r="S23" s="58">
        <f t="shared" si="4"/>
        <v>0.81239845019372581</v>
      </c>
      <c r="T23">
        <f t="shared" si="4"/>
        <v>0.81239845019372581</v>
      </c>
      <c r="U23">
        <f t="shared" si="4"/>
        <v>0.81239845019372581</v>
      </c>
      <c r="V23">
        <f t="shared" si="4"/>
        <v>0.81239845019372581</v>
      </c>
      <c r="W23">
        <f t="shared" si="4"/>
        <v>0.81239845019372581</v>
      </c>
    </row>
    <row r="24" spans="3:23" x14ac:dyDescent="0.3">
      <c r="C24">
        <v>21</v>
      </c>
      <c r="D24" t="s">
        <v>36</v>
      </c>
      <c r="E24">
        <v>46</v>
      </c>
      <c r="F24">
        <v>24</v>
      </c>
      <c r="G24">
        <v>21</v>
      </c>
      <c r="H24">
        <v>3</v>
      </c>
      <c r="M24">
        <v>58.5</v>
      </c>
      <c r="N24">
        <f t="shared" si="2"/>
        <v>0.7604049493813273</v>
      </c>
      <c r="O24">
        <f t="shared" si="0"/>
        <v>1.3022278386586397E-2</v>
      </c>
      <c r="P24">
        <f t="shared" si="3"/>
        <v>0</v>
      </c>
      <c r="Q24">
        <f t="shared" si="4"/>
        <v>0</v>
      </c>
      <c r="R24">
        <f t="shared" si="4"/>
        <v>0</v>
      </c>
      <c r="S24" s="58">
        <f t="shared" si="4"/>
        <v>0.7604049493813273</v>
      </c>
      <c r="T24">
        <f t="shared" si="4"/>
        <v>0.7604049493813273</v>
      </c>
      <c r="U24">
        <f t="shared" si="4"/>
        <v>0.7604049493813273</v>
      </c>
      <c r="V24">
        <f t="shared" si="4"/>
        <v>0.7604049493813273</v>
      </c>
      <c r="W24">
        <f t="shared" si="4"/>
        <v>0.7604049493813273</v>
      </c>
    </row>
    <row r="25" spans="3:23" x14ac:dyDescent="0.3">
      <c r="C25">
        <v>22</v>
      </c>
      <c r="D25" t="s">
        <v>31</v>
      </c>
      <c r="E25">
        <v>56</v>
      </c>
      <c r="F25">
        <v>20</v>
      </c>
      <c r="G25">
        <v>22</v>
      </c>
      <c r="H25">
        <v>-2</v>
      </c>
      <c r="M25">
        <v>57</v>
      </c>
      <c r="N25">
        <f t="shared" si="2"/>
        <v>0.74090738657667787</v>
      </c>
      <c r="O25">
        <f t="shared" si="0"/>
        <v>1.2136989396893441E-2</v>
      </c>
      <c r="P25">
        <f t="shared" si="3"/>
        <v>0</v>
      </c>
      <c r="Q25">
        <f t="shared" si="4"/>
        <v>0</v>
      </c>
      <c r="R25" s="58">
        <f t="shared" si="4"/>
        <v>0.74090738657667787</v>
      </c>
      <c r="S25">
        <f t="shared" si="4"/>
        <v>0.74090738657667787</v>
      </c>
      <c r="T25">
        <f t="shared" si="4"/>
        <v>0.74090738657667787</v>
      </c>
      <c r="U25">
        <f t="shared" si="4"/>
        <v>0.74090738657667787</v>
      </c>
      <c r="V25">
        <f t="shared" si="4"/>
        <v>0.74090738657667787</v>
      </c>
      <c r="W25">
        <f t="shared" si="4"/>
        <v>0.74090738657667787</v>
      </c>
    </row>
    <row r="26" spans="3:23" x14ac:dyDescent="0.3">
      <c r="C26">
        <v>23</v>
      </c>
      <c r="D26" t="s">
        <v>32</v>
      </c>
      <c r="E26">
        <v>55</v>
      </c>
      <c r="F26">
        <v>21</v>
      </c>
      <c r="G26">
        <v>23</v>
      </c>
      <c r="H26">
        <v>-2</v>
      </c>
      <c r="M26">
        <v>55</v>
      </c>
      <c r="N26">
        <f t="shared" si="2"/>
        <v>0.71491063617047867</v>
      </c>
      <c r="O26">
        <f t="shared" si="0"/>
        <v>1.0955287581715141E-2</v>
      </c>
      <c r="P26">
        <f t="shared" si="3"/>
        <v>0</v>
      </c>
      <c r="Q26">
        <f t="shared" si="4"/>
        <v>0</v>
      </c>
      <c r="R26" s="58">
        <f t="shared" si="4"/>
        <v>0.71491063617047867</v>
      </c>
      <c r="S26">
        <f t="shared" si="4"/>
        <v>0.71491063617047867</v>
      </c>
      <c r="T26">
        <f t="shared" si="4"/>
        <v>0.71491063617047867</v>
      </c>
      <c r="U26">
        <f t="shared" si="4"/>
        <v>0.71491063617047867</v>
      </c>
      <c r="V26">
        <f t="shared" si="4"/>
        <v>0.71491063617047867</v>
      </c>
      <c r="W26">
        <f t="shared" si="4"/>
        <v>0.71491063617047867</v>
      </c>
    </row>
    <row r="27" spans="3:23" x14ac:dyDescent="0.3">
      <c r="C27">
        <v>24</v>
      </c>
      <c r="D27" t="s">
        <v>35</v>
      </c>
      <c r="E27">
        <v>46</v>
      </c>
      <c r="F27">
        <v>25</v>
      </c>
      <c r="G27">
        <v>24</v>
      </c>
      <c r="H27">
        <v>1</v>
      </c>
      <c r="M27">
        <v>53.5</v>
      </c>
      <c r="N27">
        <f t="shared" si="2"/>
        <v>0.69541307336582925</v>
      </c>
      <c r="O27">
        <f t="shared" si="0"/>
        <v>1.0080196547497765E-2</v>
      </c>
      <c r="P27">
        <f t="shared" si="3"/>
        <v>0</v>
      </c>
      <c r="Q27">
        <f t="shared" si="4"/>
        <v>0</v>
      </c>
      <c r="R27" s="58">
        <f t="shared" si="4"/>
        <v>0.69541307336582925</v>
      </c>
      <c r="S27">
        <f t="shared" si="4"/>
        <v>0.69541307336582925</v>
      </c>
      <c r="T27">
        <f t="shared" si="4"/>
        <v>0.69541307336582925</v>
      </c>
      <c r="U27">
        <f t="shared" si="4"/>
        <v>0.69541307336582925</v>
      </c>
      <c r="V27">
        <f t="shared" si="4"/>
        <v>0.69541307336582925</v>
      </c>
      <c r="W27">
        <f t="shared" si="4"/>
        <v>0.69541307336582925</v>
      </c>
    </row>
    <row r="28" spans="3:23" x14ac:dyDescent="0.3">
      <c r="C28">
        <v>25</v>
      </c>
      <c r="D28" t="s">
        <v>34</v>
      </c>
      <c r="E28">
        <v>49</v>
      </c>
      <c r="F28">
        <v>23</v>
      </c>
      <c r="G28">
        <v>25</v>
      </c>
      <c r="H28">
        <v>-2</v>
      </c>
      <c r="M28">
        <v>51</v>
      </c>
      <c r="N28">
        <f t="shared" si="2"/>
        <v>0.66291713535808028</v>
      </c>
      <c r="O28">
        <f t="shared" si="0"/>
        <v>8.6675809521073056E-3</v>
      </c>
      <c r="P28">
        <f t="shared" si="3"/>
        <v>0</v>
      </c>
      <c r="Q28">
        <f t="shared" si="4"/>
        <v>0</v>
      </c>
      <c r="R28" s="58">
        <f t="shared" si="4"/>
        <v>0.66291713535808028</v>
      </c>
      <c r="S28">
        <f t="shared" si="4"/>
        <v>0.66291713535808028</v>
      </c>
      <c r="T28">
        <f t="shared" si="4"/>
        <v>0.66291713535808028</v>
      </c>
      <c r="U28">
        <f t="shared" si="4"/>
        <v>0.66291713535808028</v>
      </c>
      <c r="V28">
        <f t="shared" si="4"/>
        <v>0.66291713535808028</v>
      </c>
      <c r="W28">
        <f t="shared" si="4"/>
        <v>0.66291713535808028</v>
      </c>
    </row>
    <row r="29" spans="3:23" x14ac:dyDescent="0.3">
      <c r="C29">
        <v>26</v>
      </c>
      <c r="D29" t="s">
        <v>37</v>
      </c>
      <c r="E29">
        <v>35</v>
      </c>
      <c r="F29">
        <v>26</v>
      </c>
      <c r="G29">
        <v>26</v>
      </c>
      <c r="H29">
        <v>0</v>
      </c>
      <c r="M29">
        <v>37</v>
      </c>
      <c r="N29">
        <f t="shared" si="2"/>
        <v>0.48093988251468567</v>
      </c>
      <c r="O29">
        <f t="shared" si="0"/>
        <v>2.8052181072260487E-3</v>
      </c>
      <c r="P29">
        <f t="shared" si="3"/>
        <v>0</v>
      </c>
      <c r="Q29" s="58">
        <f t="shared" si="4"/>
        <v>0.48093988251468567</v>
      </c>
      <c r="R29">
        <f t="shared" si="4"/>
        <v>0.48093988251468567</v>
      </c>
      <c r="S29">
        <f t="shared" si="4"/>
        <v>0.48093988251468567</v>
      </c>
      <c r="T29">
        <f t="shared" si="4"/>
        <v>0.48093988251468567</v>
      </c>
      <c r="U29">
        <f t="shared" si="4"/>
        <v>0.48093988251468567</v>
      </c>
      <c r="V29">
        <f t="shared" si="4"/>
        <v>0.48093988251468567</v>
      </c>
      <c r="W29">
        <f t="shared" si="4"/>
        <v>0.48093988251468567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D0569-2D46-4D44-97BB-D38DA5E949C4}">
  <sheetPr codeName="Sheet2">
    <tabColor rgb="FFFF0000"/>
  </sheetPr>
  <dimension ref="A1:I99"/>
  <sheetViews>
    <sheetView showGridLines="0" workbookViewId="0">
      <selection activeCell="H84" sqref="H84"/>
    </sheetView>
  </sheetViews>
  <sheetFormatPr defaultColWidth="27.5546875" defaultRowHeight="14.4" x14ac:dyDescent="0.3"/>
  <cols>
    <col min="1" max="1" width="18" style="23" bestFit="1" customWidth="1"/>
    <col min="2" max="2" width="14.5546875" style="23" bestFit="1" customWidth="1"/>
    <col min="3" max="3" width="21.21875" style="23" bestFit="1" customWidth="1"/>
    <col min="4" max="5" width="29.77734375" style="23" bestFit="1" customWidth="1"/>
    <col min="6" max="6" width="1.44140625" customWidth="1"/>
    <col min="7" max="7" width="11" style="37" customWidth="1"/>
    <col min="8" max="8" width="2" customWidth="1"/>
  </cols>
  <sheetData>
    <row r="1" spans="1:8" s="2" customFormat="1" x14ac:dyDescent="0.3">
      <c r="A1" s="25"/>
      <c r="B1" s="25"/>
      <c r="C1" s="25"/>
      <c r="D1" s="25"/>
      <c r="E1" s="25"/>
      <c r="F1" s="28"/>
      <c r="G1" s="36"/>
    </row>
    <row r="2" spans="1:8" ht="15" thickBot="1" x14ac:dyDescent="0.35">
      <c r="A2" s="24"/>
      <c r="B2" s="24"/>
      <c r="C2" s="24"/>
      <c r="D2" s="24"/>
      <c r="E2" s="24"/>
      <c r="F2" s="21"/>
    </row>
    <row r="3" spans="1:8" ht="15" thickBot="1" x14ac:dyDescent="0.35">
      <c r="A3" s="22"/>
      <c r="B3" s="22"/>
      <c r="C3" s="22"/>
      <c r="D3" s="22"/>
      <c r="E3" s="22"/>
      <c r="F3" s="21"/>
    </row>
    <row r="4" spans="1:8" ht="15" thickBot="1" x14ac:dyDescent="0.35">
      <c r="A4" s="22"/>
      <c r="B4" s="22"/>
      <c r="C4" s="22"/>
      <c r="D4" s="22"/>
      <c r="E4" s="22"/>
      <c r="F4" s="21"/>
    </row>
    <row r="5" spans="1:8" ht="15" thickBot="1" x14ac:dyDescent="0.35">
      <c r="A5" s="22"/>
      <c r="B5" s="22"/>
      <c r="C5" s="22"/>
      <c r="D5" s="22"/>
      <c r="E5" s="22"/>
      <c r="F5" s="21"/>
    </row>
    <row r="6" spans="1:8" ht="15" thickBot="1" x14ac:dyDescent="0.35">
      <c r="A6" s="22"/>
      <c r="B6" s="22"/>
      <c r="C6" s="22"/>
      <c r="D6" s="22"/>
      <c r="E6" s="22"/>
      <c r="F6" s="21"/>
    </row>
    <row r="7" spans="1:8" ht="15" thickBot="1" x14ac:dyDescent="0.35">
      <c r="A7" s="22"/>
      <c r="B7" s="22"/>
      <c r="C7" s="22"/>
      <c r="D7" s="22"/>
      <c r="E7" s="22"/>
      <c r="F7" s="21"/>
    </row>
    <row r="8" spans="1:8" ht="15" thickBot="1" x14ac:dyDescent="0.35">
      <c r="A8" s="22"/>
      <c r="B8" s="22"/>
      <c r="C8" s="22"/>
      <c r="D8" s="22"/>
      <c r="E8" s="22"/>
      <c r="F8" s="21"/>
    </row>
    <row r="9" spans="1:8" ht="15" thickBot="1" x14ac:dyDescent="0.35">
      <c r="A9" s="22"/>
      <c r="B9" s="22"/>
      <c r="C9" s="22"/>
      <c r="D9" s="22"/>
      <c r="E9" s="22"/>
      <c r="F9" s="21"/>
    </row>
    <row r="10" spans="1:8" ht="15" thickBot="1" x14ac:dyDescent="0.35">
      <c r="A10" s="22"/>
      <c r="B10" s="22"/>
      <c r="C10" s="22"/>
      <c r="D10" s="22"/>
      <c r="E10" s="22"/>
      <c r="F10" s="21"/>
      <c r="H10" s="20"/>
    </row>
    <row r="11" spans="1:8" ht="15" thickBot="1" x14ac:dyDescent="0.35">
      <c r="A11" s="22"/>
      <c r="B11" s="22"/>
      <c r="C11" s="22"/>
      <c r="D11" s="22"/>
      <c r="E11" s="22"/>
      <c r="F11" s="21"/>
    </row>
    <row r="12" spans="1:8" ht="15" thickBot="1" x14ac:dyDescent="0.35">
      <c r="A12" s="22"/>
      <c r="B12" s="22"/>
      <c r="C12" s="22"/>
      <c r="D12" s="22"/>
      <c r="E12" s="22"/>
      <c r="F12" s="21"/>
    </row>
    <row r="13" spans="1:8" ht="15" thickBot="1" x14ac:dyDescent="0.35">
      <c r="A13" s="22"/>
      <c r="B13" s="22"/>
      <c r="C13" s="22"/>
      <c r="D13" s="22"/>
      <c r="E13" s="22"/>
      <c r="F13" s="21"/>
    </row>
    <row r="14" spans="1:8" ht="15" thickBot="1" x14ac:dyDescent="0.35">
      <c r="A14" s="22"/>
      <c r="B14" s="22"/>
      <c r="C14" s="22"/>
      <c r="D14" s="22"/>
      <c r="E14" s="22"/>
      <c r="F14" s="21"/>
    </row>
    <row r="15" spans="1:8" ht="15" thickBot="1" x14ac:dyDescent="0.35">
      <c r="A15" s="22"/>
      <c r="B15" s="22"/>
      <c r="C15" s="22"/>
      <c r="D15" s="22"/>
      <c r="E15" s="22"/>
      <c r="F15" s="21"/>
    </row>
    <row r="16" spans="1:8" ht="15" thickBot="1" x14ac:dyDescent="0.35">
      <c r="A16" s="22"/>
      <c r="B16" s="22"/>
      <c r="C16" s="22"/>
      <c r="D16" s="22"/>
      <c r="E16" s="22"/>
      <c r="F16" s="21"/>
    </row>
    <row r="17" spans="1:6" ht="15" thickBot="1" x14ac:dyDescent="0.35">
      <c r="A17" s="22"/>
      <c r="B17" s="22"/>
      <c r="C17" s="22"/>
      <c r="D17" s="22"/>
      <c r="E17" s="22"/>
      <c r="F17" s="21"/>
    </row>
    <row r="18" spans="1:6" ht="15" thickBot="1" x14ac:dyDescent="0.35">
      <c r="A18" s="22"/>
      <c r="B18" s="22"/>
      <c r="C18" s="22"/>
      <c r="D18" s="22"/>
      <c r="E18" s="22"/>
      <c r="F18" s="21"/>
    </row>
    <row r="19" spans="1:6" ht="15" thickBot="1" x14ac:dyDescent="0.35">
      <c r="A19" s="22"/>
      <c r="B19" s="22"/>
      <c r="C19" s="22"/>
      <c r="D19" s="22"/>
      <c r="E19" s="22"/>
      <c r="F19" s="21"/>
    </row>
    <row r="20" spans="1:6" ht="15" thickBot="1" x14ac:dyDescent="0.35">
      <c r="A20" s="22"/>
      <c r="B20" s="22"/>
      <c r="C20" s="22"/>
      <c r="D20" s="22"/>
      <c r="E20" s="22"/>
      <c r="F20" s="21"/>
    </row>
    <row r="21" spans="1:6" ht="15" thickBot="1" x14ac:dyDescent="0.35">
      <c r="A21" s="22"/>
      <c r="B21" s="22"/>
      <c r="C21" s="22"/>
      <c r="D21" s="22"/>
      <c r="E21" s="22"/>
      <c r="F21" s="21"/>
    </row>
    <row r="22" spans="1:6" ht="15" thickBot="1" x14ac:dyDescent="0.35">
      <c r="A22" s="22"/>
      <c r="B22" s="22"/>
      <c r="C22" s="22"/>
      <c r="D22" s="22"/>
      <c r="E22" s="22"/>
      <c r="F22" s="21"/>
    </row>
    <row r="23" spans="1:6" ht="15" thickBot="1" x14ac:dyDescent="0.35">
      <c r="A23" s="22"/>
      <c r="B23" s="22"/>
      <c r="C23" s="22"/>
      <c r="D23" s="22"/>
      <c r="E23" s="22"/>
      <c r="F23" s="21"/>
    </row>
    <row r="24" spans="1:6" ht="15" thickBot="1" x14ac:dyDescent="0.35">
      <c r="A24" s="22"/>
      <c r="B24" s="22"/>
      <c r="C24" s="22"/>
      <c r="D24" s="22"/>
      <c r="E24" s="22"/>
      <c r="F24" s="21"/>
    </row>
    <row r="25" spans="1:6" ht="15" thickBot="1" x14ac:dyDescent="0.35">
      <c r="A25" s="22"/>
      <c r="B25" s="22"/>
      <c r="C25" s="22"/>
      <c r="D25" s="22"/>
      <c r="E25" s="22"/>
      <c r="F25" s="21"/>
    </row>
    <row r="26" spans="1:6" ht="15" thickBot="1" x14ac:dyDescent="0.35">
      <c r="A26" s="22"/>
      <c r="B26" s="22"/>
      <c r="C26" s="22"/>
      <c r="D26" s="22"/>
      <c r="E26" s="22"/>
      <c r="F26" s="21"/>
    </row>
    <row r="27" spans="1:6" ht="15" thickBot="1" x14ac:dyDescent="0.35">
      <c r="A27" s="22"/>
      <c r="B27" s="22"/>
      <c r="C27" s="22"/>
      <c r="D27" s="22"/>
      <c r="E27" s="22"/>
      <c r="F27" s="21"/>
    </row>
    <row r="28" spans="1:6" ht="15" thickBot="1" x14ac:dyDescent="0.35">
      <c r="A28" s="22"/>
      <c r="B28" s="22"/>
      <c r="C28" s="22"/>
      <c r="D28" s="22"/>
      <c r="E28" s="22"/>
      <c r="F28" s="21"/>
    </row>
    <row r="29" spans="1:6" ht="15" thickBot="1" x14ac:dyDescent="0.35">
      <c r="A29" s="22"/>
      <c r="B29" s="22"/>
      <c r="C29" s="22"/>
      <c r="D29" s="22"/>
      <c r="E29" s="22"/>
      <c r="F29" s="21"/>
    </row>
    <row r="30" spans="1:6" ht="15" thickBot="1" x14ac:dyDescent="0.35">
      <c r="A30" s="22"/>
      <c r="B30" s="22"/>
      <c r="C30" s="22"/>
      <c r="D30" s="22"/>
      <c r="E30" s="22"/>
      <c r="F30" s="21"/>
    </row>
    <row r="31" spans="1:6" ht="15" thickBot="1" x14ac:dyDescent="0.35">
      <c r="A31" s="22"/>
      <c r="B31" s="22"/>
      <c r="C31" s="22"/>
      <c r="D31" s="22"/>
      <c r="E31" s="22"/>
      <c r="F31" s="21"/>
    </row>
    <row r="32" spans="1:6" ht="15" thickBot="1" x14ac:dyDescent="0.35">
      <c r="A32" s="22"/>
      <c r="B32" s="22"/>
      <c r="C32" s="22"/>
      <c r="D32" s="22"/>
      <c r="E32" s="22"/>
      <c r="F32" s="21"/>
    </row>
    <row r="33" spans="1:6" ht="15" thickBot="1" x14ac:dyDescent="0.35">
      <c r="A33" s="22"/>
      <c r="B33" s="22"/>
      <c r="C33" s="22"/>
      <c r="D33" s="22"/>
      <c r="E33" s="22"/>
      <c r="F33" s="21"/>
    </row>
    <row r="34" spans="1:6" ht="15" thickBot="1" x14ac:dyDescent="0.35">
      <c r="A34" s="22"/>
      <c r="B34" s="22"/>
      <c r="C34" s="22"/>
      <c r="D34" s="22"/>
      <c r="E34" s="22"/>
      <c r="F34" s="21"/>
    </row>
    <row r="35" spans="1:6" ht="15" thickBot="1" x14ac:dyDescent="0.35">
      <c r="A35" s="22"/>
      <c r="B35" s="22"/>
      <c r="C35" s="22"/>
      <c r="D35" s="22"/>
      <c r="E35" s="22"/>
      <c r="F35" s="21"/>
    </row>
    <row r="36" spans="1:6" ht="15" thickBot="1" x14ac:dyDescent="0.35">
      <c r="A36" s="22"/>
      <c r="B36" s="22"/>
      <c r="C36" s="22"/>
      <c r="D36" s="22"/>
      <c r="E36" s="22"/>
      <c r="F36" s="21"/>
    </row>
    <row r="37" spans="1:6" ht="15" thickBot="1" x14ac:dyDescent="0.35">
      <c r="A37" s="22"/>
      <c r="B37" s="22"/>
      <c r="C37" s="22"/>
      <c r="D37" s="22"/>
      <c r="E37" s="22"/>
      <c r="F37" s="21"/>
    </row>
    <row r="38" spans="1:6" ht="15" thickBot="1" x14ac:dyDescent="0.35">
      <c r="A38" s="22"/>
      <c r="B38" s="22"/>
      <c r="C38" s="22"/>
      <c r="D38" s="22"/>
      <c r="E38" s="22"/>
      <c r="F38" s="21"/>
    </row>
    <row r="39" spans="1:6" ht="15" thickBot="1" x14ac:dyDescent="0.35">
      <c r="A39" s="22"/>
      <c r="B39" s="22"/>
      <c r="C39" s="22"/>
      <c r="D39" s="22"/>
      <c r="E39" s="22"/>
      <c r="F39" s="21"/>
    </row>
    <row r="40" spans="1:6" ht="15" thickBot="1" x14ac:dyDescent="0.35">
      <c r="A40" s="22"/>
      <c r="B40" s="22"/>
      <c r="C40" s="22"/>
      <c r="D40" s="22"/>
      <c r="E40" s="22"/>
      <c r="F40" s="21"/>
    </row>
    <row r="41" spans="1:6" ht="15" thickBot="1" x14ac:dyDescent="0.35">
      <c r="A41" s="22"/>
      <c r="B41" s="22"/>
      <c r="C41" s="22"/>
      <c r="D41" s="22"/>
      <c r="E41" s="22"/>
      <c r="F41" s="21"/>
    </row>
    <row r="42" spans="1:6" ht="15" thickBot="1" x14ac:dyDescent="0.35">
      <c r="A42" s="22"/>
      <c r="B42" s="22"/>
      <c r="C42" s="22"/>
      <c r="D42" s="22"/>
      <c r="E42" s="22"/>
      <c r="F42" s="21"/>
    </row>
    <row r="43" spans="1:6" ht="15" thickBot="1" x14ac:dyDescent="0.35">
      <c r="A43" s="22"/>
      <c r="B43" s="22"/>
      <c r="C43" s="22"/>
      <c r="D43" s="22"/>
      <c r="E43" s="22"/>
      <c r="F43" s="21"/>
    </row>
    <row r="44" spans="1:6" ht="12.75" customHeight="1" thickBot="1" x14ac:dyDescent="0.35">
      <c r="A44" s="22"/>
      <c r="B44" s="22"/>
      <c r="C44" s="22"/>
      <c r="D44" s="22"/>
      <c r="E44" s="22"/>
      <c r="F44" s="21"/>
    </row>
    <row r="45" spans="1:6" ht="15" thickBot="1" x14ac:dyDescent="0.35">
      <c r="A45" s="22"/>
      <c r="B45" s="22"/>
      <c r="C45" s="22"/>
      <c r="D45" s="22"/>
      <c r="E45" s="22"/>
      <c r="F45" s="21"/>
    </row>
    <row r="46" spans="1:6" ht="15" thickBot="1" x14ac:dyDescent="0.35">
      <c r="A46" s="22"/>
      <c r="B46" s="22"/>
      <c r="C46" s="22"/>
      <c r="D46" s="22"/>
      <c r="E46" s="22"/>
      <c r="F46" s="21"/>
    </row>
    <row r="47" spans="1:6" ht="15" thickBot="1" x14ac:dyDescent="0.35">
      <c r="A47" s="22"/>
      <c r="B47" s="22"/>
      <c r="C47" s="22"/>
      <c r="D47" s="22"/>
      <c r="E47" s="22"/>
      <c r="F47" s="21"/>
    </row>
    <row r="48" spans="1:6" ht="15" thickBot="1" x14ac:dyDescent="0.35">
      <c r="A48" s="22"/>
      <c r="B48" s="22"/>
      <c r="C48" s="22"/>
      <c r="D48" s="22"/>
      <c r="E48" s="22"/>
      <c r="F48" s="21"/>
    </row>
    <row r="49" spans="1:9" ht="15" customHeight="1" thickBot="1" x14ac:dyDescent="0.35">
      <c r="A49" s="22"/>
      <c r="B49" s="22"/>
      <c r="C49" s="22"/>
      <c r="D49" s="22"/>
      <c r="E49" s="22"/>
      <c r="F49" s="21"/>
    </row>
    <row r="50" spans="1:9" ht="15" customHeight="1" thickBot="1" x14ac:dyDescent="0.35">
      <c r="A50" s="22"/>
      <c r="B50" s="22"/>
      <c r="C50" s="22"/>
      <c r="D50" s="22"/>
      <c r="E50" s="31"/>
      <c r="F50" s="21"/>
      <c r="I50" s="55"/>
    </row>
    <row r="51" spans="1:9" ht="15" customHeight="1" thickBot="1" x14ac:dyDescent="0.35">
      <c r="A51" s="22"/>
      <c r="B51" s="22"/>
      <c r="C51" s="22"/>
      <c r="D51" s="22"/>
      <c r="E51" s="31"/>
      <c r="F51" s="21"/>
      <c r="I51" s="55"/>
    </row>
    <row r="52" spans="1:9" ht="15" customHeight="1" thickBot="1" x14ac:dyDescent="0.35">
      <c r="A52" s="22"/>
      <c r="B52" s="22"/>
      <c r="C52" s="22"/>
      <c r="D52" s="22"/>
      <c r="E52" s="22"/>
      <c r="F52" s="21"/>
      <c r="I52" s="55"/>
    </row>
    <row r="53" spans="1:9" ht="15" customHeight="1" thickBot="1" x14ac:dyDescent="0.35">
      <c r="A53" s="22"/>
      <c r="B53" s="22"/>
      <c r="C53" s="22"/>
      <c r="D53" s="22"/>
      <c r="E53" s="22"/>
      <c r="F53" s="33"/>
      <c r="I53" s="55"/>
    </row>
    <row r="54" spans="1:9" ht="15" customHeight="1" thickBot="1" x14ac:dyDescent="0.35">
      <c r="A54" s="22"/>
      <c r="B54" s="22"/>
      <c r="C54" s="22"/>
      <c r="D54" s="22"/>
      <c r="E54" s="22"/>
      <c r="F54" s="21"/>
      <c r="I54" s="55"/>
    </row>
    <row r="55" spans="1:9" ht="15" customHeight="1" thickBot="1" x14ac:dyDescent="0.35">
      <c r="A55" s="22"/>
      <c r="B55" s="22"/>
      <c r="C55" s="22"/>
      <c r="D55" s="22"/>
      <c r="E55" s="22"/>
      <c r="F55" s="21"/>
      <c r="I55" s="55"/>
    </row>
    <row r="56" spans="1:9" ht="15" customHeight="1" thickBot="1" x14ac:dyDescent="0.35">
      <c r="A56" s="22"/>
      <c r="B56" s="22"/>
      <c r="C56" s="22"/>
      <c r="D56" s="22"/>
      <c r="E56" s="22"/>
      <c r="F56" s="21"/>
      <c r="I56" s="55"/>
    </row>
    <row r="57" spans="1:9" ht="15" customHeight="1" thickBot="1" x14ac:dyDescent="0.35">
      <c r="A57" s="22"/>
      <c r="B57" s="22"/>
      <c r="C57" s="22"/>
      <c r="D57" s="22"/>
      <c r="E57" s="22"/>
      <c r="F57" s="21"/>
      <c r="I57" s="55"/>
    </row>
    <row r="58" spans="1:9" ht="15" customHeight="1" thickBot="1" x14ac:dyDescent="0.35">
      <c r="A58" s="22"/>
      <c r="B58" s="22"/>
      <c r="C58" s="22"/>
      <c r="D58" s="31"/>
      <c r="E58" s="22"/>
      <c r="F58" s="34"/>
      <c r="I58" s="55"/>
    </row>
    <row r="59" spans="1:9" ht="15" customHeight="1" thickBot="1" x14ac:dyDescent="0.35">
      <c r="A59" s="22"/>
      <c r="B59" s="22"/>
      <c r="C59" s="22"/>
      <c r="D59" s="22"/>
      <c r="E59" s="22"/>
      <c r="F59" s="21"/>
      <c r="I59" s="55"/>
    </row>
    <row r="60" spans="1:9" ht="15" customHeight="1" thickBot="1" x14ac:dyDescent="0.35">
      <c r="A60" s="22"/>
      <c r="B60" s="22"/>
      <c r="C60" s="22"/>
      <c r="D60" s="22"/>
      <c r="E60" s="22"/>
      <c r="F60" s="21"/>
      <c r="I60" s="55"/>
    </row>
    <row r="61" spans="1:9" ht="15" customHeight="1" thickBot="1" x14ac:dyDescent="0.35">
      <c r="A61" s="22"/>
      <c r="B61" s="22"/>
      <c r="C61" s="22"/>
      <c r="D61" s="22"/>
      <c r="E61" s="22"/>
      <c r="F61" s="21"/>
      <c r="I61" s="55"/>
    </row>
    <row r="62" spans="1:9" ht="15" customHeight="1" thickBot="1" x14ac:dyDescent="0.35">
      <c r="A62" s="22"/>
      <c r="B62" s="22"/>
      <c r="C62" s="22"/>
      <c r="D62" s="31"/>
      <c r="E62" s="22"/>
      <c r="F62" s="21"/>
      <c r="I62" s="55"/>
    </row>
    <row r="63" spans="1:9" ht="15" customHeight="1" thickBot="1" x14ac:dyDescent="0.35">
      <c r="A63" s="22"/>
      <c r="B63" s="22"/>
      <c r="C63" s="22"/>
      <c r="D63" s="22"/>
      <c r="E63" s="22"/>
      <c r="F63" s="33"/>
      <c r="I63" s="55"/>
    </row>
    <row r="64" spans="1:9" ht="15" customHeight="1" thickBot="1" x14ac:dyDescent="0.35">
      <c r="A64" s="22"/>
      <c r="B64" s="22"/>
      <c r="C64" s="22"/>
      <c r="D64" s="22"/>
      <c r="E64" s="22"/>
      <c r="F64" s="21"/>
      <c r="I64" s="55"/>
    </row>
    <row r="65" spans="1:9" ht="15" customHeight="1" thickBot="1" x14ac:dyDescent="0.35">
      <c r="A65" s="22"/>
      <c r="B65" s="22"/>
      <c r="C65" s="22"/>
      <c r="D65" s="22"/>
      <c r="E65" s="32"/>
      <c r="F65" s="33"/>
      <c r="I65" s="55"/>
    </row>
    <row r="66" spans="1:9" ht="15" customHeight="1" thickBot="1" x14ac:dyDescent="0.35">
      <c r="A66" s="22"/>
      <c r="B66" s="22"/>
      <c r="C66" s="22"/>
      <c r="D66" s="22"/>
      <c r="E66" s="22"/>
      <c r="F66" s="21"/>
      <c r="I66" s="55"/>
    </row>
    <row r="67" spans="1:9" ht="15" customHeight="1" thickBot="1" x14ac:dyDescent="0.35">
      <c r="A67" s="22"/>
      <c r="B67" s="22"/>
      <c r="C67" s="22"/>
      <c r="D67" s="22"/>
      <c r="E67" s="22"/>
      <c r="F67" s="21"/>
      <c r="I67" s="55"/>
    </row>
    <row r="68" spans="1:9" ht="15" customHeight="1" thickBot="1" x14ac:dyDescent="0.35">
      <c r="A68" s="22"/>
      <c r="B68" s="22"/>
      <c r="C68" s="22"/>
      <c r="D68" s="22"/>
      <c r="E68" s="22"/>
      <c r="F68" s="21"/>
      <c r="I68" s="55"/>
    </row>
    <row r="69" spans="1:9" ht="15" customHeight="1" thickBot="1" x14ac:dyDescent="0.35">
      <c r="A69" s="22"/>
      <c r="B69" s="22"/>
      <c r="C69" s="22"/>
      <c r="D69" s="22"/>
      <c r="E69" s="22"/>
      <c r="F69" s="21"/>
      <c r="I69" s="55"/>
    </row>
    <row r="70" spans="1:9" ht="15" customHeight="1" thickBot="1" x14ac:dyDescent="0.35">
      <c r="A70" s="22"/>
      <c r="B70" s="22"/>
      <c r="C70" s="22"/>
      <c r="D70" s="22"/>
      <c r="E70" s="31"/>
      <c r="F70" s="21"/>
      <c r="I70" s="55"/>
    </row>
    <row r="71" spans="1:9" ht="15" customHeight="1" thickBot="1" x14ac:dyDescent="0.35">
      <c r="A71" s="22"/>
      <c r="B71" s="22"/>
      <c r="C71" s="22"/>
      <c r="D71" s="22"/>
      <c r="E71" s="22"/>
      <c r="F71" s="21"/>
      <c r="I71" s="55"/>
    </row>
    <row r="72" spans="1:9" ht="15" customHeight="1" thickBot="1" x14ac:dyDescent="0.35">
      <c r="A72" s="22"/>
      <c r="B72" s="22"/>
      <c r="C72" s="22"/>
      <c r="D72" s="31"/>
      <c r="E72" s="22"/>
      <c r="F72" s="34"/>
      <c r="I72" s="55"/>
    </row>
    <row r="73" spans="1:9" ht="15" customHeight="1" thickBot="1" x14ac:dyDescent="0.35">
      <c r="A73" s="22"/>
      <c r="B73" s="22"/>
      <c r="C73" s="22"/>
      <c r="D73" s="22"/>
      <c r="E73" s="22"/>
      <c r="F73" s="21"/>
      <c r="I73" s="55"/>
    </row>
    <row r="74" spans="1:9" ht="15" customHeight="1" thickBot="1" x14ac:dyDescent="0.35">
      <c r="A74" s="22"/>
      <c r="B74" s="22"/>
      <c r="C74" s="22"/>
      <c r="D74" s="22"/>
      <c r="E74" s="22"/>
      <c r="F74" s="21"/>
      <c r="I74" s="55"/>
    </row>
    <row r="75" spans="1:9" ht="15" customHeight="1" thickBot="1" x14ac:dyDescent="0.35">
      <c r="A75" s="22"/>
      <c r="B75" s="22"/>
      <c r="C75" s="22"/>
      <c r="D75" s="22"/>
      <c r="E75" s="39"/>
    </row>
    <row r="76" spans="1:9" ht="15" customHeight="1" thickBot="1" x14ac:dyDescent="0.35">
      <c r="A76" s="22"/>
      <c r="B76" s="22"/>
      <c r="C76" s="22"/>
      <c r="D76" s="22"/>
      <c r="E76" s="40"/>
    </row>
    <row r="77" spans="1:9" ht="15" customHeight="1" thickBot="1" x14ac:dyDescent="0.35">
      <c r="A77" s="22"/>
      <c r="B77" s="22"/>
      <c r="C77" s="22"/>
      <c r="D77" s="22"/>
      <c r="E77" s="40"/>
    </row>
    <row r="78" spans="1:9" ht="15" customHeight="1" thickBot="1" x14ac:dyDescent="0.35">
      <c r="A78" s="22"/>
      <c r="B78" s="22"/>
      <c r="C78" s="22"/>
      <c r="D78" s="22"/>
      <c r="E78" s="40"/>
    </row>
    <row r="79" spans="1:9" ht="15" customHeight="1" thickBot="1" x14ac:dyDescent="0.35">
      <c r="A79" s="22"/>
      <c r="B79" s="22"/>
      <c r="C79" s="22"/>
      <c r="D79" s="22"/>
      <c r="E79" s="40"/>
    </row>
    <row r="80" spans="1:9" ht="15" customHeight="1" thickBot="1" x14ac:dyDescent="0.35">
      <c r="A80" s="22"/>
      <c r="B80" s="22"/>
      <c r="C80" s="22"/>
      <c r="D80" s="22"/>
      <c r="E80" s="40"/>
    </row>
    <row r="81" spans="1:5" ht="15" customHeight="1" thickBot="1" x14ac:dyDescent="0.35">
      <c r="A81" s="22"/>
      <c r="B81" s="22"/>
      <c r="C81" s="22"/>
      <c r="D81" s="22"/>
      <c r="E81" s="40"/>
    </row>
    <row r="82" spans="1:5" ht="15" customHeight="1" thickBot="1" x14ac:dyDescent="0.35">
      <c r="A82" s="22"/>
      <c r="B82" s="22"/>
      <c r="C82" s="22"/>
      <c r="D82" s="22"/>
      <c r="E82" s="40"/>
    </row>
    <row r="83" spans="1:5" ht="15" customHeight="1" thickBot="1" x14ac:dyDescent="0.35">
      <c r="A83" s="22"/>
      <c r="B83" s="22"/>
      <c r="C83" s="22"/>
      <c r="D83" s="22"/>
      <c r="E83" s="40"/>
    </row>
    <row r="84" spans="1:5" ht="15" customHeight="1" thickBot="1" x14ac:dyDescent="0.35">
      <c r="A84" s="22"/>
      <c r="B84" s="22"/>
      <c r="C84" s="22"/>
      <c r="D84" s="22"/>
      <c r="E84" s="40"/>
    </row>
    <row r="85" spans="1:5" ht="15" customHeight="1" thickBot="1" x14ac:dyDescent="0.35">
      <c r="A85" s="22"/>
      <c r="B85" s="22"/>
      <c r="C85" s="22"/>
      <c r="D85" s="22"/>
      <c r="E85" s="40"/>
    </row>
    <row r="86" spans="1:5" ht="15" customHeight="1" thickBot="1" x14ac:dyDescent="0.35">
      <c r="A86" s="22"/>
      <c r="B86" s="22"/>
      <c r="C86" s="22"/>
      <c r="D86" s="22"/>
      <c r="E86" s="40"/>
    </row>
    <row r="87" spans="1:5" ht="15" customHeight="1" thickBot="1" x14ac:dyDescent="0.35">
      <c r="A87" s="22"/>
      <c r="B87" s="22"/>
      <c r="C87" s="22"/>
      <c r="D87" s="22"/>
      <c r="E87" s="40"/>
    </row>
    <row r="88" spans="1:5" ht="15" customHeight="1" thickBot="1" x14ac:dyDescent="0.35">
      <c r="A88" s="22"/>
      <c r="B88" s="22"/>
      <c r="C88" s="22"/>
      <c r="D88" s="22"/>
      <c r="E88" s="40"/>
    </row>
    <row r="89" spans="1:5" ht="15" customHeight="1" thickBot="1" x14ac:dyDescent="0.35">
      <c r="A89" s="22"/>
      <c r="B89" s="22"/>
      <c r="C89" s="22"/>
      <c r="D89" s="22"/>
      <c r="E89" s="40"/>
    </row>
    <row r="90" spans="1:5" ht="15" customHeight="1" thickBot="1" x14ac:dyDescent="0.35">
      <c r="A90" s="22"/>
      <c r="B90" s="22"/>
      <c r="C90" s="22"/>
      <c r="D90" s="22"/>
      <c r="E90" s="40"/>
    </row>
    <row r="91" spans="1:5" ht="15" customHeight="1" thickBot="1" x14ac:dyDescent="0.35">
      <c r="A91" s="22"/>
      <c r="B91" s="22"/>
      <c r="C91" s="22"/>
      <c r="D91" s="22"/>
      <c r="E91" s="40"/>
    </row>
    <row r="92" spans="1:5" ht="15" customHeight="1" thickBot="1" x14ac:dyDescent="0.35">
      <c r="A92" s="22"/>
      <c r="B92" s="22"/>
      <c r="C92" s="22"/>
      <c r="D92" s="22"/>
      <c r="E92" s="40"/>
    </row>
    <row r="93" spans="1:5" ht="15" customHeight="1" thickBot="1" x14ac:dyDescent="0.35">
      <c r="A93" s="22"/>
      <c r="B93" s="22"/>
      <c r="C93" s="22"/>
      <c r="D93" s="22"/>
      <c r="E93" s="40"/>
    </row>
    <row r="94" spans="1:5" ht="15" customHeight="1" thickBot="1" x14ac:dyDescent="0.35">
      <c r="A94" s="22"/>
      <c r="B94" s="22"/>
      <c r="C94" s="22"/>
      <c r="D94" s="22"/>
      <c r="E94" s="40"/>
    </row>
    <row r="95" spans="1:5" ht="15" customHeight="1" thickBot="1" x14ac:dyDescent="0.35">
      <c r="A95" s="22"/>
      <c r="B95" s="22"/>
      <c r="C95" s="22"/>
      <c r="D95" s="22"/>
      <c r="E95" s="40"/>
    </row>
    <row r="96" spans="1:5" ht="15" customHeight="1" thickBot="1" x14ac:dyDescent="0.35">
      <c r="A96" s="22"/>
      <c r="B96" s="22"/>
      <c r="C96" s="22"/>
      <c r="D96" s="22"/>
      <c r="E96" s="40"/>
    </row>
    <row r="97" spans="1:5" ht="15" customHeight="1" thickBot="1" x14ac:dyDescent="0.35">
      <c r="A97" s="22"/>
      <c r="B97" s="22"/>
      <c r="C97" s="22"/>
      <c r="D97" s="22"/>
      <c r="E97" s="40"/>
    </row>
    <row r="98" spans="1:5" ht="15" customHeight="1" thickBot="1" x14ac:dyDescent="0.35">
      <c r="A98" s="22"/>
      <c r="B98" s="22"/>
      <c r="C98" s="22"/>
      <c r="D98" s="22"/>
      <c r="E98" s="40"/>
    </row>
    <row r="99" spans="1:5" ht="15" customHeight="1" thickBot="1" x14ac:dyDescent="0.35">
      <c r="A99" s="22"/>
      <c r="B99" s="35"/>
      <c r="C99" s="35"/>
      <c r="D99" s="35"/>
      <c r="E99" s="41"/>
    </row>
  </sheetData>
  <conditionalFormatting sqref="G2:G83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{6EA5EDBE-0616-4533-A4DE-75DC6509A9B8}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A5EDBE-0616-4533-A4DE-75DC6509A9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G2:G838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15E37-9B81-4860-858E-DDE95B9DEC14}">
  <sheetPr codeName="Sheet4"/>
  <dimension ref="B2:E47"/>
  <sheetViews>
    <sheetView workbookViewId="0">
      <selection activeCell="E26" sqref="E26"/>
    </sheetView>
  </sheetViews>
  <sheetFormatPr defaultRowHeight="14.4" x14ac:dyDescent="0.3"/>
  <sheetData>
    <row r="2" spans="2:5" ht="18" x14ac:dyDescent="0.35">
      <c r="B2" s="15" t="s">
        <v>109</v>
      </c>
      <c r="C2" s="16"/>
      <c r="D2" s="17"/>
      <c r="E2" s="17"/>
    </row>
    <row r="3" spans="2:5" x14ac:dyDescent="0.3">
      <c r="B3" s="14" t="s">
        <v>115</v>
      </c>
      <c r="C3" s="16" t="e">
        <f>SUM(#REF!)</f>
        <v>#REF!</v>
      </c>
      <c r="D3" s="17">
        <v>0</v>
      </c>
      <c r="E3" s="17">
        <v>0</v>
      </c>
    </row>
    <row r="4" spans="2:5" x14ac:dyDescent="0.3">
      <c r="B4" s="14" t="s">
        <v>116</v>
      </c>
      <c r="C4" s="16" t="e">
        <f>SUM(#REF!)</f>
        <v>#REF!</v>
      </c>
      <c r="D4" s="17">
        <v>0</v>
      </c>
      <c r="E4" s="17">
        <v>0</v>
      </c>
    </row>
    <row r="5" spans="2:5" x14ac:dyDescent="0.3">
      <c r="B5" s="14" t="s">
        <v>117</v>
      </c>
      <c r="C5" s="16" t="e">
        <f>SUM(#REF!)</f>
        <v>#REF!</v>
      </c>
      <c r="D5" s="17">
        <v>0</v>
      </c>
      <c r="E5" s="18">
        <v>15</v>
      </c>
    </row>
    <row r="6" spans="2:5" ht="28.8" x14ac:dyDescent="0.3">
      <c r="B6" s="14" t="s">
        <v>118</v>
      </c>
      <c r="C6" s="16" t="e">
        <f>SUM(#REF!)</f>
        <v>#REF!</v>
      </c>
      <c r="D6" s="17">
        <v>2</v>
      </c>
      <c r="E6" s="17" t="s">
        <v>119</v>
      </c>
    </row>
    <row r="7" spans="2:5" x14ac:dyDescent="0.3">
      <c r="B7" s="14" t="s">
        <v>120</v>
      </c>
      <c r="C7" s="16" t="e">
        <f>SUM(#REF!)</f>
        <v>#REF!</v>
      </c>
      <c r="D7" s="19">
        <v>18</v>
      </c>
      <c r="E7" s="17" t="s">
        <v>121</v>
      </c>
    </row>
    <row r="8" spans="2:5" x14ac:dyDescent="0.3">
      <c r="B8" s="14" t="s">
        <v>122</v>
      </c>
      <c r="C8" s="16" t="e">
        <f>SUM(#REF!)</f>
        <v>#REF!</v>
      </c>
      <c r="D8" s="17">
        <v>1</v>
      </c>
      <c r="E8" s="17">
        <v>0</v>
      </c>
    </row>
    <row r="9" spans="2:5" x14ac:dyDescent="0.3">
      <c r="B9" s="14" t="s">
        <v>123</v>
      </c>
      <c r="C9" s="16" t="e">
        <f>SUM(#REF!)</f>
        <v>#REF!</v>
      </c>
      <c r="D9" s="17">
        <v>10</v>
      </c>
      <c r="E9" s="17">
        <v>8</v>
      </c>
    </row>
    <row r="10" spans="2:5" x14ac:dyDescent="0.3">
      <c r="B10" t="s">
        <v>124</v>
      </c>
      <c r="C10" s="5" t="e">
        <f>SUM(#REF!)</f>
        <v>#REF!</v>
      </c>
      <c r="D10" s="9">
        <v>8</v>
      </c>
      <c r="E10" s="9">
        <v>0</v>
      </c>
    </row>
    <row r="11" spans="2:5" x14ac:dyDescent="0.3">
      <c r="B11" t="s">
        <v>125</v>
      </c>
      <c r="C11" s="7" t="e">
        <f>SUM(#REF!)</f>
        <v>#REF!</v>
      </c>
      <c r="D11" s="10">
        <v>25</v>
      </c>
      <c r="E11" s="9">
        <v>0</v>
      </c>
    </row>
    <row r="12" spans="2:5" x14ac:dyDescent="0.3">
      <c r="B12" t="s">
        <v>126</v>
      </c>
      <c r="C12" s="5" t="e">
        <f>SUM(#REF!)</f>
        <v>#REF!</v>
      </c>
      <c r="D12" s="9">
        <v>0</v>
      </c>
      <c r="E12" s="9">
        <v>4</v>
      </c>
    </row>
    <row r="13" spans="2:5" x14ac:dyDescent="0.3">
      <c r="B13" t="s">
        <v>127</v>
      </c>
      <c r="C13" s="5" t="e">
        <f>SUM(#REF!)</f>
        <v>#REF!</v>
      </c>
      <c r="D13" s="9">
        <v>12</v>
      </c>
      <c r="E13" s="9" t="s">
        <v>128</v>
      </c>
    </row>
    <row r="14" spans="2:5" x14ac:dyDescent="0.3">
      <c r="B14" t="s">
        <v>129</v>
      </c>
      <c r="C14" s="5" t="e">
        <f>SUM(#REF!)</f>
        <v>#REF!</v>
      </c>
      <c r="D14" s="9">
        <v>0</v>
      </c>
      <c r="E14" s="9">
        <v>1</v>
      </c>
    </row>
    <row r="15" spans="2:5" x14ac:dyDescent="0.3">
      <c r="B15" t="s">
        <v>130</v>
      </c>
      <c r="C15" s="5" t="e">
        <f>SUM(#REF!)</f>
        <v>#REF!</v>
      </c>
      <c r="D15" s="9">
        <v>0.5</v>
      </c>
      <c r="E15" s="9">
        <v>12</v>
      </c>
    </row>
    <row r="16" spans="2:5" x14ac:dyDescent="0.3">
      <c r="B16" t="s">
        <v>131</v>
      </c>
      <c r="C16" s="5" t="e">
        <f>SUM(#REF!)</f>
        <v>#REF!</v>
      </c>
      <c r="D16" s="9">
        <v>0</v>
      </c>
      <c r="E16" s="9">
        <v>0</v>
      </c>
    </row>
    <row r="17" spans="2:5" x14ac:dyDescent="0.3">
      <c r="B17" t="s">
        <v>132</v>
      </c>
      <c r="C17" s="5" t="e">
        <f>SUM(#REF!)</f>
        <v>#REF!</v>
      </c>
      <c r="D17" s="9">
        <v>4</v>
      </c>
      <c r="E17" s="9">
        <v>10</v>
      </c>
    </row>
    <row r="18" spans="2:5" x14ac:dyDescent="0.3">
      <c r="B18" t="s">
        <v>133</v>
      </c>
      <c r="C18" s="5" t="e">
        <f>SUM(#REF!)</f>
        <v>#REF!</v>
      </c>
      <c r="D18" s="9">
        <v>0</v>
      </c>
      <c r="E18" s="9">
        <v>0</v>
      </c>
    </row>
    <row r="19" spans="2:5" x14ac:dyDescent="0.3">
      <c r="B19" t="s">
        <v>134</v>
      </c>
      <c r="C19" s="5" t="e">
        <f>SUM(#REF!)</f>
        <v>#REF!</v>
      </c>
      <c r="D19" s="9">
        <v>0</v>
      </c>
      <c r="E19" s="9">
        <v>0</v>
      </c>
    </row>
    <row r="20" spans="2:5" x14ac:dyDescent="0.3">
      <c r="B20" t="s">
        <v>135</v>
      </c>
      <c r="C20" s="6" t="e">
        <f>SUM(#REF!)</f>
        <v>#REF!</v>
      </c>
      <c r="D20" s="12">
        <v>15</v>
      </c>
      <c r="E20" s="10">
        <v>25</v>
      </c>
    </row>
    <row r="21" spans="2:5" x14ac:dyDescent="0.3">
      <c r="B21" t="s">
        <v>136</v>
      </c>
      <c r="C21" s="5" t="e">
        <f>SUM(#REF!)</f>
        <v>#REF!</v>
      </c>
      <c r="D21" s="9">
        <v>0</v>
      </c>
      <c r="E21" s="9">
        <v>0</v>
      </c>
    </row>
    <row r="22" spans="2:5" x14ac:dyDescent="0.3">
      <c r="B22" t="s">
        <v>137</v>
      </c>
      <c r="C22" s="8" t="e">
        <f>SUM(#REF!)</f>
        <v>#REF!</v>
      </c>
      <c r="D22" s="9">
        <v>6</v>
      </c>
      <c r="E22" s="11">
        <v>18</v>
      </c>
    </row>
    <row r="23" spans="2:5" x14ac:dyDescent="0.3">
      <c r="C23" s="5"/>
      <c r="D23" s="9"/>
      <c r="E23" s="9"/>
    </row>
    <row r="24" spans="2:5" ht="18" x14ac:dyDescent="0.35">
      <c r="B24" s="1" t="s">
        <v>138</v>
      </c>
      <c r="C24" s="5"/>
      <c r="D24" s="9"/>
      <c r="E24" s="9"/>
    </row>
    <row r="25" spans="2:5" x14ac:dyDescent="0.3">
      <c r="B25" t="s">
        <v>115</v>
      </c>
      <c r="C25" s="5"/>
      <c r="D25" s="9"/>
      <c r="E25" s="9" t="s">
        <v>139</v>
      </c>
    </row>
    <row r="26" spans="2:5" x14ac:dyDescent="0.3">
      <c r="B26" t="s">
        <v>116</v>
      </c>
      <c r="C26" s="5"/>
      <c r="D26" s="9"/>
      <c r="E26" s="9" t="s">
        <v>140</v>
      </c>
    </row>
    <row r="27" spans="2:5" x14ac:dyDescent="0.3">
      <c r="B27" t="s">
        <v>117</v>
      </c>
      <c r="C27" s="5"/>
      <c r="D27" s="9"/>
      <c r="E27" s="9" t="s">
        <v>141</v>
      </c>
    </row>
    <row r="28" spans="2:5" x14ac:dyDescent="0.3">
      <c r="B28" t="s">
        <v>118</v>
      </c>
      <c r="C28" s="5"/>
      <c r="D28" s="9"/>
      <c r="E28" s="9" t="s">
        <v>142</v>
      </c>
    </row>
    <row r="29" spans="2:5" x14ac:dyDescent="0.3">
      <c r="B29" t="s">
        <v>120</v>
      </c>
      <c r="C29" s="5"/>
      <c r="D29" s="9"/>
      <c r="E29" s="9" t="s">
        <v>143</v>
      </c>
    </row>
    <row r="30" spans="2:5" x14ac:dyDescent="0.3">
      <c r="B30" t="s">
        <v>122</v>
      </c>
      <c r="C30" s="5"/>
      <c r="D30" s="9"/>
      <c r="E30" s="9" t="s">
        <v>144</v>
      </c>
    </row>
    <row r="31" spans="2:5" x14ac:dyDescent="0.3">
      <c r="B31" t="s">
        <v>123</v>
      </c>
      <c r="C31" s="5"/>
      <c r="D31" s="9"/>
      <c r="E31" s="9" t="s">
        <v>145</v>
      </c>
    </row>
    <row r="32" spans="2:5" x14ac:dyDescent="0.3">
      <c r="B32" t="s">
        <v>124</v>
      </c>
      <c r="C32" s="5"/>
      <c r="D32" s="9"/>
      <c r="E32" s="9" t="s">
        <v>146</v>
      </c>
    </row>
    <row r="33" spans="2:5" x14ac:dyDescent="0.3">
      <c r="B33" t="s">
        <v>125</v>
      </c>
      <c r="C33" s="5"/>
      <c r="D33" s="9"/>
      <c r="E33" s="9" t="s">
        <v>147</v>
      </c>
    </row>
    <row r="34" spans="2:5" x14ac:dyDescent="0.3">
      <c r="B34" t="s">
        <v>126</v>
      </c>
      <c r="C34" s="5"/>
      <c r="D34" s="9"/>
      <c r="E34" s="9" t="s">
        <v>148</v>
      </c>
    </row>
    <row r="35" spans="2:5" x14ac:dyDescent="0.3">
      <c r="B35" t="s">
        <v>127</v>
      </c>
      <c r="C35" s="5"/>
      <c r="D35" s="9"/>
      <c r="E35" s="9" t="s">
        <v>149</v>
      </c>
    </row>
    <row r="36" spans="2:5" x14ac:dyDescent="0.3">
      <c r="B36" t="s">
        <v>129</v>
      </c>
      <c r="C36" s="5"/>
      <c r="D36" s="9"/>
      <c r="E36" s="9" t="s">
        <v>150</v>
      </c>
    </row>
    <row r="37" spans="2:5" x14ac:dyDescent="0.3">
      <c r="B37" t="s">
        <v>130</v>
      </c>
      <c r="C37" s="5"/>
      <c r="D37" s="9"/>
      <c r="E37" s="9" t="s">
        <v>151</v>
      </c>
    </row>
    <row r="38" spans="2:5" x14ac:dyDescent="0.3">
      <c r="B38" t="s">
        <v>131</v>
      </c>
      <c r="C38" s="5"/>
      <c r="D38" s="9"/>
      <c r="E38" s="9" t="s">
        <v>152</v>
      </c>
    </row>
    <row r="39" spans="2:5" x14ac:dyDescent="0.3">
      <c r="B39" t="s">
        <v>132</v>
      </c>
      <c r="C39" s="5"/>
      <c r="D39" s="9"/>
      <c r="E39" s="9" t="s">
        <v>153</v>
      </c>
    </row>
    <row r="40" spans="2:5" x14ac:dyDescent="0.3">
      <c r="B40" t="s">
        <v>133</v>
      </c>
      <c r="C40" s="5"/>
      <c r="D40" s="9"/>
      <c r="E40" s="9" t="s">
        <v>154</v>
      </c>
    </row>
    <row r="41" spans="2:5" x14ac:dyDescent="0.3">
      <c r="B41" t="s">
        <v>134</v>
      </c>
      <c r="C41" s="5"/>
      <c r="D41" s="9"/>
      <c r="E41" s="9" t="s">
        <v>155</v>
      </c>
    </row>
    <row r="42" spans="2:5" x14ac:dyDescent="0.3">
      <c r="B42" t="s">
        <v>135</v>
      </c>
      <c r="C42" s="5"/>
      <c r="D42" s="9"/>
      <c r="E42" s="9" t="s">
        <v>156</v>
      </c>
    </row>
    <row r="43" spans="2:5" x14ac:dyDescent="0.3">
      <c r="B43" t="s">
        <v>136</v>
      </c>
      <c r="C43" s="5"/>
      <c r="D43" s="9"/>
      <c r="E43" s="9" t="s">
        <v>157</v>
      </c>
    </row>
    <row r="44" spans="2:5" x14ac:dyDescent="0.3">
      <c r="B44" t="s">
        <v>137</v>
      </c>
      <c r="C44" s="5"/>
      <c r="D44" s="9"/>
      <c r="E44" s="9" t="s">
        <v>158</v>
      </c>
    </row>
    <row r="45" spans="2:5" x14ac:dyDescent="0.3">
      <c r="B45" s="3"/>
      <c r="E45" s="3"/>
    </row>
    <row r="46" spans="2:5" x14ac:dyDescent="0.3">
      <c r="B46" s="3"/>
      <c r="E46" s="3"/>
    </row>
    <row r="47" spans="2:5" x14ac:dyDescent="0.3">
      <c r="B47" s="3"/>
      <c r="E47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40D16C-80B2-4AAF-9C5C-80EF7CF9B9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Race Results</vt:lpstr>
      <vt:lpstr>DriverNameMapping</vt:lpstr>
      <vt:lpstr>Todo</vt:lpstr>
      <vt:lpstr>Stats</vt:lpstr>
      <vt:lpstr>Guesses</vt:lpstr>
      <vt:lpstr>SS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Bell</dc:creator>
  <cp:keywords/>
  <dc:description/>
  <cp:lastModifiedBy>Frank Kusel</cp:lastModifiedBy>
  <cp:revision/>
  <dcterms:created xsi:type="dcterms:W3CDTF">2023-03-19T18:02:24Z</dcterms:created>
  <dcterms:modified xsi:type="dcterms:W3CDTF">2024-02-11T14:38:18Z</dcterms:modified>
  <cp:category/>
  <cp:contentStatus/>
</cp:coreProperties>
</file>