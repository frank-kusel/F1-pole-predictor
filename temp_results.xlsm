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k\F1-pole-predictor\"/>
    </mc:Choice>
  </mc:AlternateContent>
  <xr:revisionPtr revIDLastSave="0" documentId="13_ncr:1_{6A4CEE33-8B1C-4D5F-8489-E873A39E7DE9}" xr6:coauthVersionLast="47" xr6:coauthVersionMax="47" xr10:uidLastSave="{00000000-0000-0000-0000-000000000000}"/>
  <bookViews>
    <workbookView xWindow="12396" yWindow="4020" windowWidth="23928" windowHeight="12516" tabRatio="803" xr2:uid="{180F4083-D0CF-442F-8840-C1C1F906FB2A}"/>
  </bookViews>
  <sheets>
    <sheet name="Points" sheetId="12" r:id="rId1"/>
    <sheet name="Sheet1" sheetId="20" r:id="rId2"/>
    <sheet name="Race Results" sheetId="5" r:id="rId3"/>
    <sheet name="DriverNameMapping" sheetId="7" r:id="rId4"/>
    <sheet name="Results (2)" sheetId="16" r:id="rId5"/>
    <sheet name="Todo" sheetId="8" state="hidden" r:id="rId6"/>
    <sheet name="Stats" sheetId="15" state="hidden" r:id="rId7"/>
    <sheet name="Guesses" sheetId="2" state="hidden" r:id="rId8"/>
    <sheet name="SS" sheetId="4" state="hidden" r:id="rId9"/>
  </sheets>
  <definedNames>
    <definedName name="_xlnm._FilterDatabase" localSheetId="7" hidden="1">Guesses!$A$1:$G$838</definedName>
    <definedName name="ExternalData_1" localSheetId="0" hidden="1">Points!$A$1:$E$46</definedName>
    <definedName name="ExternalData_1" localSheetId="2" hidden="1">'Race Results'!$A$2:$D$22</definedName>
    <definedName name="max" localSheetId="4">'Results (2)'!$G$34</definedName>
    <definedName name="max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" i="16" l="1" a="1"/>
  <c r="B92" i="16" s="1"/>
  <c r="C89" i="16"/>
  <c r="D89" i="16" s="1"/>
  <c r="AC27" i="16" a="1"/>
  <c r="AC27" i="16" s="1"/>
  <c r="J27" i="16" s="1" a="1"/>
  <c r="J27" i="16" s="1"/>
  <c r="AB27" i="16" a="1"/>
  <c r="AB27" i="16" s="1"/>
  <c r="I27" i="16" s="1" a="1"/>
  <c r="I27" i="16" s="1"/>
  <c r="AA27" i="16" a="1"/>
  <c r="AA27" i="16" s="1"/>
  <c r="H27" i="16" s="1" a="1"/>
  <c r="H27" i="16" s="1"/>
  <c r="Z27" i="16" a="1"/>
  <c r="Z27" i="16" s="1"/>
  <c r="Y27" i="16" a="1"/>
  <c r="Y27" i="16" s="1"/>
  <c r="X27" i="16" a="1"/>
  <c r="X27" i="16" s="1"/>
  <c r="W27" i="16" a="1"/>
  <c r="W27" i="16" s="1"/>
  <c r="V27" i="16" a="1"/>
  <c r="V27" i="16" s="1"/>
  <c r="T27" i="16" a="1"/>
  <c r="T27" i="16" s="1"/>
  <c r="S27" i="16" a="1"/>
  <c r="S27" i="16" s="1"/>
  <c r="P27" i="16" a="1"/>
  <c r="P27" i="16" s="1"/>
  <c r="L27" i="16" a="1"/>
  <c r="L27" i="16" s="1"/>
  <c r="AA26" i="16" a="1"/>
  <c r="AA26" i="16" s="1"/>
  <c r="H26" i="16" s="1" a="1"/>
  <c r="H26" i="16" s="1"/>
  <c r="Z26" i="16" a="1"/>
  <c r="Z26" i="16" s="1"/>
  <c r="Y26" i="16" a="1"/>
  <c r="Y26" i="16" s="1"/>
  <c r="V26" i="16" a="1"/>
  <c r="V26" i="16" s="1"/>
  <c r="U26" i="16" a="1"/>
  <c r="U26" i="16" s="1"/>
  <c r="T26" i="16" a="1"/>
  <c r="T26" i="16" s="1"/>
  <c r="L26" i="16" a="1"/>
  <c r="L26" i="16" s="1"/>
  <c r="K26" i="16" a="1"/>
  <c r="K26" i="16" s="1"/>
  <c r="AB25" i="16" a="1"/>
  <c r="AB25" i="16" s="1"/>
  <c r="I25" i="16" s="1" a="1"/>
  <c r="I25" i="16" s="1"/>
  <c r="L25" i="16" a="1"/>
  <c r="L25" i="16" s="1"/>
  <c r="T24" i="16" a="1"/>
  <c r="T24" i="16" s="1"/>
  <c r="L24" i="16" a="1"/>
  <c r="L24" i="16" s="1"/>
  <c r="L23" i="16" a="1"/>
  <c r="L23" i="16" s="1"/>
  <c r="L22" i="16" a="1"/>
  <c r="L22" i="16" s="1"/>
  <c r="AA21" i="16" a="1"/>
  <c r="AA21" i="16" s="1"/>
  <c r="H21" i="16" s="1" a="1"/>
  <c r="H21" i="16" s="1"/>
  <c r="Y21" i="16" a="1"/>
  <c r="Y21" i="16" s="1"/>
  <c r="N21" i="16" a="1"/>
  <c r="N21" i="16" s="1"/>
  <c r="L21" i="16" a="1"/>
  <c r="L21" i="16" s="1"/>
  <c r="L20" i="16" a="1"/>
  <c r="L20" i="16" s="1"/>
  <c r="AA19" i="16" a="1"/>
  <c r="AA19" i="16" s="1"/>
  <c r="H19" i="16" s="1" a="1"/>
  <c r="H19" i="16" s="1"/>
  <c r="U19" i="16" a="1"/>
  <c r="U19" i="16" s="1"/>
  <c r="T19" i="16" a="1"/>
  <c r="T19" i="16" s="1"/>
  <c r="L19" i="16" a="1"/>
  <c r="L19" i="16" s="1"/>
  <c r="L18" i="16" a="1"/>
  <c r="L18" i="16" s="1"/>
  <c r="AC17" i="16" a="1"/>
  <c r="AC17" i="16" s="1"/>
  <c r="J17" i="16" s="1" a="1"/>
  <c r="J17" i="16" s="1"/>
  <c r="L17" i="16" a="1"/>
  <c r="L17" i="16" s="1"/>
  <c r="L16" i="16" a="1"/>
  <c r="L16" i="16" s="1"/>
  <c r="L15" i="16" a="1"/>
  <c r="L15" i="16" s="1"/>
  <c r="L14" i="16" a="1"/>
  <c r="L14" i="16" s="1"/>
  <c r="L13" i="16" a="1"/>
  <c r="L13" i="16" s="1"/>
  <c r="L12" i="16" a="1"/>
  <c r="L12" i="16" s="1"/>
  <c r="W11" i="16" a="1"/>
  <c r="W11" i="16" s="1"/>
  <c r="L11" i="16" a="1"/>
  <c r="L11" i="16" s="1"/>
  <c r="L10" i="16" a="1"/>
  <c r="L10" i="16" s="1"/>
  <c r="L9" i="16" a="1"/>
  <c r="L9" i="16" s="1"/>
  <c r="L8" i="16" a="1"/>
  <c r="L8" i="16" s="1"/>
  <c r="Z7" i="16" a="1"/>
  <c r="Z7" i="16" s="1"/>
  <c r="W7" i="16" a="1"/>
  <c r="W7" i="16" s="1"/>
  <c r="L7" i="16" a="1"/>
  <c r="L7" i="16" s="1"/>
  <c r="L6" i="16" a="1"/>
  <c r="L6" i="16" s="1"/>
  <c r="L5" i="16" a="1"/>
  <c r="L5" i="16" s="1"/>
  <c r="L4" i="16" a="1"/>
  <c r="L4" i="16" s="1"/>
  <c r="L3" i="16" a="1"/>
  <c r="L3" i="16" s="1"/>
  <c r="L2" i="16" a="1"/>
  <c r="L2" i="16" s="1"/>
  <c r="I3" i="5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Q5" i="15"/>
  <c r="R5" i="15"/>
  <c r="S5" i="15"/>
  <c r="T5" i="15"/>
  <c r="U5" i="15"/>
  <c r="V5" i="15"/>
  <c r="W5" i="15"/>
  <c r="Q6" i="15"/>
  <c r="R6" i="15"/>
  <c r="S6" i="15"/>
  <c r="T6" i="15"/>
  <c r="U6" i="15"/>
  <c r="V6" i="15"/>
  <c r="W6" i="15"/>
  <c r="Q7" i="15"/>
  <c r="R7" i="15"/>
  <c r="S7" i="15"/>
  <c r="T7" i="15"/>
  <c r="U7" i="15"/>
  <c r="V7" i="15"/>
  <c r="W7" i="15"/>
  <c r="Q8" i="15"/>
  <c r="R8" i="15"/>
  <c r="S8" i="15"/>
  <c r="T8" i="15"/>
  <c r="U8" i="15"/>
  <c r="V8" i="15"/>
  <c r="W8" i="15"/>
  <c r="Q9" i="15"/>
  <c r="R9" i="15"/>
  <c r="S9" i="15"/>
  <c r="T9" i="15"/>
  <c r="U9" i="15"/>
  <c r="V9" i="15"/>
  <c r="W9" i="15"/>
  <c r="Q10" i="15"/>
  <c r="R10" i="15"/>
  <c r="S10" i="15"/>
  <c r="T10" i="15"/>
  <c r="U10" i="15"/>
  <c r="V10" i="15"/>
  <c r="W10" i="15"/>
  <c r="Q11" i="15"/>
  <c r="R11" i="15"/>
  <c r="S11" i="15"/>
  <c r="T11" i="15"/>
  <c r="U11" i="15"/>
  <c r="V11" i="15"/>
  <c r="W11" i="15"/>
  <c r="Q12" i="15"/>
  <c r="R12" i="15"/>
  <c r="S12" i="15"/>
  <c r="T12" i="15"/>
  <c r="U12" i="15"/>
  <c r="V12" i="15"/>
  <c r="W12" i="15"/>
  <c r="Q13" i="15"/>
  <c r="R13" i="15"/>
  <c r="S13" i="15"/>
  <c r="T13" i="15"/>
  <c r="U13" i="15"/>
  <c r="V13" i="15"/>
  <c r="W13" i="15"/>
  <c r="Q14" i="15"/>
  <c r="R14" i="15"/>
  <c r="S14" i="15"/>
  <c r="T14" i="15"/>
  <c r="U14" i="15"/>
  <c r="V14" i="15"/>
  <c r="W14" i="15"/>
  <c r="Q15" i="15"/>
  <c r="R15" i="15"/>
  <c r="S15" i="15"/>
  <c r="T15" i="15"/>
  <c r="U15" i="15"/>
  <c r="V15" i="15"/>
  <c r="W15" i="15"/>
  <c r="Q16" i="15"/>
  <c r="R16" i="15"/>
  <c r="S16" i="15"/>
  <c r="T16" i="15"/>
  <c r="U16" i="15"/>
  <c r="V16" i="15"/>
  <c r="W16" i="15"/>
  <c r="Q17" i="15"/>
  <c r="R17" i="15"/>
  <c r="S17" i="15"/>
  <c r="T17" i="15"/>
  <c r="U17" i="15"/>
  <c r="V17" i="15"/>
  <c r="W17" i="15"/>
  <c r="Q18" i="15"/>
  <c r="R18" i="15"/>
  <c r="S18" i="15"/>
  <c r="T18" i="15"/>
  <c r="U18" i="15"/>
  <c r="V18" i="15"/>
  <c r="W18" i="15"/>
  <c r="Q19" i="15"/>
  <c r="R19" i="15"/>
  <c r="S19" i="15"/>
  <c r="T19" i="15"/>
  <c r="U19" i="15"/>
  <c r="V19" i="15"/>
  <c r="W19" i="15"/>
  <c r="Q20" i="15"/>
  <c r="R20" i="15"/>
  <c r="S20" i="15"/>
  <c r="T20" i="15"/>
  <c r="U20" i="15"/>
  <c r="V20" i="15"/>
  <c r="W20" i="15"/>
  <c r="Q21" i="15"/>
  <c r="R21" i="15"/>
  <c r="S21" i="15"/>
  <c r="T21" i="15"/>
  <c r="U21" i="15"/>
  <c r="V21" i="15"/>
  <c r="W21" i="15"/>
  <c r="Q22" i="15"/>
  <c r="R22" i="15"/>
  <c r="S22" i="15"/>
  <c r="T22" i="15"/>
  <c r="U22" i="15"/>
  <c r="V22" i="15"/>
  <c r="W22" i="15"/>
  <c r="Q23" i="15"/>
  <c r="R23" i="15"/>
  <c r="S23" i="15"/>
  <c r="T23" i="15"/>
  <c r="U23" i="15"/>
  <c r="V23" i="15"/>
  <c r="W23" i="15"/>
  <c r="Q24" i="15"/>
  <c r="R24" i="15"/>
  <c r="S24" i="15"/>
  <c r="T24" i="15"/>
  <c r="U24" i="15"/>
  <c r="V24" i="15"/>
  <c r="W24" i="15"/>
  <c r="Q25" i="15"/>
  <c r="R25" i="15"/>
  <c r="S25" i="15"/>
  <c r="T25" i="15"/>
  <c r="U25" i="15"/>
  <c r="V25" i="15"/>
  <c r="W25" i="15"/>
  <c r="Q26" i="15"/>
  <c r="R26" i="15"/>
  <c r="S26" i="15"/>
  <c r="T26" i="15"/>
  <c r="U26" i="15"/>
  <c r="V26" i="15"/>
  <c r="W26" i="15"/>
  <c r="Q27" i="15"/>
  <c r="R27" i="15"/>
  <c r="S27" i="15"/>
  <c r="T27" i="15"/>
  <c r="U27" i="15"/>
  <c r="V27" i="15"/>
  <c r="W27" i="15"/>
  <c r="Q28" i="15"/>
  <c r="R28" i="15"/>
  <c r="S28" i="15"/>
  <c r="T28" i="15"/>
  <c r="U28" i="15"/>
  <c r="V28" i="15"/>
  <c r="W28" i="15"/>
  <c r="Q29" i="15"/>
  <c r="R29" i="15"/>
  <c r="S29" i="15"/>
  <c r="T29" i="15"/>
  <c r="U29" i="15"/>
  <c r="V29" i="15"/>
  <c r="W29" i="15"/>
  <c r="Q4" i="15"/>
  <c r="R4" i="15"/>
  <c r="S4" i="15"/>
  <c r="T4" i="15"/>
  <c r="U4" i="15"/>
  <c r="V4" i="15"/>
  <c r="W4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4" i="15"/>
  <c r="K4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J4" i="15"/>
  <c r="L4" i="15"/>
  <c r="G4" i="5"/>
  <c r="H4" i="5" s="1"/>
  <c r="L4" i="5" s="1" a="1"/>
  <c r="L4" i="5" s="1"/>
  <c r="G5" i="5"/>
  <c r="K5" i="5" s="1"/>
  <c r="G3" i="5"/>
  <c r="J3" i="5" s="1"/>
  <c r="G6" i="5"/>
  <c r="J6" i="5" s="1"/>
  <c r="G7" i="5"/>
  <c r="J7" i="5" s="1"/>
  <c r="G8" i="5"/>
  <c r="J8" i="5" s="1"/>
  <c r="G9" i="5"/>
  <c r="J9" i="5" s="1"/>
  <c r="G10" i="5"/>
  <c r="K10" i="5" s="1"/>
  <c r="G11" i="5"/>
  <c r="K11" i="5" s="1"/>
  <c r="G12" i="5"/>
  <c r="H12" i="5" s="1"/>
  <c r="L12" i="5" s="1" a="1"/>
  <c r="L12" i="5" s="1"/>
  <c r="G13" i="5"/>
  <c r="K13" i="5" s="1"/>
  <c r="G14" i="5"/>
  <c r="H14" i="5" s="1"/>
  <c r="L14" i="5" s="1" a="1"/>
  <c r="L14" i="5" s="1"/>
  <c r="G15" i="5"/>
  <c r="H15" i="5" s="1"/>
  <c r="L15" i="5" s="1" a="1"/>
  <c r="L15" i="5" s="1"/>
  <c r="G16" i="5"/>
  <c r="K16" i="5" s="1"/>
  <c r="G17" i="5"/>
  <c r="K17" i="5" s="1"/>
  <c r="G18" i="5"/>
  <c r="K18" i="5" s="1"/>
  <c r="G19" i="5"/>
  <c r="H19" i="5" s="1"/>
  <c r="L19" i="5" s="1" a="1"/>
  <c r="L19" i="5" s="1"/>
  <c r="G20" i="5"/>
  <c r="H20" i="5" s="1"/>
  <c r="L20" i="5" s="1" a="1"/>
  <c r="L20" i="5" s="1"/>
  <c r="G21" i="5"/>
  <c r="K21" i="5" s="1"/>
  <c r="G22" i="5"/>
  <c r="H22" i="5" s="1"/>
  <c r="L22" i="5" s="1" a="1"/>
  <c r="L22" i="5" s="1"/>
  <c r="K4" i="5"/>
  <c r="K22" i="5"/>
  <c r="J4" i="5"/>
  <c r="C22" i="4"/>
  <c r="F46" i="12" l="1" a="1"/>
  <c r="F46" i="12" s="1"/>
  <c r="F40" i="12" a="1"/>
  <c r="F40" i="12" s="1"/>
  <c r="F20" i="12" a="1"/>
  <c r="F20" i="12" s="1"/>
  <c r="F39" i="12" a="1"/>
  <c r="F39" i="12" s="1"/>
  <c r="F19" i="12" a="1"/>
  <c r="F19" i="12" s="1"/>
  <c r="F38" i="12" a="1"/>
  <c r="F38" i="12" s="1"/>
  <c r="F18" i="12" a="1"/>
  <c r="F18" i="12" s="1"/>
  <c r="F37" i="12" a="1"/>
  <c r="F37" i="12" s="1"/>
  <c r="F17" i="12" a="1"/>
  <c r="F17" i="12" s="1"/>
  <c r="F36" i="12" a="1"/>
  <c r="F36" i="12" s="1"/>
  <c r="F16" i="12" a="1"/>
  <c r="F16" i="12" s="1"/>
  <c r="F35" i="12" a="1"/>
  <c r="F35" i="12" s="1"/>
  <c r="F15" i="12" a="1"/>
  <c r="F15" i="12" s="1"/>
  <c r="F34" i="12" a="1"/>
  <c r="F34" i="12" s="1"/>
  <c r="F14" i="12" a="1"/>
  <c r="F14" i="12" s="1"/>
  <c r="F33" i="12" a="1"/>
  <c r="F33" i="12" s="1"/>
  <c r="F13" i="12" a="1"/>
  <c r="F13" i="12" s="1"/>
  <c r="F32" i="12" a="1"/>
  <c r="F32" i="12" s="1"/>
  <c r="F12" i="12" a="1"/>
  <c r="F12" i="12" s="1"/>
  <c r="F31" i="12" a="1"/>
  <c r="F31" i="12" s="1"/>
  <c r="F11" i="12" a="1"/>
  <c r="F11" i="12" s="1"/>
  <c r="F30" i="12" a="1"/>
  <c r="F30" i="12" s="1"/>
  <c r="F10" i="12" a="1"/>
  <c r="F10" i="12" s="1"/>
  <c r="F29" i="12" a="1"/>
  <c r="F29" i="12" s="1"/>
  <c r="F9" i="12" a="1"/>
  <c r="F9" i="12" s="1"/>
  <c r="F28" i="12" a="1"/>
  <c r="F28" i="12" s="1"/>
  <c r="F8" i="12" a="1"/>
  <c r="F8" i="12" s="1"/>
  <c r="F27" i="12" a="1"/>
  <c r="F27" i="12" s="1"/>
  <c r="F7" i="12" a="1"/>
  <c r="F7" i="12" s="1"/>
  <c r="F26" i="12" a="1"/>
  <c r="F26" i="12" s="1"/>
  <c r="F6" i="12" a="1"/>
  <c r="F6" i="12" s="1"/>
  <c r="F45" i="12" a="1"/>
  <c r="F45" i="12" s="1"/>
  <c r="F25" i="12" a="1"/>
  <c r="F25" i="12" s="1"/>
  <c r="F5" i="12" a="1"/>
  <c r="F5" i="12" s="1"/>
  <c r="F44" i="12" a="1"/>
  <c r="F44" i="12" s="1"/>
  <c r="F24" i="12" a="1"/>
  <c r="F24" i="12" s="1"/>
  <c r="F4" i="12" a="1"/>
  <c r="F4" i="12" s="1"/>
  <c r="F43" i="12" a="1"/>
  <c r="F43" i="12" s="1"/>
  <c r="F23" i="12" a="1"/>
  <c r="F23" i="12" s="1"/>
  <c r="F3" i="12" a="1"/>
  <c r="F3" i="12" s="1"/>
  <c r="F42" i="12" a="1"/>
  <c r="F42" i="12" s="1"/>
  <c r="F22" i="12" a="1"/>
  <c r="F22" i="12" s="1"/>
  <c r="F2" i="12" a="1"/>
  <c r="F2" i="12" s="1"/>
  <c r="F41" i="12" a="1"/>
  <c r="F41" i="12" s="1"/>
  <c r="F21" i="12" a="1"/>
  <c r="F21" i="12" s="1"/>
  <c r="J22" i="5"/>
  <c r="K3" i="5"/>
  <c r="J13" i="5"/>
  <c r="J12" i="5"/>
  <c r="J11" i="5"/>
  <c r="J10" i="5"/>
  <c r="H11" i="5"/>
  <c r="L11" i="5" s="1" a="1"/>
  <c r="L11" i="5" s="1"/>
  <c r="AC16" i="16" a="1"/>
  <c r="AC16" i="16" s="1"/>
  <c r="J16" i="16" s="1" a="1"/>
  <c r="J16" i="16" s="1"/>
  <c r="AB16" i="16" a="1"/>
  <c r="AB16" i="16" s="1"/>
  <c r="I16" i="16" s="1" a="1"/>
  <c r="I16" i="16" s="1"/>
  <c r="AB2" i="16" a="1"/>
  <c r="AB2" i="16" s="1"/>
  <c r="I2" i="16" s="1" a="1"/>
  <c r="I2" i="16" s="1"/>
  <c r="AA22" i="16" a="1"/>
  <c r="AA22" i="16" s="1"/>
  <c r="H22" i="16" s="1" a="1"/>
  <c r="H22" i="16" s="1"/>
  <c r="Z5" i="16" a="1"/>
  <c r="Z5" i="16" s="1"/>
  <c r="Y23" i="16" a="1"/>
  <c r="Y23" i="16" s="1"/>
  <c r="Y10" i="16" a="1"/>
  <c r="Y10" i="16" s="1"/>
  <c r="X8" i="16" a="1"/>
  <c r="X8" i="16" s="1"/>
  <c r="W17" i="16" a="1"/>
  <c r="W17" i="16" s="1"/>
  <c r="W21" i="16" a="1"/>
  <c r="W21" i="16" s="1"/>
  <c r="V9" i="16" a="1"/>
  <c r="V9" i="16" s="1"/>
  <c r="U8" i="16" a="1"/>
  <c r="U8" i="16" s="1"/>
  <c r="T4" i="16" a="1"/>
  <c r="T4" i="16" s="1"/>
  <c r="S17" i="16" a="1"/>
  <c r="S17" i="16" s="1"/>
  <c r="R27" i="16" a="1"/>
  <c r="R27" i="16" s="1"/>
  <c r="Q11" i="16" a="1"/>
  <c r="Q11" i="16" s="1"/>
  <c r="Q19" i="16" a="1"/>
  <c r="Q19" i="16" s="1"/>
  <c r="O14" i="16" a="1"/>
  <c r="O14" i="16" s="1"/>
  <c r="O19" i="16" a="1"/>
  <c r="O19" i="16" s="1"/>
  <c r="N13" i="16" a="1"/>
  <c r="N13" i="16" s="1"/>
  <c r="M6" i="16" a="1"/>
  <c r="M6" i="16" s="1"/>
  <c r="K6" i="16" a="1"/>
  <c r="K6" i="16" s="1"/>
  <c r="AC4" i="16" a="1"/>
  <c r="AC4" i="16" s="1"/>
  <c r="J4" i="16" s="1" a="1"/>
  <c r="J4" i="16" s="1"/>
  <c r="AA12" i="16" a="1"/>
  <c r="AA12" i="16" s="1"/>
  <c r="H12" i="16" s="1" a="1"/>
  <c r="H12" i="16" s="1"/>
  <c r="AA18" i="16" a="1"/>
  <c r="AA18" i="16" s="1"/>
  <c r="H18" i="16" s="1" a="1"/>
  <c r="H18" i="16" s="1"/>
  <c r="Z10" i="16" a="1"/>
  <c r="Z10" i="16" s="1"/>
  <c r="Y15" i="16" a="1"/>
  <c r="Y15" i="16" s="1"/>
  <c r="Y11" i="16" a="1"/>
  <c r="Y11" i="16" s="1"/>
  <c r="W26" i="16" a="1"/>
  <c r="W26" i="16" s="1"/>
  <c r="W19" i="16" a="1"/>
  <c r="W19" i="16" s="1"/>
  <c r="V20" i="16" a="1"/>
  <c r="V20" i="16" s="1"/>
  <c r="U25" i="16" a="1"/>
  <c r="U25" i="16" s="1"/>
  <c r="T22" i="16" a="1"/>
  <c r="T22" i="16" s="1"/>
  <c r="S11" i="16" a="1"/>
  <c r="S11" i="16" s="1"/>
  <c r="R16" i="16" a="1"/>
  <c r="R16" i="16" s="1"/>
  <c r="R8" i="16" a="1"/>
  <c r="R8" i="16" s="1"/>
  <c r="Q25" i="16" a="1"/>
  <c r="Q25" i="16" s="1"/>
  <c r="P3" i="16" a="1"/>
  <c r="P3" i="16" s="1"/>
  <c r="P18" i="16" a="1"/>
  <c r="P18" i="16" s="1"/>
  <c r="O16" i="16" a="1"/>
  <c r="O16" i="16" s="1"/>
  <c r="N15" i="16" a="1"/>
  <c r="N15" i="16" s="1"/>
  <c r="N2" i="16" a="1"/>
  <c r="N2" i="16" s="1"/>
  <c r="M25" i="16" a="1"/>
  <c r="M25" i="16" s="1"/>
  <c r="M13" i="16" a="1"/>
  <c r="M13" i="16" s="1"/>
  <c r="K13" i="16" a="1"/>
  <c r="K13" i="16" s="1"/>
  <c r="AC20" i="16" a="1"/>
  <c r="AC20" i="16" s="1"/>
  <c r="J20" i="16" s="1" a="1"/>
  <c r="J20" i="16" s="1"/>
  <c r="AB9" i="16" a="1"/>
  <c r="AB9" i="16" s="1"/>
  <c r="I9" i="16" s="1" a="1"/>
  <c r="I9" i="16" s="1"/>
  <c r="AA23" i="16" a="1"/>
  <c r="AA23" i="16" s="1"/>
  <c r="H23" i="16" s="1" a="1"/>
  <c r="H23" i="16" s="1"/>
  <c r="AA8" i="16" a="1"/>
  <c r="AA8" i="16" s="1"/>
  <c r="H8" i="16" s="1" a="1"/>
  <c r="H8" i="16" s="1"/>
  <c r="Y20" i="16" a="1"/>
  <c r="Y20" i="16" s="1"/>
  <c r="X19" i="16" a="1"/>
  <c r="X19" i="16" s="1"/>
  <c r="W12" i="16" a="1"/>
  <c r="W12" i="16" s="1"/>
  <c r="W6" i="16" a="1"/>
  <c r="W6" i="16" s="1"/>
  <c r="V6" i="16" a="1"/>
  <c r="V6" i="16" s="1"/>
  <c r="T17" i="16" a="1"/>
  <c r="T17" i="16" s="1"/>
  <c r="T6" i="16" a="1"/>
  <c r="T6" i="16" s="1"/>
  <c r="S19" i="16" a="1"/>
  <c r="S19" i="16" s="1"/>
  <c r="R18" i="16" a="1"/>
  <c r="R18" i="16" s="1"/>
  <c r="R13" i="16" a="1"/>
  <c r="R13" i="16" s="1"/>
  <c r="Q27" i="16" a="1"/>
  <c r="Q27" i="16" s="1"/>
  <c r="P5" i="16" a="1"/>
  <c r="P5" i="16" s="1"/>
  <c r="O27" i="16" a="1"/>
  <c r="O27" i="16" s="1"/>
  <c r="N12" i="16" a="1"/>
  <c r="N12" i="16" s="1"/>
  <c r="N9" i="16" a="1"/>
  <c r="N9" i="16" s="1"/>
  <c r="M21" i="16" a="1"/>
  <c r="M21" i="16" s="1"/>
  <c r="K20" i="5"/>
  <c r="H17" i="5"/>
  <c r="L17" i="5" s="1" a="1"/>
  <c r="L17" i="5" s="1"/>
  <c r="K19" i="5"/>
  <c r="H16" i="5"/>
  <c r="L16" i="5" s="1" a="1"/>
  <c r="L16" i="5" s="1"/>
  <c r="J18" i="5"/>
  <c r="K12" i="5"/>
  <c r="H8" i="5"/>
  <c r="L8" i="5" s="1" a="1"/>
  <c r="L8" i="5" s="1"/>
  <c r="AC18" i="16" a="1"/>
  <c r="AC18" i="16" s="1"/>
  <c r="J18" i="16" s="1" a="1"/>
  <c r="J18" i="16" s="1"/>
  <c r="AB7" i="16" a="1"/>
  <c r="AB7" i="16" s="1"/>
  <c r="I7" i="16" s="1" a="1"/>
  <c r="I7" i="16" s="1"/>
  <c r="AA25" i="16" a="1"/>
  <c r="AA25" i="16" s="1"/>
  <c r="H25" i="16" s="1" a="1"/>
  <c r="H25" i="16" s="1"/>
  <c r="Z14" i="16" a="1"/>
  <c r="Z14" i="16" s="1"/>
  <c r="Y7" i="16" a="1"/>
  <c r="Y7" i="16" s="1"/>
  <c r="Y9" i="16" a="1"/>
  <c r="Y9" i="16" s="1"/>
  <c r="W14" i="16" a="1"/>
  <c r="W14" i="16" s="1"/>
  <c r="V11" i="16" a="1"/>
  <c r="V11" i="16" s="1"/>
  <c r="V24" i="16" a="1"/>
  <c r="V24" i="16" s="1"/>
  <c r="U17" i="16" a="1"/>
  <c r="U17" i="16" s="1"/>
  <c r="T13" i="16" a="1"/>
  <c r="T13" i="16" s="1"/>
  <c r="T7" i="16" a="1"/>
  <c r="T7" i="16" s="1"/>
  <c r="S7" i="16" a="1"/>
  <c r="S7" i="16" s="1"/>
  <c r="R7" i="16" a="1"/>
  <c r="R7" i="16" s="1"/>
  <c r="P19" i="16" a="1"/>
  <c r="P19" i="16" s="1"/>
  <c r="P21" i="16" a="1"/>
  <c r="P21" i="16" s="1"/>
  <c r="O20" i="16" a="1"/>
  <c r="O20" i="16" s="1"/>
  <c r="N3" i="16" a="1"/>
  <c r="N3" i="16" s="1"/>
  <c r="M15" i="16" a="1"/>
  <c r="M15" i="16" s="1"/>
  <c r="K15" i="16" a="1"/>
  <c r="K15" i="16" s="1"/>
  <c r="K23" i="16" a="1"/>
  <c r="K23" i="16" s="1"/>
  <c r="J21" i="5"/>
  <c r="K15" i="5"/>
  <c r="J20" i="5"/>
  <c r="K14" i="5"/>
  <c r="H10" i="5"/>
  <c r="L10" i="5" s="1" a="1"/>
  <c r="L10" i="5" s="1"/>
  <c r="J16" i="5"/>
  <c r="AC14" i="16" a="1"/>
  <c r="AC14" i="16" s="1"/>
  <c r="J14" i="16" s="1" a="1"/>
  <c r="J14" i="16" s="1"/>
  <c r="AB19" i="16" a="1"/>
  <c r="AB19" i="16" s="1"/>
  <c r="I19" i="16" s="1" a="1"/>
  <c r="I19" i="16" s="1"/>
  <c r="AA15" i="16" a="1"/>
  <c r="AA15" i="16" s="1"/>
  <c r="H15" i="16" s="1" a="1"/>
  <c r="H15" i="16" s="1"/>
  <c r="AA2" i="16" a="1"/>
  <c r="AA2" i="16" s="1"/>
  <c r="H2" i="16" s="1" a="1"/>
  <c r="H2" i="16" s="1"/>
  <c r="Z8" i="16" a="1"/>
  <c r="Z8" i="16" s="1"/>
  <c r="Y3" i="16" a="1"/>
  <c r="Y3" i="16" s="1"/>
  <c r="Y2" i="16" a="1"/>
  <c r="Y2" i="16" s="1"/>
  <c r="X24" i="16" a="1"/>
  <c r="X24" i="16" s="1"/>
  <c r="W23" i="16" a="1"/>
  <c r="W23" i="16" s="1"/>
  <c r="V17" i="16" a="1"/>
  <c r="V17" i="16" s="1"/>
  <c r="U11" i="16" a="1"/>
  <c r="U11" i="16" s="1"/>
  <c r="T9" i="16" a="1"/>
  <c r="T9" i="16" s="1"/>
  <c r="T2" i="16" a="1"/>
  <c r="T2" i="16" s="1"/>
  <c r="R3" i="16" a="1"/>
  <c r="R3" i="16" s="1"/>
  <c r="R4" i="16" a="1"/>
  <c r="R4" i="16" s="1"/>
  <c r="Q6" i="16" a="1"/>
  <c r="Q6" i="16" s="1"/>
  <c r="P17" i="16" a="1"/>
  <c r="P17" i="16" s="1"/>
  <c r="P4" i="16" a="1"/>
  <c r="P4" i="16" s="1"/>
  <c r="O26" i="16" a="1"/>
  <c r="O26" i="16" s="1"/>
  <c r="N5" i="16" a="1"/>
  <c r="N5" i="16" s="1"/>
  <c r="N24" i="16" a="1"/>
  <c r="N24" i="16" s="1"/>
  <c r="M11" i="16" a="1"/>
  <c r="M11" i="16" s="1"/>
  <c r="K17" i="16" a="1"/>
  <c r="K17" i="16" s="1"/>
  <c r="K12" i="16" a="1"/>
  <c r="K12" i="16" s="1"/>
  <c r="H13" i="5"/>
  <c r="L13" i="5" s="1" a="1"/>
  <c r="L13" i="5" s="1"/>
  <c r="J19" i="5"/>
  <c r="H9" i="5"/>
  <c r="L9" i="5" s="1" a="1"/>
  <c r="L9" i="5" s="1"/>
  <c r="AC6" i="16" a="1"/>
  <c r="AC6" i="16" s="1"/>
  <c r="J6" i="16" s="1" a="1"/>
  <c r="J6" i="16" s="1"/>
  <c r="AC22" i="16" a="1"/>
  <c r="AC22" i="16" s="1"/>
  <c r="J22" i="16" s="1" a="1"/>
  <c r="J22" i="16" s="1"/>
  <c r="AB26" i="16" a="1"/>
  <c r="AB26" i="16" s="1"/>
  <c r="I26" i="16" s="1" a="1"/>
  <c r="I26" i="16" s="1"/>
  <c r="Z19" i="16" a="1"/>
  <c r="Z19" i="16" s="1"/>
  <c r="Y5" i="16" a="1"/>
  <c r="Y5" i="16" s="1"/>
  <c r="X6" i="16" a="1"/>
  <c r="X6" i="16" s="1"/>
  <c r="W8" i="16" a="1"/>
  <c r="W8" i="16" s="1"/>
  <c r="V15" i="16" a="1"/>
  <c r="V15" i="16" s="1"/>
  <c r="V8" i="16" a="1"/>
  <c r="V8" i="16" s="1"/>
  <c r="U24" i="16" a="1"/>
  <c r="U24" i="16" s="1"/>
  <c r="T8" i="16" a="1"/>
  <c r="T8" i="16" s="1"/>
  <c r="S26" i="16" a="1"/>
  <c r="S26" i="16" s="1"/>
  <c r="R5" i="16" a="1"/>
  <c r="R5" i="16" s="1"/>
  <c r="R21" i="16" a="1"/>
  <c r="R21" i="16" s="1"/>
  <c r="Q23" i="16" a="1"/>
  <c r="Q23" i="16" s="1"/>
  <c r="P14" i="16" a="1"/>
  <c r="P14" i="16" s="1"/>
  <c r="N27" i="16" a="1"/>
  <c r="N27" i="16" s="1"/>
  <c r="N20" i="16" a="1"/>
  <c r="N20" i="16" s="1"/>
  <c r="M16" i="16" a="1"/>
  <c r="M16" i="16" s="1"/>
  <c r="K7" i="16" a="1"/>
  <c r="K7" i="16" s="1"/>
  <c r="K2" i="16" a="1"/>
  <c r="K2" i="16" s="1"/>
  <c r="J17" i="5"/>
  <c r="H7" i="5"/>
  <c r="L7" i="5" s="1" a="1"/>
  <c r="L7" i="5" s="1"/>
  <c r="J15" i="5"/>
  <c r="K9" i="5"/>
  <c r="J14" i="5"/>
  <c r="K7" i="5"/>
  <c r="AB17" i="16" a="1"/>
  <c r="AB17" i="16" s="1"/>
  <c r="I17" i="16" s="1" a="1"/>
  <c r="I17" i="16" s="1"/>
  <c r="AA5" i="16" a="1"/>
  <c r="AA5" i="16" s="1"/>
  <c r="H5" i="16" s="1" a="1"/>
  <c r="H5" i="16" s="1"/>
  <c r="AA14" i="16" a="1"/>
  <c r="AA14" i="16" s="1"/>
  <c r="H14" i="16" s="1" a="1"/>
  <c r="H14" i="16" s="1"/>
  <c r="Z17" i="16" a="1"/>
  <c r="Z17" i="16" s="1"/>
  <c r="Y13" i="16" a="1"/>
  <c r="Y13" i="16" s="1"/>
  <c r="X3" i="16" a="1"/>
  <c r="X3" i="16" s="1"/>
  <c r="X10" i="16" a="1"/>
  <c r="X10" i="16" s="1"/>
  <c r="V23" i="16" a="1"/>
  <c r="V23" i="16" s="1"/>
  <c r="V10" i="16" a="1"/>
  <c r="V10" i="16" s="1"/>
  <c r="U16" i="16" a="1"/>
  <c r="U16" i="16" s="1"/>
  <c r="T23" i="16" a="1"/>
  <c r="T23" i="16" s="1"/>
  <c r="T21" i="16" a="1"/>
  <c r="T21" i="16" s="1"/>
  <c r="R12" i="16" a="1"/>
  <c r="R12" i="16" s="1"/>
  <c r="Q3" i="16" a="1"/>
  <c r="Q3" i="16" s="1"/>
  <c r="P15" i="16" a="1"/>
  <c r="P15" i="16" s="1"/>
  <c r="P25" i="16" a="1"/>
  <c r="P25" i="16" s="1"/>
  <c r="O22" i="16" a="1"/>
  <c r="O22" i="16" s="1"/>
  <c r="N23" i="16" a="1"/>
  <c r="N23" i="16" s="1"/>
  <c r="N26" i="16" a="1"/>
  <c r="N26" i="16" s="1"/>
  <c r="K24" i="16" a="1"/>
  <c r="K24" i="16" s="1"/>
  <c r="AC12" i="16" a="1"/>
  <c r="AC12" i="16" s="1"/>
  <c r="J12" i="16" s="1" a="1"/>
  <c r="J12" i="16" s="1"/>
  <c r="AC8" i="16" a="1"/>
  <c r="AC8" i="16" s="1"/>
  <c r="J8" i="16" s="1" a="1"/>
  <c r="J8" i="16" s="1"/>
  <c r="AB20" i="16" a="1"/>
  <c r="AB20" i="16" s="1"/>
  <c r="I20" i="16" s="1" a="1"/>
  <c r="I20" i="16" s="1"/>
  <c r="AA3" i="16" a="1"/>
  <c r="AA3" i="16" s="1"/>
  <c r="H3" i="16" s="1" a="1"/>
  <c r="H3" i="16" s="1"/>
  <c r="AA10" i="16" a="1"/>
  <c r="AA10" i="16" s="1"/>
  <c r="H10" i="16" s="1" a="1"/>
  <c r="H10" i="16" s="1"/>
  <c r="Z25" i="16" a="1"/>
  <c r="Z25" i="16" s="1"/>
  <c r="Y24" i="16" a="1"/>
  <c r="Y24" i="16" s="1"/>
  <c r="X14" i="16" a="1"/>
  <c r="X14" i="16" s="1"/>
  <c r="W16" i="16" a="1"/>
  <c r="W16" i="16" s="1"/>
  <c r="V14" i="16" a="1"/>
  <c r="V14" i="16" s="1"/>
  <c r="U13" i="16" a="1"/>
  <c r="U13" i="16" s="1"/>
  <c r="T12" i="16" a="1"/>
  <c r="T12" i="16" s="1"/>
  <c r="S15" i="16" a="1"/>
  <c r="S15" i="16" s="1"/>
  <c r="S13" i="16" a="1"/>
  <c r="S13" i="16" s="1"/>
  <c r="R17" i="16" a="1"/>
  <c r="R17" i="16" s="1"/>
  <c r="R23" i="16" a="1"/>
  <c r="R23" i="16" s="1"/>
  <c r="Q24" i="16" a="1"/>
  <c r="Q24" i="16" s="1"/>
  <c r="P10" i="16" a="1"/>
  <c r="P10" i="16" s="1"/>
  <c r="O11" i="16" a="1"/>
  <c r="O11" i="16" s="1"/>
  <c r="N14" i="16" a="1"/>
  <c r="N14" i="16" s="1"/>
  <c r="M26" i="16" a="1"/>
  <c r="M26" i="16" s="1"/>
  <c r="K4" i="16" a="1"/>
  <c r="K4" i="16" s="1"/>
  <c r="K8" i="16" a="1"/>
  <c r="K8" i="16" s="1"/>
  <c r="AC7" i="16" a="1"/>
  <c r="AC7" i="16" s="1"/>
  <c r="J7" i="16" s="1" a="1"/>
  <c r="J7" i="16" s="1"/>
  <c r="AC10" i="16" a="1"/>
  <c r="AC10" i="16" s="1"/>
  <c r="J10" i="16" s="1" a="1"/>
  <c r="J10" i="16" s="1"/>
  <c r="AA17" i="16" a="1"/>
  <c r="AA17" i="16" s="1"/>
  <c r="H17" i="16" s="1" a="1"/>
  <c r="H17" i="16" s="1"/>
  <c r="AA6" i="16" a="1"/>
  <c r="AA6" i="16" s="1"/>
  <c r="H6" i="16" s="1" a="1"/>
  <c r="H6" i="16" s="1"/>
  <c r="Z2" i="16" a="1"/>
  <c r="Z2" i="16" s="1"/>
  <c r="X15" i="16" a="1"/>
  <c r="X15" i="16" s="1"/>
  <c r="X25" i="16" a="1"/>
  <c r="X25" i="16" s="1"/>
  <c r="W4" i="16" a="1"/>
  <c r="W4" i="16" s="1"/>
  <c r="V2" i="16" a="1"/>
  <c r="V2" i="16" s="1"/>
  <c r="U27" i="16" a="1"/>
  <c r="U27" i="16" s="1"/>
  <c r="T18" i="16" a="1"/>
  <c r="T18" i="16" s="1"/>
  <c r="S20" i="16" a="1"/>
  <c r="S20" i="16" s="1"/>
  <c r="R2" i="16" a="1"/>
  <c r="R2" i="16" s="1"/>
  <c r="R19" i="16" a="1"/>
  <c r="R19" i="16" s="1"/>
  <c r="Q16" i="16" a="1"/>
  <c r="Q16" i="16" s="1"/>
  <c r="P16" i="16" a="1"/>
  <c r="P16" i="16" s="1"/>
  <c r="P6" i="16" a="1"/>
  <c r="P6" i="16" s="1"/>
  <c r="O25" i="16" a="1"/>
  <c r="O25" i="16" s="1"/>
  <c r="N16" i="16" a="1"/>
  <c r="N16" i="16" s="1"/>
  <c r="N10" i="16" a="1"/>
  <c r="N10" i="16" s="1"/>
  <c r="M4" i="16" a="1"/>
  <c r="M4" i="16" s="1"/>
  <c r="K25" i="16" a="1"/>
  <c r="K25" i="16" s="1"/>
  <c r="K18" i="16" a="1"/>
  <c r="K18" i="16" s="1"/>
  <c r="AC13" i="16" a="1"/>
  <c r="AC13" i="16" s="1"/>
  <c r="J13" i="16" s="1" a="1"/>
  <c r="J13" i="16" s="1"/>
  <c r="AC25" i="16" a="1"/>
  <c r="AC25" i="16" s="1"/>
  <c r="J25" i="16" s="1" a="1"/>
  <c r="J25" i="16" s="1"/>
  <c r="AB13" i="16" a="1"/>
  <c r="AB13" i="16" s="1"/>
  <c r="I13" i="16" s="1" a="1"/>
  <c r="I13" i="16" s="1"/>
  <c r="AA7" i="16" a="1"/>
  <c r="AA7" i="16" s="1"/>
  <c r="H7" i="16" s="1" a="1"/>
  <c r="H7" i="16" s="1"/>
  <c r="Z9" i="16" a="1"/>
  <c r="Z9" i="16" s="1"/>
  <c r="Y19" i="16" a="1"/>
  <c r="Y19" i="16" s="1"/>
  <c r="X5" i="16" a="1"/>
  <c r="X5" i="16" s="1"/>
  <c r="X16" i="16" a="1"/>
  <c r="X16" i="16" s="1"/>
  <c r="W25" i="16" a="1"/>
  <c r="W25" i="16" s="1"/>
  <c r="V12" i="16" a="1"/>
  <c r="V12" i="16" s="1"/>
  <c r="V21" i="16" a="1"/>
  <c r="V21" i="16" s="1"/>
  <c r="U18" i="16" a="1"/>
  <c r="U18" i="16" s="1"/>
  <c r="T16" i="16" a="1"/>
  <c r="T16" i="16" s="1"/>
  <c r="S16" i="16" a="1"/>
  <c r="S16" i="16" s="1"/>
  <c r="S9" i="16" a="1"/>
  <c r="S9" i="16" s="1"/>
  <c r="R14" i="16" a="1"/>
  <c r="R14" i="16" s="1"/>
  <c r="R25" i="16" a="1"/>
  <c r="R25" i="16" s="1"/>
  <c r="P12" i="16" a="1"/>
  <c r="P12" i="16" s="1"/>
  <c r="P2" i="16" a="1"/>
  <c r="P2" i="16" s="1"/>
  <c r="O13" i="16" a="1"/>
  <c r="O13" i="16" s="1"/>
  <c r="M24" i="16" a="1"/>
  <c r="M24" i="16" s="1"/>
  <c r="K10" i="16" a="1"/>
  <c r="K10" i="16" s="1"/>
  <c r="AC23" i="16" a="1"/>
  <c r="AC23" i="16" s="1"/>
  <c r="J23" i="16" s="1" a="1"/>
  <c r="J23" i="16" s="1"/>
  <c r="AC2" i="16" a="1"/>
  <c r="AC2" i="16" s="1"/>
  <c r="J2" i="16" s="1" a="1"/>
  <c r="J2" i="16" s="1"/>
  <c r="AA16" i="16" a="1"/>
  <c r="AA16" i="16" s="1"/>
  <c r="H16" i="16" s="1" a="1"/>
  <c r="H16" i="16" s="1"/>
  <c r="Z12" i="16" a="1"/>
  <c r="Z12" i="16" s="1"/>
  <c r="Y4" i="16" a="1"/>
  <c r="Y4" i="16" s="1"/>
  <c r="X12" i="16" a="1"/>
  <c r="X12" i="16" s="1"/>
  <c r="X20" i="16" a="1"/>
  <c r="X20" i="16" s="1"/>
  <c r="W13" i="16" a="1"/>
  <c r="W13" i="16" s="1"/>
  <c r="V22" i="16" a="1"/>
  <c r="V22" i="16" s="1"/>
  <c r="U22" i="16" a="1"/>
  <c r="U22" i="16" s="1"/>
  <c r="T20" i="16" a="1"/>
  <c r="T20" i="16" s="1"/>
  <c r="S4" i="16" a="1"/>
  <c r="S4" i="16" s="1"/>
  <c r="Q12" i="16" a="1"/>
  <c r="Q12" i="16" s="1"/>
  <c r="Q4" i="16" a="1"/>
  <c r="Q4" i="16" s="1"/>
  <c r="P23" i="16" a="1"/>
  <c r="P23" i="16" s="1"/>
  <c r="O24" i="16" a="1"/>
  <c r="O24" i="16" s="1"/>
  <c r="N17" i="16" a="1"/>
  <c r="N17" i="16" s="1"/>
  <c r="N22" i="16" a="1"/>
  <c r="N22" i="16" s="1"/>
  <c r="M2" i="16" a="1"/>
  <c r="M2" i="16" s="1"/>
  <c r="K14" i="16" a="1"/>
  <c r="K14" i="16" s="1"/>
  <c r="K22" i="16" a="1"/>
  <c r="K22" i="16" s="1"/>
  <c r="AC11" i="16" a="1"/>
  <c r="AC11" i="16" s="1"/>
  <c r="J11" i="16" s="1" a="1"/>
  <c r="J11" i="16" s="1"/>
  <c r="AC24" i="16" a="1"/>
  <c r="AC24" i="16" s="1"/>
  <c r="J24" i="16" s="1" a="1"/>
  <c r="J24" i="16" s="1"/>
  <c r="AB24" i="16" a="1"/>
  <c r="AB24" i="16" s="1"/>
  <c r="I24" i="16" s="1" a="1"/>
  <c r="I24" i="16" s="1"/>
  <c r="AA11" i="16" a="1"/>
  <c r="AA11" i="16" s="1"/>
  <c r="H11" i="16" s="1" a="1"/>
  <c r="H11" i="16" s="1"/>
  <c r="Z23" i="16" a="1"/>
  <c r="Z23" i="16" s="1"/>
  <c r="Z13" i="16" a="1"/>
  <c r="Z13" i="16" s="1"/>
  <c r="Y6" i="16" a="1"/>
  <c r="Y6" i="16" s="1"/>
  <c r="W24" i="16" a="1"/>
  <c r="W24" i="16" s="1"/>
  <c r="V19" i="16" a="1"/>
  <c r="V19" i="16" s="1"/>
  <c r="V18" i="16" a="1"/>
  <c r="V18" i="16" s="1"/>
  <c r="U14" i="16" a="1"/>
  <c r="U14" i="16" s="1"/>
  <c r="S6" i="16" a="1"/>
  <c r="S6" i="16" s="1"/>
  <c r="S8" i="16" a="1"/>
  <c r="S8" i="16" s="1"/>
  <c r="R10" i="16" a="1"/>
  <c r="R10" i="16" s="1"/>
  <c r="Q17" i="16" a="1"/>
  <c r="Q17" i="16" s="1"/>
  <c r="Q2" i="16" a="1"/>
  <c r="Q2" i="16" s="1"/>
  <c r="P7" i="16" a="1"/>
  <c r="P7" i="16" s="1"/>
  <c r="O17" i="16" a="1"/>
  <c r="O17" i="16" s="1"/>
  <c r="O18" i="16" a="1"/>
  <c r="O18" i="16" s="1"/>
  <c r="N11" i="16" a="1"/>
  <c r="N11" i="16" s="1"/>
  <c r="M19" i="16" a="1"/>
  <c r="M19" i="16" s="1"/>
  <c r="M18" i="16" a="1"/>
  <c r="M18" i="16" s="1"/>
  <c r="K27" i="16" a="1"/>
  <c r="K27" i="16" s="1"/>
  <c r="K9" i="16" a="1"/>
  <c r="K9" i="16" s="1"/>
  <c r="H21" i="5"/>
  <c r="L21" i="5" s="1" a="1"/>
  <c r="L21" i="5" s="1"/>
  <c r="AC21" i="16" a="1"/>
  <c r="AC21" i="16" s="1"/>
  <c r="J21" i="16" s="1" a="1"/>
  <c r="J21" i="16" s="1"/>
  <c r="AB14" i="16" a="1"/>
  <c r="AB14" i="16" s="1"/>
  <c r="I14" i="16" s="1" a="1"/>
  <c r="I14" i="16" s="1"/>
  <c r="AA24" i="16" a="1"/>
  <c r="AA24" i="16" s="1"/>
  <c r="H24" i="16" s="1" a="1"/>
  <c r="H24" i="16" s="1"/>
  <c r="Z6" i="16" a="1"/>
  <c r="Z6" i="16" s="1"/>
  <c r="Y16" i="16" a="1"/>
  <c r="Y16" i="16" s="1"/>
  <c r="X23" i="16" a="1"/>
  <c r="X23" i="16" s="1"/>
  <c r="X9" i="16" a="1"/>
  <c r="X9" i="16" s="1"/>
  <c r="W20" i="16" a="1"/>
  <c r="W20" i="16" s="1"/>
  <c r="V16" i="16" a="1"/>
  <c r="V16" i="16" s="1"/>
  <c r="U3" i="16" a="1"/>
  <c r="U3" i="16" s="1"/>
  <c r="U10" i="16" a="1"/>
  <c r="U10" i="16" s="1"/>
  <c r="T15" i="16" a="1"/>
  <c r="T15" i="16" s="1"/>
  <c r="S21" i="16" a="1"/>
  <c r="S21" i="16" s="1"/>
  <c r="S24" i="16" a="1"/>
  <c r="S24" i="16" s="1"/>
  <c r="R26" i="16" a="1"/>
  <c r="R26" i="16" s="1"/>
  <c r="Q8" i="16" a="1"/>
  <c r="Q8" i="16" s="1"/>
  <c r="Q26" i="16" a="1"/>
  <c r="Q26" i="16" s="1"/>
  <c r="P11" i="16" a="1"/>
  <c r="P11" i="16" s="1"/>
  <c r="O3" i="16" a="1"/>
  <c r="O3" i="16" s="1"/>
  <c r="N19" i="16" a="1"/>
  <c r="N19" i="16" s="1"/>
  <c r="M7" i="16" a="1"/>
  <c r="M7" i="16" s="1"/>
  <c r="M22" i="16" a="1"/>
  <c r="M22" i="16" s="1"/>
  <c r="K20" i="16" a="1"/>
  <c r="K20" i="16" s="1"/>
  <c r="H18" i="5"/>
  <c r="L18" i="5" s="1" a="1"/>
  <c r="L18" i="5" s="1"/>
  <c r="AC15" i="16" a="1"/>
  <c r="AC15" i="16" s="1"/>
  <c r="J15" i="16" s="1" a="1"/>
  <c r="J15" i="16" s="1"/>
  <c r="AC19" i="16" a="1"/>
  <c r="AC19" i="16" s="1"/>
  <c r="J19" i="16" s="1" a="1"/>
  <c r="J19" i="16" s="1"/>
  <c r="AB10" i="16" a="1"/>
  <c r="AB10" i="16" s="1"/>
  <c r="I10" i="16" s="1" a="1"/>
  <c r="I10" i="16" s="1"/>
  <c r="Z24" i="16" a="1"/>
  <c r="Z24" i="16" s="1"/>
  <c r="Z20" i="16" a="1"/>
  <c r="Z20" i="16" s="1"/>
  <c r="Y18" i="16" a="1"/>
  <c r="Y18" i="16" s="1"/>
  <c r="X17" i="16" a="1"/>
  <c r="X17" i="16" s="1"/>
  <c r="X18" i="16" a="1"/>
  <c r="X18" i="16" s="1"/>
  <c r="V3" i="16" a="1"/>
  <c r="V3" i="16" s="1"/>
  <c r="U9" i="16" a="1"/>
  <c r="U9" i="16" s="1"/>
  <c r="T11" i="16" a="1"/>
  <c r="T11" i="16" s="1"/>
  <c r="S3" i="16" a="1"/>
  <c r="S3" i="16" s="1"/>
  <c r="S18" i="16" a="1"/>
  <c r="S18" i="16" s="1"/>
  <c r="R22" i="16" a="1"/>
  <c r="R22" i="16" s="1"/>
  <c r="Q10" i="16" a="1"/>
  <c r="Q10" i="16" s="1"/>
  <c r="P9" i="16" a="1"/>
  <c r="P9" i="16" s="1"/>
  <c r="O5" i="16" a="1"/>
  <c r="O5" i="16" s="1"/>
  <c r="O12" i="16" a="1"/>
  <c r="O12" i="16" s="1"/>
  <c r="N6" i="16" a="1"/>
  <c r="N6" i="16" s="1"/>
  <c r="M20" i="16" a="1"/>
  <c r="M20" i="16" s="1"/>
  <c r="K5" i="16" a="1"/>
  <c r="K5" i="16" s="1"/>
  <c r="AC3" i="16" a="1"/>
  <c r="AC3" i="16" s="1"/>
  <c r="J3" i="16" s="1" a="1"/>
  <c r="J3" i="16" s="1"/>
  <c r="AB23" i="16" a="1"/>
  <c r="AB23" i="16" s="1"/>
  <c r="I23" i="16" s="1" a="1"/>
  <c r="I23" i="16" s="1"/>
  <c r="AB11" i="16" a="1"/>
  <c r="AB11" i="16" s="1"/>
  <c r="I11" i="16" s="1" a="1"/>
  <c r="I11" i="16" s="1"/>
  <c r="AA4" i="16" a="1"/>
  <c r="AA4" i="16" s="1"/>
  <c r="H4" i="16" s="1" a="1"/>
  <c r="H4" i="16" s="1"/>
  <c r="Z15" i="16" a="1"/>
  <c r="Z15" i="16" s="1"/>
  <c r="X26" i="16" a="1"/>
  <c r="X26" i="16" s="1"/>
  <c r="X22" i="16" a="1"/>
  <c r="X22" i="16" s="1"/>
  <c r="W9" i="16" a="1"/>
  <c r="W9" i="16" s="1"/>
  <c r="V5" i="16" a="1"/>
  <c r="V5" i="16" s="1"/>
  <c r="U5" i="16" a="1"/>
  <c r="U5" i="16" s="1"/>
  <c r="U6" i="16" a="1"/>
  <c r="U6" i="16" s="1"/>
  <c r="T3" i="16" a="1"/>
  <c r="T3" i="16" s="1"/>
  <c r="R20" i="16" a="1"/>
  <c r="R20" i="16" s="1"/>
  <c r="Q5" i="16" a="1"/>
  <c r="Q5" i="16" s="1"/>
  <c r="Q14" i="16" a="1"/>
  <c r="Q14" i="16" s="1"/>
  <c r="P20" i="16" a="1"/>
  <c r="P20" i="16" s="1"/>
  <c r="O2" i="16" a="1"/>
  <c r="O2" i="16" s="1"/>
  <c r="N4" i="16" a="1"/>
  <c r="N4" i="16" s="1"/>
  <c r="M14" i="16" a="1"/>
  <c r="M14" i="16" s="1"/>
  <c r="M9" i="16" a="1"/>
  <c r="M9" i="16" s="1"/>
  <c r="K21" i="16" a="1"/>
  <c r="K21" i="16" s="1"/>
  <c r="AC5" i="16" a="1"/>
  <c r="AC5" i="16" s="1"/>
  <c r="J5" i="16" s="1" a="1"/>
  <c r="J5" i="16" s="1"/>
  <c r="AB12" i="16" a="1"/>
  <c r="AB12" i="16" s="1"/>
  <c r="I12" i="16" s="1" a="1"/>
  <c r="I12" i="16" s="1"/>
  <c r="AB8" i="16" a="1"/>
  <c r="AB8" i="16" s="1"/>
  <c r="I8" i="16" s="1" a="1"/>
  <c r="I8" i="16" s="1"/>
  <c r="Z21" i="16" a="1"/>
  <c r="Z21" i="16" s="1"/>
  <c r="Z4" i="16" a="1"/>
  <c r="Z4" i="16" s="1"/>
  <c r="Z11" i="16" a="1"/>
  <c r="Z11" i="16" s="1"/>
  <c r="Y22" i="16" a="1"/>
  <c r="Y22" i="16" s="1"/>
  <c r="X7" i="16" a="1"/>
  <c r="X7" i="16" s="1"/>
  <c r="X2" i="16" a="1"/>
  <c r="X2" i="16" s="1"/>
  <c r="V7" i="16" a="1"/>
  <c r="V7" i="16" s="1"/>
  <c r="U15" i="16" a="1"/>
  <c r="U15" i="16" s="1"/>
  <c r="T5" i="16" a="1"/>
  <c r="T5" i="16" s="1"/>
  <c r="S5" i="16" a="1"/>
  <c r="S5" i="16" s="1"/>
  <c r="S22" i="16" a="1"/>
  <c r="S22" i="16" s="1"/>
  <c r="R9" i="16" a="1"/>
  <c r="R9" i="16" s="1"/>
  <c r="Q13" i="16" a="1"/>
  <c r="Q13" i="16" s="1"/>
  <c r="P8" i="16" a="1"/>
  <c r="P8" i="16" s="1"/>
  <c r="O15" i="16" a="1"/>
  <c r="O15" i="16" s="1"/>
  <c r="O23" i="16" a="1"/>
  <c r="O23" i="16" s="1"/>
  <c r="N18" i="16" a="1"/>
  <c r="N18" i="16" s="1"/>
  <c r="M10" i="16" a="1"/>
  <c r="M10" i="16" s="1"/>
  <c r="M8" i="16" a="1"/>
  <c r="M8" i="16" s="1"/>
  <c r="K19" i="16" a="1"/>
  <c r="K19" i="16" s="1"/>
  <c r="AB15" i="16" a="1"/>
  <c r="AB15" i="16" s="1"/>
  <c r="I15" i="16" s="1" a="1"/>
  <c r="I15" i="16" s="1"/>
  <c r="AB4" i="16" a="1"/>
  <c r="AB4" i="16" s="1"/>
  <c r="I4" i="16" s="1" a="1"/>
  <c r="I4" i="16" s="1"/>
  <c r="AA13" i="16" a="1"/>
  <c r="AA13" i="16" s="1"/>
  <c r="H13" i="16" s="1" a="1"/>
  <c r="H13" i="16" s="1"/>
  <c r="Z18" i="16" a="1"/>
  <c r="Z18" i="16" s="1"/>
  <c r="Y8" i="16" a="1"/>
  <c r="Y8" i="16" s="1"/>
  <c r="X4" i="16" a="1"/>
  <c r="X4" i="16" s="1"/>
  <c r="W3" i="16" a="1"/>
  <c r="W3" i="16" s="1"/>
  <c r="W2" i="16" a="1"/>
  <c r="W2" i="16" s="1"/>
  <c r="V4" i="16" a="1"/>
  <c r="V4" i="16" s="1"/>
  <c r="U7" i="16" a="1"/>
  <c r="U7" i="16" s="1"/>
  <c r="U20" i="16" a="1"/>
  <c r="U20" i="16" s="1"/>
  <c r="T10" i="16" a="1"/>
  <c r="T10" i="16" s="1"/>
  <c r="S12" i="16" a="1"/>
  <c r="S12" i="16" s="1"/>
  <c r="S2" i="16" a="1"/>
  <c r="S2" i="16" s="1"/>
  <c r="R24" i="16" a="1"/>
  <c r="R24" i="16" s="1"/>
  <c r="Q22" i="16" a="1"/>
  <c r="Q22" i="16" s="1"/>
  <c r="Q21" i="16" a="1"/>
  <c r="Q21" i="16" s="1"/>
  <c r="P26" i="16" a="1"/>
  <c r="P26" i="16" s="1"/>
  <c r="O21" i="16" a="1"/>
  <c r="O21" i="16" s="1"/>
  <c r="N25" i="16" a="1"/>
  <c r="N25" i="16" s="1"/>
  <c r="M17" i="16" a="1"/>
  <c r="M17" i="16" s="1"/>
  <c r="K11" i="16" a="1"/>
  <c r="K11" i="16" s="1"/>
  <c r="AC26" i="16" a="1"/>
  <c r="AC26" i="16" s="1"/>
  <c r="J26" i="16" s="1" a="1"/>
  <c r="J26" i="16" s="1"/>
  <c r="AB3" i="16" a="1"/>
  <c r="AB3" i="16" s="1"/>
  <c r="I3" i="16" s="1" a="1"/>
  <c r="I3" i="16" s="1"/>
  <c r="AB22" i="16" a="1"/>
  <c r="AB22" i="16" s="1"/>
  <c r="I22" i="16" s="1" a="1"/>
  <c r="I22" i="16" s="1"/>
  <c r="AA20" i="16" a="1"/>
  <c r="AA20" i="16" s="1"/>
  <c r="H20" i="16" s="1" a="1"/>
  <c r="H20" i="16" s="1"/>
  <c r="Z16" i="16" a="1"/>
  <c r="Z16" i="16" s="1"/>
  <c r="Z22" i="16" a="1"/>
  <c r="Z22" i="16" s="1"/>
  <c r="Y25" i="16" a="1"/>
  <c r="Y25" i="16" s="1"/>
  <c r="X21" i="16" a="1"/>
  <c r="X21" i="16" s="1"/>
  <c r="W10" i="16" a="1"/>
  <c r="W10" i="16" s="1"/>
  <c r="V13" i="16" a="1"/>
  <c r="V13" i="16" s="1"/>
  <c r="U12" i="16" a="1"/>
  <c r="U12" i="16" s="1"/>
  <c r="S23" i="16" a="1"/>
  <c r="S23" i="16" s="1"/>
  <c r="S25" i="16" a="1"/>
  <c r="S25" i="16" s="1"/>
  <c r="Q7" i="16" a="1"/>
  <c r="Q7" i="16" s="1"/>
  <c r="Q20" i="16" a="1"/>
  <c r="Q20" i="16" s="1"/>
  <c r="P24" i="16" a="1"/>
  <c r="P24" i="16" s="1"/>
  <c r="O10" i="16" a="1"/>
  <c r="O10" i="16" s="1"/>
  <c r="O8" i="16" a="1"/>
  <c r="O8" i="16" s="1"/>
  <c r="M27" i="16" a="1"/>
  <c r="M27" i="16" s="1"/>
  <c r="M5" i="16" a="1"/>
  <c r="M5" i="16" s="1"/>
  <c r="K16" i="16" a="1"/>
  <c r="K16" i="16" s="1"/>
  <c r="AB5" i="16" a="1"/>
  <c r="AB5" i="16" s="1"/>
  <c r="I5" i="16" s="1" a="1"/>
  <c r="I5" i="16" s="1"/>
  <c r="AB18" i="16" a="1"/>
  <c r="AB18" i="16" s="1"/>
  <c r="I18" i="16" s="1" a="1"/>
  <c r="I18" i="16" s="1"/>
  <c r="AA9" i="16" a="1"/>
  <c r="AA9" i="16" s="1"/>
  <c r="H9" i="16" s="1" a="1"/>
  <c r="H9" i="16" s="1"/>
  <c r="Y17" i="16" a="1"/>
  <c r="Y17" i="16" s="1"/>
  <c r="X11" i="16" a="1"/>
  <c r="X11" i="16" s="1"/>
  <c r="W5" i="16" a="1"/>
  <c r="W5" i="16" s="1"/>
  <c r="W22" i="16" a="1"/>
  <c r="W22" i="16" s="1"/>
  <c r="U23" i="16" a="1"/>
  <c r="U23" i="16" s="1"/>
  <c r="U2" i="16" a="1"/>
  <c r="U2" i="16" s="1"/>
  <c r="T14" i="16" a="1"/>
  <c r="T14" i="16" s="1"/>
  <c r="S14" i="16" a="1"/>
  <c r="S14" i="16" s="1"/>
  <c r="R6" i="16" a="1"/>
  <c r="R6" i="16" s="1"/>
  <c r="R11" i="16" a="1"/>
  <c r="R11" i="16" s="1"/>
  <c r="Q15" i="16" a="1"/>
  <c r="Q15" i="16" s="1"/>
  <c r="P13" i="16" a="1"/>
  <c r="P13" i="16" s="1"/>
  <c r="O7" i="16" a="1"/>
  <c r="O7" i="16" s="1"/>
  <c r="O4" i="16" a="1"/>
  <c r="O4" i="16" s="1"/>
  <c r="N7" i="16" a="1"/>
  <c r="N7" i="16" s="1"/>
  <c r="M12" i="16" a="1"/>
  <c r="M12" i="16" s="1"/>
  <c r="AC9" i="16" a="1"/>
  <c r="AC9" i="16" s="1"/>
  <c r="J9" i="16" s="1" a="1"/>
  <c r="J9" i="16" s="1"/>
  <c r="AB6" i="16" a="1"/>
  <c r="AB6" i="16" s="1"/>
  <c r="I6" i="16" s="1" a="1"/>
  <c r="I6" i="16" s="1"/>
  <c r="AB21" i="16" a="1"/>
  <c r="AB21" i="16" s="1"/>
  <c r="I21" i="16" s="1" a="1"/>
  <c r="I21" i="16" s="1"/>
  <c r="Z3" i="16" a="1"/>
  <c r="Z3" i="16" s="1"/>
  <c r="Y12" i="16" a="1"/>
  <c r="Y12" i="16" s="1"/>
  <c r="Y14" i="16" a="1"/>
  <c r="Y14" i="16" s="1"/>
  <c r="X13" i="16" a="1"/>
  <c r="X13" i="16" s="1"/>
  <c r="W15" i="16" a="1"/>
  <c r="W15" i="16" s="1"/>
  <c r="W18" i="16" a="1"/>
  <c r="W18" i="16" s="1"/>
  <c r="V25" i="16" a="1"/>
  <c r="V25" i="16" s="1"/>
  <c r="U4" i="16" a="1"/>
  <c r="U4" i="16" s="1"/>
  <c r="U21" i="16" a="1"/>
  <c r="U21" i="16" s="1"/>
  <c r="T25" i="16" a="1"/>
  <c r="T25" i="16" s="1"/>
  <c r="S10" i="16" a="1"/>
  <c r="S10" i="16" s="1"/>
  <c r="R15" i="16" a="1"/>
  <c r="R15" i="16" s="1"/>
  <c r="Q18" i="16" a="1"/>
  <c r="Q18" i="16" s="1"/>
  <c r="Q9" i="16" a="1"/>
  <c r="Q9" i="16" s="1"/>
  <c r="P22" i="16" a="1"/>
  <c r="P22" i="16" s="1"/>
  <c r="O9" i="16" a="1"/>
  <c r="O9" i="16" s="1"/>
  <c r="O6" i="16" a="1"/>
  <c r="O6" i="16" s="1"/>
  <c r="N8" i="16" a="1"/>
  <c r="N8" i="16" s="1"/>
  <c r="M23" i="16" a="1"/>
  <c r="M23" i="16" s="1"/>
  <c r="M3" i="16" a="1"/>
  <c r="M3" i="16" s="1"/>
  <c r="K3" i="16" a="1"/>
  <c r="K3" i="16" s="1"/>
  <c r="L39" i="16" a="1"/>
  <c r="L39" i="16" s="1"/>
  <c r="K8" i="5"/>
  <c r="H6" i="5"/>
  <c r="L6" i="5" s="1" a="1"/>
  <c r="L6" i="5" s="1"/>
  <c r="K6" i="5"/>
  <c r="H5" i="5"/>
  <c r="L5" i="5" s="1" a="1"/>
  <c r="L5" i="5" s="1"/>
  <c r="J5" i="5"/>
  <c r="H3" i="5"/>
  <c r="L3" i="5" s="1" a="1"/>
  <c r="L3" i="5" s="1"/>
  <c r="G27" i="16" l="1"/>
  <c r="G19" i="16"/>
  <c r="G24" i="16"/>
  <c r="Y90" i="16"/>
  <c r="T39" i="16" a="1"/>
  <c r="T39" i="16" s="1"/>
  <c r="Z35" i="16"/>
  <c r="R39" i="16" a="1"/>
  <c r="R39" i="16" s="1"/>
  <c r="G18" i="16"/>
  <c r="G12" i="16"/>
  <c r="G11" i="16"/>
  <c r="AC90" i="16"/>
  <c r="U39" i="16" a="1"/>
  <c r="U39" i="16" s="1"/>
  <c r="G16" i="16"/>
  <c r="G26" i="16"/>
  <c r="G14" i="16"/>
  <c r="T90" i="16"/>
  <c r="K90" i="16"/>
  <c r="G21" i="16"/>
  <c r="G9" i="16"/>
  <c r="G8" i="16"/>
  <c r="G6" i="16"/>
  <c r="S35" i="16"/>
  <c r="G25" i="16"/>
  <c r="Z90" i="16"/>
  <c r="V39" i="16" a="1"/>
  <c r="V39" i="16" s="1"/>
  <c r="K35" i="16"/>
  <c r="O90" i="16"/>
  <c r="G5" i="16"/>
  <c r="U35" i="16"/>
  <c r="N39" i="16" a="1"/>
  <c r="N39" i="16" s="1"/>
  <c r="G20" i="16"/>
  <c r="P35" i="16"/>
  <c r="G23" i="16"/>
  <c r="X90" i="16"/>
  <c r="G4" i="16"/>
  <c r="S90" i="16"/>
  <c r="G22" i="16"/>
  <c r="W39" i="16" a="1"/>
  <c r="W39" i="16" s="1"/>
  <c r="G13" i="16"/>
  <c r="J39" i="16" a="1"/>
  <c r="J39" i="16" s="1"/>
  <c r="Z39" i="16" a="1"/>
  <c r="Z39" i="16" s="1"/>
  <c r="T35" i="16"/>
  <c r="O39" i="16" a="1"/>
  <c r="O39" i="16" s="1"/>
  <c r="G3" i="16"/>
  <c r="R35" i="16"/>
  <c r="G15" i="16"/>
  <c r="Q35" i="16"/>
  <c r="J90" i="16"/>
  <c r="M39" i="16" a="1"/>
  <c r="M39" i="16" s="1"/>
  <c r="AB39" i="16" a="1"/>
  <c r="AB39" i="16" s="1"/>
  <c r="V90" i="16"/>
  <c r="H90" i="16"/>
  <c r="H92" i="16" s="1" a="1"/>
  <c r="H92" i="16" s="1"/>
  <c r="G7" i="16"/>
  <c r="R90" i="16"/>
  <c r="S39" i="16" a="1"/>
  <c r="S39" i="16" s="1"/>
  <c r="X35" i="16"/>
  <c r="O35" i="16"/>
  <c r="M35" i="16"/>
  <c r="AB35" i="16"/>
  <c r="H39" i="16" a="1"/>
  <c r="H39" i="16" s="1"/>
  <c r="K39" i="16" a="1"/>
  <c r="K39" i="16" s="1"/>
  <c r="G10" i="16"/>
  <c r="Y39" i="16" a="1"/>
  <c r="Y39" i="16" s="1"/>
  <c r="W35" i="16"/>
  <c r="Q90" i="16"/>
  <c r="X39" i="16" a="1"/>
  <c r="X39" i="16" s="1"/>
  <c r="V35" i="16"/>
  <c r="I90" i="16"/>
  <c r="M90" i="16"/>
  <c r="AB90" i="16"/>
  <c r="I39" i="16" a="1"/>
  <c r="I39" i="16" s="1"/>
  <c r="G2" i="16"/>
  <c r="Y35" i="16"/>
  <c r="W90" i="16"/>
  <c r="Q39" i="16" a="1"/>
  <c r="Q39" i="16" s="1"/>
  <c r="N35" i="16"/>
  <c r="G17" i="16"/>
  <c r="N90" i="16"/>
  <c r="P90" i="16"/>
  <c r="AA35" i="16"/>
  <c r="P39" i="16" a="1"/>
  <c r="P39" i="16" s="1"/>
  <c r="AA39" i="16" a="1"/>
  <c r="AA39" i="16" s="1"/>
  <c r="AC35" i="16"/>
  <c r="AA90" i="16"/>
  <c r="U90" i="16"/>
  <c r="AC39" i="16" a="1"/>
  <c r="AC39" i="16" s="1"/>
  <c r="E20" i="16" l="1" a="1"/>
  <c r="E20" i="16" s="1"/>
  <c r="G35" i="16"/>
  <c r="C19" i="16" s="1" a="1"/>
  <c r="C19" i="16" s="1"/>
  <c r="E14" i="16" a="1"/>
  <c r="E14" i="16" s="1"/>
  <c r="E7" i="16" a="1"/>
  <c r="E7" i="16" s="1"/>
  <c r="E10" i="16" a="1"/>
  <c r="E10" i="16" s="1"/>
  <c r="E5" i="16" a="1"/>
  <c r="E5" i="16" s="1"/>
  <c r="I92" i="16" a="1"/>
  <c r="I92" i="16" s="1"/>
  <c r="J92" i="16" s="1" a="1"/>
  <c r="J92" i="16" s="1"/>
  <c r="K92" i="16" s="1" a="1"/>
  <c r="K92" i="16" s="1"/>
  <c r="L92" i="16" s="1" a="1"/>
  <c r="L92" i="16" s="1"/>
  <c r="M92" i="16" s="1" a="1"/>
  <c r="M92" i="16" s="1"/>
  <c r="N92" i="16" s="1" a="1"/>
  <c r="N92" i="16" s="1"/>
  <c r="O92" i="16" s="1" a="1"/>
  <c r="O92" i="16" s="1"/>
  <c r="P92" i="16" s="1" a="1"/>
  <c r="P92" i="16" s="1"/>
  <c r="Q92" i="16" s="1" a="1"/>
  <c r="Q92" i="16" s="1"/>
  <c r="R92" i="16" s="1" a="1"/>
  <c r="R92" i="16" s="1"/>
  <c r="S92" i="16" s="1" a="1"/>
  <c r="S92" i="16" s="1"/>
  <c r="T92" i="16" s="1" a="1"/>
  <c r="T92" i="16" s="1"/>
  <c r="U92" i="16" s="1" a="1"/>
  <c r="U92" i="16" s="1"/>
  <c r="V92" i="16" s="1" a="1"/>
  <c r="V92" i="16" s="1"/>
  <c r="W92" i="16" s="1" a="1"/>
  <c r="W92" i="16" s="1"/>
  <c r="X92" i="16" s="1" a="1"/>
  <c r="X92" i="16" s="1"/>
  <c r="Y92" i="16" s="1" a="1"/>
  <c r="Y92" i="16" s="1"/>
  <c r="Z92" i="16" s="1" a="1"/>
  <c r="Z92" i="16" s="1"/>
  <c r="AA92" i="16" s="1" a="1"/>
  <c r="AA92" i="16" s="1"/>
  <c r="AB92" i="16" s="1" a="1"/>
  <c r="AB92" i="16" s="1"/>
  <c r="AC92" i="16" s="1" a="1"/>
  <c r="AC92" i="16" s="1"/>
  <c r="E19" i="16" a="1"/>
  <c r="E19" i="16" s="1"/>
  <c r="E17" i="16" a="1"/>
  <c r="E17" i="16" s="1"/>
  <c r="E3" i="16" a="1"/>
  <c r="E3" i="16" s="1"/>
  <c r="E27" i="16" a="1"/>
  <c r="E27" i="16" s="1"/>
  <c r="E24" i="16" a="1"/>
  <c r="E24" i="16" s="1"/>
  <c r="E2" i="16" a="1"/>
  <c r="E2" i="16" s="1"/>
  <c r="E16" i="16" a="1"/>
  <c r="E16" i="16" s="1"/>
  <c r="E25" i="16" a="1"/>
  <c r="E25" i="16" s="1"/>
  <c r="E18" i="16" a="1"/>
  <c r="E18" i="16" s="1"/>
  <c r="E6" i="16" a="1"/>
  <c r="E6" i="16" s="1"/>
  <c r="E26" i="16" a="1"/>
  <c r="E26" i="16" s="1"/>
  <c r="E22" i="16" a="1"/>
  <c r="E22" i="16" s="1"/>
  <c r="E11" i="16" a="1"/>
  <c r="E11" i="16" s="1"/>
  <c r="E4" i="16" a="1"/>
  <c r="E4" i="16" s="1"/>
  <c r="E13" i="16" a="1"/>
  <c r="E13" i="16" s="1"/>
  <c r="E12" i="16" a="1"/>
  <c r="E12" i="16" s="1"/>
  <c r="E21" i="16" a="1"/>
  <c r="E21" i="16" s="1"/>
  <c r="E15" i="16" a="1"/>
  <c r="E15" i="16" s="1"/>
  <c r="E23" i="16" a="1"/>
  <c r="E23" i="16" s="1"/>
  <c r="E9" i="16" a="1"/>
  <c r="E9" i="16" s="1"/>
  <c r="E8" i="16" a="1"/>
  <c r="E8" i="16" s="1"/>
  <c r="C5" i="16" a="1"/>
  <c r="C5" i="16" s="1"/>
  <c r="C8" i="16" a="1"/>
  <c r="C8" i="16" s="1"/>
  <c r="C25" i="16" a="1"/>
  <c r="C25" i="16" s="1"/>
  <c r="C20" i="16" a="1"/>
  <c r="C20" i="16" s="1"/>
  <c r="C27" i="16" a="1"/>
  <c r="C27" i="16" s="1"/>
  <c r="C24" i="16" a="1"/>
  <c r="C24" i="16" s="1"/>
  <c r="C13" i="16" a="1"/>
  <c r="C13" i="16" s="1"/>
  <c r="C11" i="16" a="1"/>
  <c r="C11" i="16" s="1"/>
  <c r="C3" i="16" a="1"/>
  <c r="C3" i="16" s="1"/>
  <c r="C18" i="16" a="1"/>
  <c r="C18" i="16" s="1"/>
  <c r="C16" i="16" a="1"/>
  <c r="C16" i="16" s="1"/>
  <c r="C12" i="16" a="1"/>
  <c r="C12" i="16" s="1"/>
  <c r="C7" i="16" a="1"/>
  <c r="C7" i="16" s="1"/>
  <c r="C14" i="16" a="1"/>
  <c r="C14" i="16" s="1"/>
  <c r="C6" i="16" a="1"/>
  <c r="C6" i="16" s="1"/>
  <c r="C21" i="16" a="1"/>
  <c r="C21" i="16" s="1"/>
  <c r="C26" i="16" a="1"/>
  <c r="C26" i="16" s="1"/>
  <c r="C22" i="16" a="1"/>
  <c r="C22" i="16" s="1"/>
  <c r="C17" i="16" a="1"/>
  <c r="C17" i="16" s="1"/>
  <c r="C4" i="16" a="1"/>
  <c r="C4" i="16" s="1"/>
  <c r="C10" i="16" a="1"/>
  <c r="C10" i="16" s="1"/>
  <c r="C9" i="16" a="1"/>
  <c r="C9" i="16" s="1"/>
  <c r="C2" i="16" a="1"/>
  <c r="C2" i="16" s="1"/>
  <c r="C23" i="16" a="1"/>
  <c r="C23" i="16" s="1"/>
  <c r="C15" i="16" a="1"/>
  <c r="C15" i="16" s="1"/>
  <c r="C10" i="4"/>
  <c r="C9" i="4"/>
  <c r="C8" i="4"/>
  <c r="C7" i="4"/>
  <c r="C6" i="4"/>
  <c r="C4" i="4"/>
  <c r="C5" i="4"/>
  <c r="D26" i="16" l="1" a="1"/>
  <c r="D26" i="16" s="1"/>
  <c r="F26" i="16" s="1"/>
  <c r="D16" i="16" a="1"/>
  <c r="D16" i="16" s="1"/>
  <c r="F16" i="16" s="1"/>
  <c r="D19" i="16" a="1"/>
  <c r="D19" i="16" s="1"/>
  <c r="F19" i="16" s="1"/>
  <c r="D9" i="16" a="1"/>
  <c r="D9" i="16" s="1"/>
  <c r="F9" i="16" s="1"/>
  <c r="D22" i="16" a="1"/>
  <c r="D22" i="16" s="1"/>
  <c r="F22" i="16" s="1"/>
  <c r="D12" i="16" a="1"/>
  <c r="D12" i="16" s="1"/>
  <c r="F12" i="16" s="1"/>
  <c r="D25" i="16" a="1"/>
  <c r="D25" i="16" s="1"/>
  <c r="F25" i="16" s="1"/>
  <c r="D15" i="16" a="1"/>
  <c r="D15" i="16" s="1"/>
  <c r="F15" i="16" s="1"/>
  <c r="D5" i="16" a="1"/>
  <c r="D5" i="16" s="1"/>
  <c r="F5" i="16" s="1"/>
  <c r="D18" i="16" a="1"/>
  <c r="D18" i="16" s="1"/>
  <c r="F18" i="16" s="1"/>
  <c r="D8" i="16" a="1"/>
  <c r="D8" i="16" s="1"/>
  <c r="F8" i="16" s="1"/>
  <c r="D2" i="16" a="1"/>
  <c r="D2" i="16" s="1"/>
  <c r="F2" i="16" s="1"/>
  <c r="D21" i="16" a="1"/>
  <c r="D21" i="16" s="1"/>
  <c r="F21" i="16" s="1"/>
  <c r="D11" i="16" a="1"/>
  <c r="D11" i="16" s="1"/>
  <c r="F11" i="16" s="1"/>
  <c r="D14" i="16" a="1"/>
  <c r="D14" i="16" s="1"/>
  <c r="F14" i="16" s="1"/>
  <c r="D24" i="16" a="1"/>
  <c r="D24" i="16" s="1"/>
  <c r="F24" i="16" s="1"/>
  <c r="D4" i="16" a="1"/>
  <c r="D4" i="16" s="1"/>
  <c r="F4" i="16" s="1"/>
  <c r="D27" i="16" a="1"/>
  <c r="D27" i="16" s="1"/>
  <c r="F27" i="16" s="1"/>
  <c r="D7" i="16" a="1"/>
  <c r="D7" i="16" s="1"/>
  <c r="F7" i="16" s="1"/>
  <c r="D17" i="16" a="1"/>
  <c r="D17" i="16" s="1"/>
  <c r="F17" i="16" s="1"/>
  <c r="D6" i="16" a="1"/>
  <c r="D6" i="16" s="1"/>
  <c r="F6" i="16" s="1"/>
  <c r="D3" i="16" a="1"/>
  <c r="D3" i="16" s="1"/>
  <c r="F3" i="16" s="1"/>
  <c r="D20" i="16" a="1"/>
  <c r="D20" i="16" s="1"/>
  <c r="F20" i="16" s="1"/>
  <c r="D10" i="16" a="1"/>
  <c r="D10" i="16" s="1"/>
  <c r="F10" i="16" s="1"/>
  <c r="D23" i="16" a="1"/>
  <c r="D23" i="16" s="1"/>
  <c r="F23" i="16" s="1"/>
  <c r="D13" i="16" a="1"/>
  <c r="D13" i="16" s="1"/>
  <c r="F13" i="16" s="1"/>
  <c r="C3" i="4"/>
  <c r="C20" i="4" l="1"/>
  <c r="C19" i="4"/>
  <c r="C15" i="4"/>
  <c r="C17" i="4"/>
  <c r="C13" i="4"/>
  <c r="C12" i="4"/>
  <c r="C21" i="4"/>
  <c r="C18" i="4"/>
  <c r="C16" i="4"/>
  <c r="C14" i="4" l="1"/>
  <c r="C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  <connection id="2" xr16:uid="{00000000-0015-0000-FFFF-FFFF01000000}" keepAlive="1" name="Query - Table 0 (2)" description="Connection to the 'Table 0 (2)' query in the workbook." type="5" refreshedVersion="8" background="1" saveData="1">
    <dbPr connection="Provider=Microsoft.Mashup.OleDb.1;Data Source=$Workbook$;Location=&quot;Table 0 (2)&quot;;Extended Properties=&quot;&quot;" command="SELECT * FROM [Table 0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<sst xmlns="http://schemas.openxmlformats.org/spreadsheetml/2006/main" count="1157" uniqueCount="294">
  <si>
    <t>F1 10th Place Cup</t>
  </si>
  <si>
    <t>07/05/2023</t>
  </si>
  <si>
    <t>21/05/2023</t>
  </si>
  <si>
    <t>28/05/2023</t>
  </si>
  <si>
    <t>4/06/2023</t>
  </si>
  <si>
    <t>18/06/2023</t>
  </si>
  <si>
    <t>02/07/2023</t>
  </si>
  <si>
    <t>09/07/2023</t>
  </si>
  <si>
    <t>23/07/2023</t>
  </si>
  <si>
    <t>30/07/2023</t>
  </si>
  <si>
    <t>27/08/2023</t>
  </si>
  <si>
    <t>03/09/2023</t>
  </si>
  <si>
    <t>17/09/2023</t>
  </si>
  <si>
    <t>24/09/2023</t>
  </si>
  <si>
    <t>8/10/2023</t>
  </si>
  <si>
    <t>22/10/2023</t>
  </si>
  <si>
    <t>29/10/2023</t>
  </si>
  <si>
    <t>05/11/2023</t>
  </si>
  <si>
    <t>18/11/2023</t>
  </si>
  <si>
    <t>26/11/2023</t>
  </si>
  <si>
    <t>Name</t>
  </si>
  <si>
    <t>Total</t>
  </si>
  <si>
    <t>Saudi Arabia - 19 March</t>
  </si>
  <si>
    <t>Australia - 2 April</t>
  </si>
  <si>
    <t>Azerbaijan - 30 April</t>
  </si>
  <si>
    <t>Miami - 7 May</t>
  </si>
  <si>
    <t>Italy - 21 May</t>
  </si>
  <si>
    <t>Monaco - 28 May</t>
  </si>
  <si>
    <t>Spain - 4 June</t>
  </si>
  <si>
    <t>Canada - 18 June</t>
  </si>
  <si>
    <t>Austria - 2 July</t>
  </si>
  <si>
    <t>Great Britain - 9 July</t>
  </si>
  <si>
    <t>Hungary</t>
  </si>
  <si>
    <t>Belgium</t>
  </si>
  <si>
    <t>Netherlands</t>
  </si>
  <si>
    <t>Italy2</t>
  </si>
  <si>
    <t>Singapore</t>
  </si>
  <si>
    <t>Japan</t>
  </si>
  <si>
    <t>Qatar</t>
  </si>
  <si>
    <t>United States</t>
  </si>
  <si>
    <t>Mexico</t>
  </si>
  <si>
    <t>Brazil</t>
  </si>
  <si>
    <t>Las Vegas</t>
  </si>
  <si>
    <t>Abu Dhabi</t>
  </si>
  <si>
    <t>Suzzy B</t>
  </si>
  <si>
    <t>Wade</t>
  </si>
  <si>
    <t>Deville</t>
  </si>
  <si>
    <t>Liz</t>
  </si>
  <si>
    <t>Kristel</t>
  </si>
  <si>
    <t>Mike</t>
  </si>
  <si>
    <t>Markus</t>
  </si>
  <si>
    <t>Jimbo</t>
  </si>
  <si>
    <t>Joshua</t>
  </si>
  <si>
    <t>Frank</t>
  </si>
  <si>
    <t>Alida</t>
  </si>
  <si>
    <t>Reinhard</t>
  </si>
  <si>
    <t>Ilarie</t>
  </si>
  <si>
    <t>Oscar</t>
  </si>
  <si>
    <t>Clarice</t>
  </si>
  <si>
    <t>PJ</t>
  </si>
  <si>
    <t>Nico JR</t>
  </si>
  <si>
    <t>Jason</t>
  </si>
  <si>
    <t>Bernd</t>
  </si>
  <si>
    <t>Petra</t>
  </si>
  <si>
    <t>Pam</t>
  </si>
  <si>
    <t>Nico SR</t>
  </si>
  <si>
    <t>Riaan</t>
  </si>
  <si>
    <t>Lee</t>
  </si>
  <si>
    <t>Liam</t>
  </si>
  <si>
    <t>Smartin</t>
  </si>
  <si>
    <t>Winners</t>
  </si>
  <si>
    <t>Cumulative Points</t>
  </si>
  <si>
    <t>Timestamp</t>
  </si>
  <si>
    <t>Race</t>
  </si>
  <si>
    <t>Points</t>
  </si>
  <si>
    <t>Alex Albon - Williams</t>
  </si>
  <si>
    <t>George Russell - Mercedes</t>
  </si>
  <si>
    <t>Esteban Ocon - Alpine</t>
  </si>
  <si>
    <t>Oscar Piastri - McLaren</t>
  </si>
  <si>
    <t>Nico Hulkenberg - Haas</t>
  </si>
  <si>
    <t>Valtteri Bottas - Alfa Romeo Racing</t>
  </si>
  <si>
    <t>Yuki Tsunoda - AlphaTauri</t>
  </si>
  <si>
    <t>Lance Stroll - Aston Martin</t>
  </si>
  <si>
    <t>Max Verstappen - Red Bull</t>
  </si>
  <si>
    <t>Guanyu Zhou - Alfa Romeo Racing</t>
  </si>
  <si>
    <t>Pierre Gasly - Alpine</t>
  </si>
  <si>
    <t>Lando Norris - McLaren</t>
  </si>
  <si>
    <t>Carlos Sainz - Ferrari</t>
  </si>
  <si>
    <t>Fernando Alonso - Aston Martin</t>
  </si>
  <si>
    <t>Lewis Hamilton - Mercedes</t>
  </si>
  <si>
    <t>Kevin Magnussen - Haas</t>
  </si>
  <si>
    <t>Sergio Perez - Red Bull</t>
  </si>
  <si>
    <t>Nyck de Vries - Alpha Tauri</t>
  </si>
  <si>
    <t>Charles Leclerc - Ferrari</t>
  </si>
  <si>
    <t>Live Link - refresh by clicking anywhere on the table and then refresh</t>
  </si>
  <si>
    <t>This table remaps the driver names</t>
  </si>
  <si>
    <t>Pos</t>
  </si>
  <si>
    <t>Driver</t>
  </si>
  <si>
    <t>Time</t>
  </si>
  <si>
    <t>Stops</t>
  </si>
  <si>
    <t>Map</t>
  </si>
  <si>
    <t>Position</t>
  </si>
  <si>
    <t>Bahrain</t>
  </si>
  <si>
    <t>Saudi Arabia</t>
  </si>
  <si>
    <t>Australia</t>
  </si>
  <si>
    <t>Azerbaijan</t>
  </si>
  <si>
    <t>Miami</t>
  </si>
  <si>
    <t>Italy</t>
  </si>
  <si>
    <t>Monaco</t>
  </si>
  <si>
    <t>Spain</t>
  </si>
  <si>
    <t>Canada</t>
  </si>
  <si>
    <t>Great Britain</t>
  </si>
  <si>
    <t>1</t>
  </si>
  <si>
    <t>Max VerstappenRed Bull</t>
  </si>
  <si>
    <t>2</t>
  </si>
  <si>
    <t>Fernando AlonsoAston Martin</t>
  </si>
  <si>
    <t>3</t>
  </si>
  <si>
    <t>Lewis HamiltonMercedes</t>
  </si>
  <si>
    <t>4</t>
  </si>
  <si>
    <t>Charles LeclercFerrari</t>
  </si>
  <si>
    <t>5</t>
  </si>
  <si>
    <t>Carlos SainzFerrari</t>
  </si>
  <si>
    <t>6</t>
  </si>
  <si>
    <t>Sergio PerezRed Bull</t>
  </si>
  <si>
    <t>7</t>
  </si>
  <si>
    <t>Alex AlbonWilliams</t>
  </si>
  <si>
    <t>8</t>
  </si>
  <si>
    <t>Esteban OconAlpine</t>
  </si>
  <si>
    <t>9</t>
  </si>
  <si>
    <t>Lance StrollAston Martin</t>
  </si>
  <si>
    <t>10</t>
  </si>
  <si>
    <t>11</t>
  </si>
  <si>
    <t>Oscar PiastriMcLaren</t>
  </si>
  <si>
    <t>12</t>
  </si>
  <si>
    <t>Pierre GaslyAlpine</t>
  </si>
  <si>
    <t>Logan Sargeant - Williams</t>
  </si>
  <si>
    <t>13</t>
  </si>
  <si>
    <t>Lando NorrisMcLaren</t>
  </si>
  <si>
    <t>14</t>
  </si>
  <si>
    <t>Nico HulkenbergHaas</t>
  </si>
  <si>
    <t>Kevin MagnussenHaas</t>
  </si>
  <si>
    <t>Nyck de VriesAlpha Tauri</t>
  </si>
  <si>
    <t>George RussellMercedes</t>
  </si>
  <si>
    <t>Logan SargeantWilliams</t>
  </si>
  <si>
    <t>Driver Points</t>
  </si>
  <si>
    <t>Name mappings</t>
  </si>
  <si>
    <t>Done</t>
  </si>
  <si>
    <t>Automated population of guesses?</t>
  </si>
  <si>
    <t>Update race names to match google forms</t>
  </si>
  <si>
    <t>Filter graph to only show top x% of players</t>
  </si>
  <si>
    <t>Albon</t>
  </si>
  <si>
    <t>Alonso</t>
  </si>
  <si>
    <t>Bottas</t>
  </si>
  <si>
    <t>De Vries</t>
  </si>
  <si>
    <t>0,5(DNF)=0</t>
  </si>
  <si>
    <t>Gasly</t>
  </si>
  <si>
    <t>6(DNF)=0</t>
  </si>
  <si>
    <t>Hamilton</t>
  </si>
  <si>
    <t>Hulkenberg</t>
  </si>
  <si>
    <t>Leclerc</t>
  </si>
  <si>
    <t>Magnussen</t>
  </si>
  <si>
    <t>Norris</t>
  </si>
  <si>
    <t>Ocon</t>
  </si>
  <si>
    <t>2(DNF)=0</t>
  </si>
  <si>
    <t>Perez</t>
  </si>
  <si>
    <t>Piastri</t>
  </si>
  <si>
    <t>Russell</t>
  </si>
  <si>
    <t>Sainz</t>
  </si>
  <si>
    <t>Sargeant</t>
  </si>
  <si>
    <t>Stroll</t>
  </si>
  <si>
    <t>Tsunoda</t>
  </si>
  <si>
    <t>Verstappen</t>
  </si>
  <si>
    <t>Zhou</t>
  </si>
  <si>
    <t>Driver Placements</t>
  </si>
  <si>
    <t>19th</t>
  </si>
  <si>
    <t>3rd</t>
  </si>
  <si>
    <t>11th</t>
  </si>
  <si>
    <t>15th</t>
  </si>
  <si>
    <t>13th</t>
  </si>
  <si>
    <t>2nd</t>
  </si>
  <si>
    <t>7th</t>
  </si>
  <si>
    <t>20th</t>
  </si>
  <si>
    <t>17th</t>
  </si>
  <si>
    <t>6th</t>
  </si>
  <si>
    <t>14th</t>
  </si>
  <si>
    <t>5th</t>
  </si>
  <si>
    <t>8th</t>
  </si>
  <si>
    <t>18th</t>
  </si>
  <si>
    <t>12th</t>
  </si>
  <si>
    <t>16th</t>
  </si>
  <si>
    <t>4th</t>
  </si>
  <si>
    <t>10th</t>
  </si>
  <si>
    <t>1st</t>
  </si>
  <si>
    <t>9th</t>
  </si>
  <si>
    <t>Austria</t>
  </si>
  <si>
    <t>races_to_date</t>
  </si>
  <si>
    <t>Column1</t>
  </si>
  <si>
    <t>previous_race_no</t>
  </si>
  <si>
    <t>Previous Race Total</t>
  </si>
  <si>
    <t>Previous race Ranking</t>
  </si>
  <si>
    <t>Current ranking</t>
  </si>
  <si>
    <t>x</t>
  </si>
  <si>
    <t>mean</t>
  </si>
  <si>
    <t>std dev</t>
  </si>
  <si>
    <t>cum</t>
  </si>
  <si>
    <t>standard_deviation</t>
  </si>
  <si>
    <t>median</t>
  </si>
  <si>
    <t>skew</t>
  </si>
  <si>
    <t>Hungary - 23 July</t>
  </si>
  <si>
    <t>Daniel Ricciardo - Alpha Tauri</t>
  </si>
  <si>
    <t>Belgium - 30 July</t>
  </si>
  <si>
    <t>Netherlands - 27 August</t>
  </si>
  <si>
    <t>Liam LawsonAlphaTauri</t>
  </si>
  <si>
    <t>Liam Lawson - Alpha Tauri</t>
  </si>
  <si>
    <t>Italy - 3 September</t>
  </si>
  <si>
    <t>Liam Lawson - AlphaTauri</t>
  </si>
  <si>
    <t>Singapore - 17 September</t>
  </si>
  <si>
    <t>Japan - 24 September</t>
  </si>
  <si>
    <t>Yuki Tsunoda - Alpha Tauri</t>
  </si>
  <si>
    <t>Qatar - 8 October</t>
  </si>
  <si>
    <t>United States - 22 October</t>
  </si>
  <si>
    <t>Mexico - 29 October</t>
  </si>
  <si>
    <t>Brazil - 5 November</t>
  </si>
  <si>
    <t>19</t>
  </si>
  <si>
    <t>20</t>
  </si>
  <si>
    <t>Las Vegas - 18 November</t>
  </si>
  <si>
    <t>15</t>
  </si>
  <si>
    <t>16</t>
  </si>
  <si>
    <t>17</t>
  </si>
  <si>
    <t>Abu Dhabi - 26 November</t>
  </si>
  <si>
    <t>+ 1 LAP</t>
  </si>
  <si>
    <t>Website</t>
  </si>
  <si>
    <t>Yuki Tsunoda</t>
  </si>
  <si>
    <t>Alex Albon</t>
  </si>
  <si>
    <t>Lance Stroll</t>
  </si>
  <si>
    <t>Daniel Ricciardo</t>
  </si>
  <si>
    <t>KaylaOosthuizen</t>
  </si>
  <si>
    <t>Valtteri Bottas</t>
  </si>
  <si>
    <t>Anke</t>
  </si>
  <si>
    <t>Wilhelm_h</t>
  </si>
  <si>
    <t>Pierre Gasly</t>
  </si>
  <si>
    <t>Carmen</t>
  </si>
  <si>
    <t>Kevinator</t>
  </si>
  <si>
    <t>Nico Snr</t>
  </si>
  <si>
    <t>Nico Hulkenberg</t>
  </si>
  <si>
    <t>Ron</t>
  </si>
  <si>
    <t>Kevin Magnussen</t>
  </si>
  <si>
    <t>Esteban Ocon</t>
  </si>
  <si>
    <t>Angie</t>
  </si>
  <si>
    <t>Oscar Piastri</t>
  </si>
  <si>
    <t>Chanté</t>
  </si>
  <si>
    <t>Martyy</t>
  </si>
  <si>
    <t>JustThuts</t>
  </si>
  <si>
    <t>Fernando Alonso</t>
  </si>
  <si>
    <t>Daniela</t>
  </si>
  <si>
    <t>Lando Norris</t>
  </si>
  <si>
    <t>Stefan K</t>
  </si>
  <si>
    <t>Lewis Hamilton</t>
  </si>
  <si>
    <t>Luke</t>
  </si>
  <si>
    <t>Stefan</t>
  </si>
  <si>
    <t>Raniaz</t>
  </si>
  <si>
    <t>LiamRoets</t>
  </si>
  <si>
    <t>Grizelda</t>
  </si>
  <si>
    <t>Okavango Kid</t>
  </si>
  <si>
    <t>Caels</t>
  </si>
  <si>
    <t>Max Verstappen</t>
  </si>
  <si>
    <t>Sergio Perez</t>
  </si>
  <si>
    <t>Charles Leclerc</t>
  </si>
  <si>
    <t>Carlos Sainz</t>
  </si>
  <si>
    <t>George Russell</t>
  </si>
  <si>
    <t>Logan Sargeant</t>
  </si>
  <si>
    <t>Guanyu Zhou</t>
  </si>
  <si>
    <t>Nyck de</t>
  </si>
  <si>
    <t>Liam Lawson</t>
  </si>
  <si>
    <t>A3</t>
  </si>
  <si>
    <t>Who are you?</t>
  </si>
  <si>
    <t>First Pick</t>
  </si>
  <si>
    <t>Second Pick</t>
  </si>
  <si>
    <t>Guanyu ZhouKick Sauber</t>
  </si>
  <si>
    <t>Yuki TsunodaTeam RB</t>
  </si>
  <si>
    <t>Daniel RicciardoTeam RB</t>
  </si>
  <si>
    <t>Valtteri BottasKick Sauber</t>
  </si>
  <si>
    <t>18</t>
  </si>
  <si>
    <t>1:34.923</t>
  </si>
  <si>
    <t>+ 22.457</t>
  </si>
  <si>
    <t>+ 25.110</t>
  </si>
  <si>
    <t>+ 39.669</t>
  </si>
  <si>
    <t>+ 46.788</t>
  </si>
  <si>
    <t>+ 48.458</t>
  </si>
  <si>
    <t>+ 50.324</t>
  </si>
  <si>
    <t>+ 56.082</t>
  </si>
  <si>
    <t>+ 74.887</t>
  </si>
  <si>
    <t>+ 93.216</t>
  </si>
  <si>
    <t>+ 2 LAPS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</si>
</sst>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8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rgb="FF808080"/>
      <name val="Calibri"/>
    </font>
    <font>
      <b/>
      <i/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33CC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15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0" borderId="4" xfId="0" applyFont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0" fontId="0" fillId="6" borderId="0" xfId="0" applyFill="1"/>
    <xf numFmtId="0" fontId="3" fillId="6" borderId="6" xfId="0" applyFont="1" applyFill="1" applyBorder="1" applyAlignment="1">
      <alignment wrapText="1"/>
    </xf>
    <xf numFmtId="0" fontId="2" fillId="6" borderId="5" xfId="0" applyFont="1" applyFill="1" applyBorder="1"/>
    <xf numFmtId="0" fontId="7" fillId="0" borderId="0" xfId="0" applyFont="1"/>
    <xf numFmtId="0" fontId="8" fillId="5" borderId="2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wrapText="1"/>
    </xf>
    <xf numFmtId="0" fontId="2" fillId="0" borderId="5" xfId="0" applyFont="1" applyBorder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3" fillId="6" borderId="1" xfId="0" applyFont="1" applyFill="1" applyBorder="1" applyAlignment="1">
      <alignment vertical="center"/>
    </xf>
    <xf numFmtId="0" fontId="3" fillId="6" borderId="1" xfId="0" applyFont="1" applyFill="1" applyBorder="1"/>
    <xf numFmtId="0" fontId="3" fillId="0" borderId="0" xfId="0" applyFont="1" applyAlignment="1">
      <alignment vertical="center"/>
    </xf>
    <xf numFmtId="0" fontId="3" fillId="0" borderId="0" xfId="0" applyFont="1"/>
    <xf numFmtId="0" fontId="3" fillId="6" borderId="8" xfId="0" applyFont="1" applyFill="1" applyBorder="1" applyAlignment="1">
      <alignment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2" fillId="7" borderId="5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indent="1"/>
    </xf>
    <xf numFmtId="0" fontId="2" fillId="0" borderId="0" xfId="0" applyFont="1" applyAlignment="1">
      <alignment horizontal="left" indent="1"/>
    </xf>
    <xf numFmtId="0" fontId="3" fillId="6" borderId="9" xfId="0" applyFont="1" applyFill="1" applyBorder="1" applyAlignment="1">
      <alignment readingOrder="1"/>
    </xf>
    <xf numFmtId="0" fontId="3" fillId="6" borderId="10" xfId="0" applyFont="1" applyFill="1" applyBorder="1" applyAlignment="1">
      <alignment readingOrder="1"/>
    </xf>
    <xf numFmtId="0" fontId="3" fillId="6" borderId="11" xfId="0" applyFont="1" applyFill="1" applyBorder="1" applyAlignment="1">
      <alignment readingOrder="1"/>
    </xf>
    <xf numFmtId="0" fontId="16" fillId="0" borderId="0" xfId="0" applyFont="1"/>
    <xf numFmtId="0" fontId="0" fillId="9" borderId="0" xfId="0" applyFill="1"/>
    <xf numFmtId="0" fontId="0" fillId="9" borderId="0" xfId="0" applyFill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15" fillId="9" borderId="5" xfId="0" applyFont="1" applyFill="1" applyBorder="1" applyAlignment="1">
      <alignment horizontal="left"/>
    </xf>
    <xf numFmtId="0" fontId="2" fillId="9" borderId="5" xfId="0" applyFont="1" applyFill="1" applyBorder="1"/>
    <xf numFmtId="0" fontId="2" fillId="9" borderId="5" xfId="0" applyFont="1" applyFill="1" applyBorder="1" applyAlignment="1">
      <alignment horizontal="center"/>
    </xf>
    <xf numFmtId="0" fontId="16" fillId="9" borderId="0" xfId="0" applyFont="1" applyFill="1" applyAlignment="1">
      <alignment horizontal="left"/>
    </xf>
    <xf numFmtId="1" fontId="10" fillId="9" borderId="0" xfId="0" applyNumberFormat="1" applyFont="1" applyFill="1" applyAlignment="1">
      <alignment horizontal="left"/>
    </xf>
    <xf numFmtId="0" fontId="8" fillId="5" borderId="7" xfId="0" applyFont="1" applyFill="1" applyBorder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2" fillId="10" borderId="0" xfId="0" applyFont="1" applyFill="1" applyAlignment="1">
      <alignment horizontal="left"/>
    </xf>
    <xf numFmtId="0" fontId="4" fillId="0" borderId="0" xfId="0" applyFont="1" applyAlignment="1">
      <alignment horizontal="right" indent="1"/>
    </xf>
    <xf numFmtId="0" fontId="12" fillId="0" borderId="0" xfId="0" applyFont="1" applyAlignment="1">
      <alignment horizontal="right" vertical="top" wrapText="1" inden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0" fillId="8" borderId="0" xfId="0" applyFill="1" applyAlignment="1">
      <alignment horizontal="left"/>
    </xf>
    <xf numFmtId="0" fontId="17" fillId="8" borderId="0" xfId="0" applyFont="1" applyFill="1" applyAlignment="1">
      <alignment horizontal="center" vertical="center" wrapText="1"/>
    </xf>
    <xf numFmtId="0" fontId="2" fillId="8" borderId="5" xfId="0" applyFon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2" fillId="8" borderId="5" xfId="0" applyFont="1" applyFill="1" applyBorder="1" applyAlignment="1">
      <alignment horizontal="center" vertical="center" wrapText="1"/>
    </xf>
    <xf numFmtId="1" fontId="0" fillId="8" borderId="0" xfId="0" applyNumberFormat="1" applyFill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12" xfId="0" applyBorder="1"/>
    <xf numFmtId="0" fontId="18" fillId="0" borderId="0" xfId="0" applyFont="1"/>
    <xf numFmtId="0" fontId="0" fillId="10" borderId="0" xfId="0" applyFill="1"/>
    <xf numFmtId="0" fontId="16" fillId="0" borderId="5" xfId="0" applyFont="1" applyBorder="1"/>
    <xf numFmtId="0" fontId="14" fillId="0" borderId="5" xfId="0" applyFont="1" applyBorder="1"/>
    <xf numFmtId="0" fontId="14" fillId="0" borderId="0" xfId="0" applyFont="1"/>
    <xf numFmtId="0" fontId="19" fillId="0" borderId="0" xfId="0" applyFont="1"/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right" indent="1"/>
    </xf>
    <xf numFmtId="1" fontId="11" fillId="0" borderId="0" xfId="0" applyNumberFormat="1" applyFont="1" applyAlignment="1">
      <alignment horizontal="left"/>
    </xf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/>
    <xf numFmtId="1" fontId="0" fillId="0" borderId="12" xfId="0" applyNumberFormat="1" applyBorder="1"/>
    <xf numFmtId="0" fontId="18" fillId="0" borderId="0" xfId="0" applyFont="1" applyAlignment="1">
      <alignment horizontal="right" indent="1"/>
    </xf>
    <xf numFmtId="0" fontId="23" fillId="0" borderId="0" xfId="0" applyFont="1" applyAlignment="1">
      <alignment horizontal="right" vertical="top" wrapText="1" indent="1"/>
    </xf>
    <xf numFmtId="1" fontId="2" fillId="0" borderId="0" xfId="0" applyNumberFormat="1" applyFont="1" applyAlignment="1">
      <alignment horizontal="right" indent="1"/>
    </xf>
    <xf numFmtId="0" fontId="2" fillId="8" borderId="0" xfId="0" applyFont="1" applyFill="1" applyAlignment="1">
      <alignment horizontal="right" indent="1"/>
    </xf>
    <xf numFmtId="0" fontId="2" fillId="8" borderId="5" xfId="0" applyFont="1" applyFill="1" applyBorder="1" applyAlignment="1">
      <alignment horizontal="right" indent="1"/>
    </xf>
    <xf numFmtId="0" fontId="24" fillId="0" borderId="0" xfId="0" applyFont="1" applyAlignment="1">
      <alignment horizontal="center" vertical="center" wrapText="1"/>
    </xf>
    <xf numFmtId="14" fontId="2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4" fontId="0" fillId="0" borderId="0" xfId="0" applyNumberFormat="1"/>
    <xf numFmtId="0" fontId="0" fillId="11" borderId="0" xfId="0" applyFill="1"/>
    <xf numFmtId="164" fontId="0" fillId="0" borderId="0" xfId="0" applyNumberFormat="1" applyAlignment="1">
      <alignment horizontal="right"/>
    </xf>
    <xf numFmtId="10" fontId="0" fillId="0" borderId="0" xfId="0" applyNumberFormat="1"/>
    <xf numFmtId="1" fontId="4" fillId="0" borderId="0" xfId="0" applyNumberFormat="1" applyFont="1" applyAlignment="1">
      <alignment horizontal="center"/>
    </xf>
    <xf numFmtId="0" fontId="26" fillId="0" borderId="0" xfId="0" applyFont="1" applyAlignment="1">
      <alignment horizontal="right" indent="1"/>
    </xf>
    <xf numFmtId="2" fontId="0" fillId="0" borderId="0" xfId="1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164" fontId="0" fillId="0" borderId="0" xfId="1" applyNumberFormat="1" applyFont="1" applyFill="1" applyAlignment="1">
      <alignment horizontal="center"/>
    </xf>
    <xf numFmtId="9" fontId="0" fillId="0" borderId="0" xfId="1" applyFont="1" applyFill="1" applyAlignment="1">
      <alignment horizontal="center"/>
    </xf>
    <xf numFmtId="0" fontId="2" fillId="6" borderId="0" xfId="0" applyFont="1" applyFill="1"/>
    <xf numFmtId="0" fontId="0" fillId="6" borderId="0" xfId="0" applyFill="1" applyAlignment="1">
      <alignment horizontal="center"/>
    </xf>
    <xf numFmtId="22" fontId="0" fillId="0" borderId="0" xfId="0" applyNumberFormat="1"/>
  </cellXfs>
  <cellStyles count="2">
    <cellStyle name="Normal" xfId="0" builtinId="0"/>
    <cellStyle name="Percent" xfId="1" builtinId="5"/>
  </cellStyles>
  <dxfs count="51"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</font>
      <numFmt numFmtId="1" formatCode="0"/>
      <alignment horizontal="right" textRotation="0" indent="1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top" textRotation="0" wrapText="1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b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</font>
      <numFmt numFmtId="0" formatCode="General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h:mm"/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66CC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800"/>
              <a:t>Standings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098490641425729E-2"/>
          <c:y val="8.7931128109580828E-2"/>
          <c:w val="0.75586679617803676"/>
          <c:h val="0.798533054949581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'Results (2)'!$B$92</c:f>
              <c:strCache>
                <c:ptCount val="1"/>
                <c:pt idx="0">
                  <c:v>Markus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(2)'!$H$92:$AC$92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F-47F2-A3F6-4F0D7EB97F80}"/>
            </c:ext>
          </c:extLst>
        </c:ser>
        <c:ser>
          <c:idx val="1"/>
          <c:order val="1"/>
          <c:tx>
            <c:strRef>
              <c:f>'Results (2)'!$B$93</c:f>
              <c:strCache>
                <c:ptCount val="1"/>
                <c:pt idx="0">
                  <c:v>Kristel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(2)'!$H$93:$AC$93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3F-47F2-A3F6-4F0D7EB97F80}"/>
            </c:ext>
          </c:extLst>
        </c:ser>
        <c:ser>
          <c:idx val="2"/>
          <c:order val="2"/>
          <c:tx>
            <c:strRef>
              <c:f>'Results (2)'!$B$94</c:f>
              <c:strCache>
                <c:ptCount val="1"/>
                <c:pt idx="0">
                  <c:v>Suzzy B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(2)'!$H$94:$AC$94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3F-47F2-A3F6-4F0D7EB97F80}"/>
            </c:ext>
          </c:extLst>
        </c:ser>
        <c:ser>
          <c:idx val="3"/>
          <c:order val="3"/>
          <c:tx>
            <c:strRef>
              <c:f>'Results (2)'!$B$95</c:f>
              <c:strCache>
                <c:ptCount val="1"/>
                <c:pt idx="0">
                  <c:v>Wade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(2)'!$H$95:$AC$95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3F-47F2-A3F6-4F0D7EB97F80}"/>
            </c:ext>
          </c:extLst>
        </c:ser>
        <c:ser>
          <c:idx val="4"/>
          <c:order val="4"/>
          <c:tx>
            <c:strRef>
              <c:f>'Results (2)'!$B$96</c:f>
              <c:strCache>
                <c:ptCount val="1"/>
                <c:pt idx="0">
                  <c:v>Joshua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(2)'!$H$96:$AC$96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3F-47F2-A3F6-4F0D7EB97F80}"/>
            </c:ext>
          </c:extLst>
        </c:ser>
        <c:ser>
          <c:idx val="10"/>
          <c:order val="10"/>
          <c:tx>
            <c:strRef>
              <c:f>'Results (2)'!$B$102</c:f>
              <c:strCache>
                <c:ptCount val="1"/>
                <c:pt idx="0">
                  <c:v>Oscar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(2)'!$H$102:$AC$102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3F-47F2-A3F6-4F0D7EB97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55023"/>
        <c:axId val="499555983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'Results (2)'!$B$97</c15:sqref>
                        </c15:formulaRef>
                      </c:ext>
                    </c:extLst>
                    <c:strCache>
                      <c:ptCount val="1"/>
                      <c:pt idx="0">
                        <c:v>Frank</c:v>
                      </c:pt>
                    </c:strCache>
                  </c:strRef>
                </c:tx>
                <c:spPr>
                  <a:ln w="22225" cap="rnd">
                    <a:solidFill>
                      <a:schemeClr val="accent6"/>
                    </a:solidFill>
                  </a:ln>
                  <a:effectLst>
                    <a:glow rad="139700">
                      <a:schemeClr val="accent6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'Results (2)'!$H$97:$AC$97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AA3F-47F2-A3F6-4F0D7EB97F8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(2)'!$B$98</c15:sqref>
                        </c15:formulaRef>
                      </c:ext>
                    </c:extLst>
                    <c:strCache>
                      <c:ptCount val="1"/>
                      <c:pt idx="0">
                        <c:v>Jimbo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6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(2)'!$H$98:$AC$98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A3F-47F2-A3F6-4F0D7EB97F80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(2)'!$B$99</c15:sqref>
                        </c15:formulaRef>
                      </c:ext>
                    </c:extLst>
                    <c:strCache>
                      <c:ptCount val="1"/>
                      <c:pt idx="0">
                        <c:v>Mike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(2)'!$H$99:$AC$99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A3F-47F2-A3F6-4F0D7EB97F8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(2)'!$B$100</c15:sqref>
                        </c15:formulaRef>
                      </c:ext>
                    </c:extLst>
                    <c:strCache>
                      <c:ptCount val="1"/>
                      <c:pt idx="0">
                        <c:v>Nico SR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60000"/>
                      </a:schemeClr>
                    </a:solidFill>
                  </a:ln>
                  <a:effectLst>
                    <a:glow rad="139700">
                      <a:schemeClr val="accent3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(2)'!$H$100:$AC$100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A3F-47F2-A3F6-4F0D7EB97F8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(2)'!$B$101</c15:sqref>
                        </c15:formulaRef>
                      </c:ext>
                    </c:extLst>
                    <c:strCache>
                      <c:ptCount val="1"/>
                      <c:pt idx="0">
                        <c:v>Ilarie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60000"/>
                      </a:schemeClr>
                    </a:solidFill>
                  </a:ln>
                  <a:effectLst>
                    <a:glow rad="139700">
                      <a:schemeClr val="accent4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(2)'!$H$101:$AC$101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A3F-47F2-A3F6-4F0D7EB97F8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(2)'!$B$103</c15:sqref>
                        </c15:formulaRef>
                      </c:ext>
                    </c:extLst>
                    <c:strCache>
                      <c:ptCount val="1"/>
                      <c:pt idx="0">
                        <c:v>Deville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</a:ln>
                  <a:effectLst>
                    <a:glow rad="139700">
                      <a:schemeClr val="accent6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(2)'!$H$103:$AC$103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A3F-47F2-A3F6-4F0D7EB97F8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(2)'!$B$104</c15:sqref>
                        </c15:formulaRef>
                      </c:ext>
                    </c:extLst>
                    <c:strCache>
                      <c:ptCount val="1"/>
                      <c:pt idx="0">
                        <c:v>Liz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1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(2)'!$H$104:$AC$104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A3F-47F2-A3F6-4F0D7EB97F8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(2)'!$B$105</c15:sqref>
                        </c15:formulaRef>
                      </c:ext>
                    </c:extLst>
                    <c:strCache>
                      <c:ptCount val="1"/>
                      <c:pt idx="0">
                        <c:v>Nico JR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2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(2)'!$H$105:$AC$105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A3F-47F2-A3F6-4F0D7EB97F8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(2)'!$B$106</c15:sqref>
                        </c15:formulaRef>
                      </c:ext>
                    </c:extLst>
                    <c:strCache>
                      <c:ptCount val="1"/>
                      <c:pt idx="0">
                        <c:v>Alida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3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(2)'!$H$106:$AC$106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A3F-47F2-A3F6-4F0D7EB97F8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(2)'!$B$107</c15:sqref>
                        </c15:formulaRef>
                      </c:ext>
                    </c:extLst>
                    <c:strCache>
                      <c:ptCount val="1"/>
                      <c:pt idx="0">
                        <c:v>Jason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4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(2)'!$H$107:$AC$107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A3F-47F2-A3F6-4F0D7EB97F8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(2)'!$B$108</c15:sqref>
                        </c15:formulaRef>
                      </c:ext>
                    </c:extLst>
                    <c:strCache>
                      <c:ptCount val="1"/>
                      <c:pt idx="0">
                        <c:v>PJ</c:v>
                      </c:pt>
                    </c:strCache>
                  </c:strRef>
                </c:tx>
                <c:spPr>
                  <a:ln w="222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5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5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(2)'!$H$108:$AC$108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A3F-47F2-A3F6-4F0D7EB97F8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(2)'!$B$109</c15:sqref>
                        </c15:formulaRef>
                      </c:ext>
                    </c:extLst>
                    <c:strCache>
                      <c:ptCount val="1"/>
                      <c:pt idx="0">
                        <c:v>Bernd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6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(2)'!$H$109:$AC$109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A3F-47F2-A3F6-4F0D7EB97F8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(2)'!$B$110</c15:sqref>
                        </c15:formulaRef>
                      </c:ext>
                    </c:extLst>
                    <c:strCache>
                      <c:ptCount val="1"/>
                      <c:pt idx="0">
                        <c:v>Pam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</a:schemeClr>
                    </a:solidFill>
                  </a:ln>
                  <a:effectLst>
                    <a:glow rad="139700">
                      <a:schemeClr val="accent1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(2)'!$H$110:$AC$110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A3F-47F2-A3F6-4F0D7EB97F8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(2)'!$B$111</c15:sqref>
                        </c15:formulaRef>
                      </c:ext>
                    </c:extLst>
                    <c:strCache>
                      <c:ptCount val="1"/>
                      <c:pt idx="0">
                        <c:v>Reinhard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80000"/>
                      </a:schemeClr>
                    </a:solidFill>
                  </a:ln>
                  <a:effectLst>
                    <a:glow rad="139700">
                      <a:schemeClr val="accent2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(2)'!$H$111:$AC$111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A3F-47F2-A3F6-4F0D7EB97F8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(2)'!$B$112</c15:sqref>
                        </c15:formulaRef>
                      </c:ext>
                    </c:extLst>
                    <c:strCache>
                      <c:ptCount val="1"/>
                      <c:pt idx="0">
                        <c:v>Liam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80000"/>
                      </a:schemeClr>
                    </a:solidFill>
                  </a:ln>
                  <a:effectLst>
                    <a:glow rad="139700">
                      <a:schemeClr val="accent3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(2)'!$H$112:$AC$112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A3F-47F2-A3F6-4F0D7EB97F8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(2)'!$B$113</c15:sqref>
                        </c15:formulaRef>
                      </c:ext>
                    </c:extLst>
                    <c:strCache>
                      <c:ptCount val="1"/>
                      <c:pt idx="0">
                        <c:v>Lee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</a:schemeClr>
                    </a:solidFill>
                  </a:ln>
                  <a:effectLst>
                    <a:glow rad="139700">
                      <a:schemeClr val="accent4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(2)'!$H$113:$AC$113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A3F-47F2-A3F6-4F0D7EB97F8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(2)'!$B$114</c15:sqref>
                        </c15:formulaRef>
                      </c:ext>
                    </c:extLst>
                    <c:strCache>
                      <c:ptCount val="1"/>
                      <c:pt idx="0">
                        <c:v>Petra</c:v>
                      </c:pt>
                    </c:strCache>
                  </c:strRef>
                </c:tx>
                <c:spPr>
                  <a:ln w="22225" cap="rnd">
                    <a:solidFill>
                      <a:schemeClr val="accent5">
                        <a:lumMod val="80000"/>
                      </a:schemeClr>
                    </a:solidFill>
                  </a:ln>
                  <a:effectLst>
                    <a:glow rad="139700">
                      <a:schemeClr val="accent5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5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(2)'!$H$114:$AC$114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A3F-47F2-A3F6-4F0D7EB97F8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(2)'!$B$115</c15:sqref>
                        </c15:formulaRef>
                      </c:ext>
                    </c:extLst>
                    <c:strCache>
                      <c:ptCount val="1"/>
                      <c:pt idx="0">
                        <c:v>Smartin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80000"/>
                      </a:schemeClr>
                    </a:solidFill>
                  </a:ln>
                  <a:effectLst>
                    <a:glow rad="139700">
                      <a:schemeClr val="accent6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(2)'!$H$115:$AC$115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A3F-47F2-A3F6-4F0D7EB97F8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(2)'!$B$116</c15:sqref>
                        </c15:formulaRef>
                      </c:ext>
                    </c:extLst>
                    <c:strCache>
                      <c:ptCount val="1"/>
                      <c:pt idx="0">
                        <c:v>Riaan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lumOff val="4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60000"/>
                        <a:lumOff val="4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lumOff val="4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(2)'!$H$116:$AC$116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A3F-47F2-A3F6-4F0D7EB97F8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(2)'!$B$117</c15:sqref>
                        </c15:formulaRef>
                      </c:ext>
                    </c:extLst>
                    <c:strCache>
                      <c:ptCount val="1"/>
                      <c:pt idx="0">
                        <c:v>Clarice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lumOff val="4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  <a:lumOff val="4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lumOff val="4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(2)'!$H$117:$AC$117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A3F-47F2-A3F6-4F0D7EB97F80}"/>
                  </c:ext>
                </c:extLst>
              </c15:ser>
            </c15:filteredScatterSeries>
          </c:ext>
        </c:extLst>
      </c:scatterChart>
      <c:valAx>
        <c:axId val="499555023"/>
        <c:scaling>
          <c:orientation val="minMax"/>
          <c:max val="15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800"/>
                  <a:t>Race #</a:t>
                </a:r>
              </a:p>
            </c:rich>
          </c:tx>
          <c:layout>
            <c:manualLayout>
              <c:xMode val="edge"/>
              <c:yMode val="edge"/>
              <c:x val="0.40709928975413506"/>
              <c:y val="0.935850084732274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983"/>
        <c:crosses val="autoZero"/>
        <c:crossBetween val="midCat"/>
        <c:majorUnit val="1"/>
      </c:valAx>
      <c:valAx>
        <c:axId val="4995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800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497978107067341"/>
          <c:y val="8.6178556882975849E-2"/>
          <c:w val="0.11419592781932573"/>
          <c:h val="0.80294681645397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Normal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Stats!$N$4:$N$29</c:f>
              <c:numCache>
                <c:formatCode>General</c:formatCode>
                <c:ptCount val="26"/>
                <c:pt idx="0">
                  <c:v>1.4363204599425072</c:v>
                </c:pt>
                <c:pt idx="1">
                  <c:v>1.4233220847394077</c:v>
                </c:pt>
                <c:pt idx="2">
                  <c:v>1.4038245219347583</c:v>
                </c:pt>
                <c:pt idx="3">
                  <c:v>1.3908261467316585</c:v>
                </c:pt>
                <c:pt idx="4">
                  <c:v>1.3063367079115111</c:v>
                </c:pt>
                <c:pt idx="5">
                  <c:v>1.2543432070991127</c:v>
                </c:pt>
                <c:pt idx="6">
                  <c:v>1.2283464566929134</c:v>
                </c:pt>
                <c:pt idx="7">
                  <c:v>1.1893513310836146</c:v>
                </c:pt>
                <c:pt idx="8">
                  <c:v>1.1178602674665667</c:v>
                </c:pt>
                <c:pt idx="9">
                  <c:v>1.1113610798650169</c:v>
                </c:pt>
                <c:pt idx="10">
                  <c:v>1.0593675790526185</c:v>
                </c:pt>
                <c:pt idx="11">
                  <c:v>0.99437570303712042</c:v>
                </c:pt>
                <c:pt idx="12">
                  <c:v>0.98787651543557053</c:v>
                </c:pt>
                <c:pt idx="13">
                  <c:v>0.96187976502937134</c:v>
                </c:pt>
                <c:pt idx="14">
                  <c:v>0.92288463942007248</c:v>
                </c:pt>
                <c:pt idx="15">
                  <c:v>0.86764154480689915</c:v>
                </c:pt>
                <c:pt idx="16">
                  <c:v>0.83189601299837523</c:v>
                </c:pt>
                <c:pt idx="17">
                  <c:v>0.83189601299837523</c:v>
                </c:pt>
                <c:pt idx="18">
                  <c:v>0.81239845019372581</c:v>
                </c:pt>
                <c:pt idx="19">
                  <c:v>0.81239845019372581</c:v>
                </c:pt>
                <c:pt idx="20">
                  <c:v>0.7604049493813273</c:v>
                </c:pt>
                <c:pt idx="21">
                  <c:v>0.74090738657667787</c:v>
                </c:pt>
                <c:pt idx="22">
                  <c:v>0.71491063617047867</c:v>
                </c:pt>
                <c:pt idx="23">
                  <c:v>0.69541307336582925</c:v>
                </c:pt>
                <c:pt idx="24">
                  <c:v>0.66291713535808028</c:v>
                </c:pt>
                <c:pt idx="25">
                  <c:v>0.48093988251468567</c:v>
                </c:pt>
              </c:numCache>
            </c:numRef>
          </c:xVal>
          <c:yVal>
            <c:numRef>
              <c:f>Stats!$O$4:$O$29</c:f>
              <c:numCache>
                <c:formatCode>General</c:formatCode>
                <c:ptCount val="26"/>
                <c:pt idx="0">
                  <c:v>4.9721494290009037E-3</c:v>
                </c:pt>
                <c:pt idx="1">
                  <c:v>5.3911610868546903E-3</c:v>
                </c:pt>
                <c:pt idx="2">
                  <c:v>6.0589461445767611E-3</c:v>
                </c:pt>
                <c:pt idx="3">
                  <c:v>6.5294810704919961E-3</c:v>
                </c:pt>
                <c:pt idx="4">
                  <c:v>1.0002473926913539E-2</c:v>
                </c:pt>
                <c:pt idx="5">
                  <c:v>1.235319337642031E-2</c:v>
                </c:pt>
                <c:pt idx="6">
                  <c:v>1.352818077080723E-2</c:v>
                </c:pt>
                <c:pt idx="7">
                  <c:v>1.522158755042829E-2</c:v>
                </c:pt>
                <c:pt idx="8">
                  <c:v>1.7845365361361228E-2</c:v>
                </c:pt>
                <c:pt idx="9">
                  <c:v>1.8038905701912862E-2</c:v>
                </c:pt>
                <c:pt idx="10">
                  <c:v>1.9236431958174888E-2</c:v>
                </c:pt>
                <c:pt idx="11">
                  <c:v>1.9729150299583661E-2</c:v>
                </c:pt>
                <c:pt idx="12">
                  <c:v>1.9712679388423301E-2</c:v>
                </c:pt>
                <c:pt idx="13">
                  <c:v>1.9527120465561199E-2</c:v>
                </c:pt>
                <c:pt idx="14">
                  <c:v>1.8901981816387279E-2</c:v>
                </c:pt>
                <c:pt idx="15">
                  <c:v>1.7382712820256909E-2</c:v>
                </c:pt>
                <c:pt idx="16">
                  <c:v>1.608212601961553E-2</c:v>
                </c:pt>
                <c:pt idx="17">
                  <c:v>1.608212601961553E-2</c:v>
                </c:pt>
                <c:pt idx="18">
                  <c:v>1.5294458716747268E-2</c:v>
                </c:pt>
                <c:pt idx="19">
                  <c:v>1.5294458716747268E-2</c:v>
                </c:pt>
                <c:pt idx="20">
                  <c:v>1.3022278386586397E-2</c:v>
                </c:pt>
                <c:pt idx="21">
                  <c:v>1.2136989396893441E-2</c:v>
                </c:pt>
                <c:pt idx="22">
                  <c:v>1.0955287581715141E-2</c:v>
                </c:pt>
                <c:pt idx="23">
                  <c:v>1.0080196547497765E-2</c:v>
                </c:pt>
                <c:pt idx="24">
                  <c:v>8.6675809521073056E-3</c:v>
                </c:pt>
                <c:pt idx="25">
                  <c:v>2.8052181072260487E-3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81-4FD4-9BA0-9B472C75A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939840"/>
        <c:axId val="43306672"/>
      </c:scatterChart>
      <c:valAx>
        <c:axId val="151993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6672"/>
        <c:crosses val="autoZero"/>
        <c:crossBetween val="midCat"/>
      </c:valAx>
      <c:valAx>
        <c:axId val="433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93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44450</xdr:colOff>
      <xdr:row>0</xdr:row>
      <xdr:rowOff>0</xdr:rowOff>
    </xdr:from>
    <xdr:to>
      <xdr:col>6</xdr:col>
      <xdr:colOff>664934</xdr:colOff>
      <xdr:row>2</xdr:row>
      <xdr:rowOff>36350</xdr:rowOff>
    </xdr:to>
    <xdr:pic>
      <xdr:nvPicPr>
        <xdr:cNvPr id="2" name="Graphic 1" descr="Race Car with solid fill">
          <a:extLst>
            <a:ext uri="{FF2B5EF4-FFF2-40B4-BE49-F238E27FC236}">
              <a16:creationId xmlns:a16="http://schemas.microsoft.com/office/drawing/2014/main" id="{313E12A8-D773-4953-A2B3-9B5B8774F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61230" y="0"/>
          <a:ext cx="620484" cy="600230"/>
        </a:xfrm>
        <a:prstGeom prst="rect">
          <a:avLst/>
        </a:prstGeom>
      </xdr:spPr>
    </xdr:pic>
    <xdr:clientData/>
  </xdr:twoCellAnchor>
  <xdr:twoCellAnchor>
    <xdr:from>
      <xdr:col>1</xdr:col>
      <xdr:colOff>830262</xdr:colOff>
      <xdr:row>48</xdr:row>
      <xdr:rowOff>0</xdr:rowOff>
    </xdr:from>
    <xdr:to>
      <xdr:col>17</xdr:col>
      <xdr:colOff>317499</xdr:colOff>
      <xdr:row>80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3786EA8-AB5F-43D9-AEDE-75D41BD4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79375</xdr:colOff>
      <xdr:row>31</xdr:row>
      <xdr:rowOff>136525</xdr:rowOff>
    </xdr:from>
    <xdr:to>
      <xdr:col>13</xdr:col>
      <xdr:colOff>384175</xdr:colOff>
      <xdr:row>46</xdr:row>
      <xdr:rowOff>117475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5EA951-0872-4FFE-A5FD-23DB210F1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0000000}" autoFormatId="16" applyNumberFormats="0" applyBorderFormats="0" applyFontFormats="0" applyPatternFormats="0" applyAlignmentFormats="0" applyWidthHeightFormats="0">
  <queryTableRefresh nextId="22" unboundColumnsRight="1">
    <queryTableFields count="6">
      <queryTableField id="8" name="Timestamp" tableColumnId="8"/>
      <queryTableField id="9" name="Who are you?" tableColumnId="9"/>
      <queryTableField id="10" name="Race" tableColumnId="10"/>
      <queryTableField id="11" name="First Pick" tableColumnId="11"/>
      <queryTableField id="12" name="Second Pick" tableColumnId="12"/>
      <queryTableField id="17" dataBound="0" tableColumnId="1"/>
    </queryTableFields>
    <queryTableDeletedFields count="8">
      <deletedField name="Best Memes"/>
      <deletedField name="Master Commentator"/>
      <deletedField name="Random Question"/>
      <deletedField name="Random Award"/>
      <deletedField name="Best Memes"/>
      <deletedField name="Master Commentator"/>
      <deletedField name="Random Question"/>
      <deletedField name="Random Award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1000000}" autoFormatId="16" applyNumberFormats="0" applyBorderFormats="0" applyFontFormats="0" applyPatternFormats="0" applyAlignmentFormats="0" applyWidthHeightFormats="0">
  <queryTableRefresh nextId="9">
    <queryTableFields count="4">
      <queryTableField id="1" name="Pos" tableColumnId="1"/>
      <queryTableField id="3" name="Driver" tableColumnId="3"/>
      <queryTableField id="4" name="Time" tableColumnId="4"/>
      <queryTableField id="8" name="Stops" tableColumnId="8"/>
    </queryTableFields>
    <queryTableDeletedFields count="1">
      <deletedField name="Laps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6717A0-42FF-427C-B905-BF6EB4D320AC}" name="Table_Table_0__2" displayName="Table_Table_0__2" ref="A1:F46" tableType="queryTable" totalsRowShown="0">
  <autoFilter ref="A1:F46" xr:uid="{646717A0-42FF-427C-B905-BF6EB4D320AC}"/>
  <tableColumns count="6">
    <tableColumn id="8" xr3:uid="{283FCDC6-7656-483A-BC44-EAB1FC944F6B}" uniqueName="8" name="Timestamp" queryTableFieldId="8" dataDxfId="50"/>
    <tableColumn id="9" xr3:uid="{180CF2C9-B550-4797-9FE9-917BD089A948}" uniqueName="9" name="Name" queryTableFieldId="9" dataDxfId="49"/>
    <tableColumn id="10" xr3:uid="{B9F5C330-134B-4019-BEB1-03561FDA1C86}" uniqueName="10" name="Race" queryTableFieldId="10" dataDxfId="48"/>
    <tableColumn id="11" xr3:uid="{CEEFF590-5949-4319-8561-294B9A8092C0}" uniqueName="11" name="First Pick" queryTableFieldId="11" dataDxfId="47"/>
    <tableColumn id="12" xr3:uid="{4F91FF74-F096-4F23-9A74-E7177E84ACFB}" uniqueName="12" name="Second Pick" queryTableFieldId="12" dataDxfId="46"/>
    <tableColumn id="1" xr3:uid="{5D87AD4E-EC36-433D-BC71-ECBD13088101}" uniqueName="1" name="Points" queryTableFieldId="17" dataDxfId="45">
      <calculatedColumnFormula array="1">MAX(_xlfn.XLOOKUP(D2,Table5[Driver],'Race Results'!$E$3:$E$22),_xlfn.XLOOKUP(E2,Table5[Driver],'Race Results'!$E$3:$E$22)*0.5)</calculatedColumnFormula>
    </tableColumn>
  </tableColumns>
  <tableStyleInfo name="TableStyleMedium1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2BB5D5-0DD5-4D2B-B261-57C14684AAE4}" name="Table_0" displayName="Table_0" ref="A2:D22" tableType="queryTable" totalsRowShown="0" headerRowDxfId="44" dataDxfId="42" headerRowBorderDxfId="43">
  <autoFilter ref="A2:D22" xr:uid="{FC2BB5D5-0DD5-4D2B-B261-57C14684AAE4}"/>
  <tableColumns count="4">
    <tableColumn id="1" xr3:uid="{56323713-7B56-4EC2-AFD5-D1953641CF7F}" uniqueName="1" name="Pos" queryTableFieldId="1" dataDxfId="41"/>
    <tableColumn id="3" xr3:uid="{D48BA325-2340-4E3C-8378-F5261189AA23}" uniqueName="3" name="Driver" queryTableFieldId="3" dataDxfId="40"/>
    <tableColumn id="4" xr3:uid="{DFCEC983-3F4B-40C5-80F9-46DD7EFC9D9D}" uniqueName="4" name="Time" queryTableFieldId="4" dataDxfId="39"/>
    <tableColumn id="8" xr3:uid="{662C2F5F-F616-4EB1-A0F3-4BCDE90E0366}" uniqueName="8" name="Stops" queryTableFieldId="8" dataDxfId="38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867CAD-12D5-44D1-B095-AB712A1FDB7E}" name="Table5" displayName="Table5" ref="G2:L22" totalsRowShown="0" headerRowBorderDxfId="37">
  <autoFilter ref="G2:L22" xr:uid="{83867CAD-12D5-44D1-B095-AB712A1FDB7E}"/>
  <sortState xmlns:xlrd2="http://schemas.microsoft.com/office/spreadsheetml/2017/richdata2" ref="G3:L22">
    <sortCondition ref="H2:H22"/>
  </sortState>
  <tableColumns count="6">
    <tableColumn id="1" xr3:uid="{ECE61288-3CDC-4D59-BAA3-86822D03239D}" name="Map" dataDxfId="36">
      <calculatedColumnFormula>Table_0[[#This Row],[Driver]]</calculatedColumnFormula>
    </tableColumn>
    <tableColumn id="2" xr3:uid="{580C30C8-5085-47DE-8D0E-2AC03771C8C4}" name="Position" dataDxfId="35">
      <calculatedColumnFormula>IFERROR(VALUE(_xlfn.XLOOKUP(G3,Table_0[Driver],Table_0[Pos])),"R")</calculatedColumnFormula>
    </tableColumn>
    <tableColumn id="3" xr3:uid="{D233E641-86CD-467E-BF6F-7386073FADC4}" name="Driver" dataDxfId="34">
      <calculatedColumnFormula>_xlfn.XLOOKUP(Table_0[[#This Row],[Driver]],DriverNameMapping!$A$2:$A$23,DriverNameMapping!$B$2:$B$23)</calculatedColumnFormula>
    </tableColumn>
    <tableColumn id="4" xr3:uid="{A68ADFF8-557B-4D10-AF77-EB1DC534581E}" name="Time" dataDxfId="33">
      <calculatedColumnFormula>_xlfn.XLOOKUP(G3,Table_0[Driver],Table_0[Time])</calculatedColumnFormula>
    </tableColumn>
    <tableColumn id="5" xr3:uid="{A73225E6-61BB-4527-B6D6-361D228C53A3}" name="Stops" dataDxfId="32">
      <calculatedColumnFormula>_xlfn.XLOOKUP(G3,Table_0[Driver],Table_0[Stops])</calculatedColumnFormula>
    </tableColumn>
    <tableColumn id="6" xr3:uid="{5B4E140B-B68E-4029-9135-471BC8E1ECB0}" name="Points" dataDxfId="31">
      <calculatedColumnFormula array="1">_xlfn.XLOOKUP(H3,VALUE(Table_0[Pos]),$E$3:$E$22,0)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EE0FF5-485F-4113-AA14-8637A0A05357}" name="Table15" displayName="Table15" ref="B1:AC27" totalsRowShown="0" headerRowDxfId="29" dataDxfId="28">
  <autoFilter ref="B1:AC27" xr:uid="{C2B0D7A7-0352-47F9-BB5D-8DC5E0097A96}"/>
  <sortState xmlns:xlrd2="http://schemas.microsoft.com/office/spreadsheetml/2017/richdata2" ref="B2:AC27">
    <sortCondition descending="1" ref="G1:G27"/>
  </sortState>
  <tableColumns count="28">
    <tableColumn id="2" xr3:uid="{09902E3E-4B1B-4885-9981-2E4D7133584A}" name="Name" dataDxfId="27"/>
    <tableColumn id="1" xr3:uid="{EDDE577A-BC4F-4E25-BB1E-2DB8F90171E4}" name="Previous Race Total" dataDxfId="26">
      <calculatedColumnFormula array="1">Table15[[#This Row],[Total]]-_xlfn.XLOOKUP($G$35,$H$36:$AC$36,Table15[[#This Row],[Saudi Arabia - 19 March]:[Abu Dhabi - 26 November]])</calculatedColumnFormula>
    </tableColumn>
    <tableColumn id="26" xr3:uid="{CF08FD4E-9360-42B3-B747-24C77CC08E13}" name="Previous race Ranking" dataDxfId="25">
      <calculatedColumnFormula array="1">_xlfn.XLOOKUP(B2,_xlfn.SORTBY(Table15[Name],Table15[Previous Race Total],-1),$A$2:$A$27)</calculatedColumnFormula>
    </tableColumn>
    <tableColumn id="28" xr3:uid="{AC8DC2E4-B69A-46B0-BCC6-EDCF7C0F6BE4}" name="Current ranking" dataDxfId="24">
      <calculatedColumnFormula array="1">_xlfn.XLOOKUP(B2,_xlfn.SORTBY(Table15[Name],Table15[Total],-1),$A$2:$A$27)</calculatedColumnFormula>
    </tableColumn>
    <tableColumn id="27" xr3:uid="{E75F08AA-2CC2-4ED0-955B-CEC305B78551}" name="Column1" dataDxfId="23">
      <calculatedColumnFormula>Table15[[#This Row],[Previous race Ranking]]-Table15[[#This Row],[Current ranking]]</calculatedColumnFormula>
    </tableColumn>
    <tableColumn id="25" xr3:uid="{E185FD6E-00DB-4E7B-A7B8-B642DF5DDF75}" name="Total" dataDxfId="22">
      <calculatedColumnFormula>SUM(H2:AC2)</calculatedColumnFormula>
    </tableColumn>
    <tableColumn id="3" xr3:uid="{078EC4E5-1F22-4B41-80FA-ECC5232754EB}" name="Saudi Arabia - 19 March" dataDxfId="21">
      <calculatedColumnFormula array="1">IFERROR(_xlfn.XLOOKUP(1,(Table15[[#This Row],[Brazil - 5 November]]=Points!$B:$B)*(Table15[[#Headers],[Saudi Arabia - 19 March]]=Points!$C:$C),Points!$F:$F,0,0,-1),0)</calculatedColumnFormula>
    </tableColumn>
    <tableColumn id="4" xr3:uid="{B0DBA72F-D70B-4222-9B55-810140D5B774}" name="Australia - 2 April" dataDxfId="20">
      <calculatedColumnFormula array="1">IFERROR(_xlfn.XLOOKUP(1,(Table15[[#This Row],[Las Vegas - 18 November]]=Points!$B:$B)*(Table15[[#Headers],[Australia - 2 April]]=Points!$C:$C),Points!$F:$F,0,0,-1),0)</calculatedColumnFormula>
    </tableColumn>
    <tableColumn id="5" xr3:uid="{29E9E0F2-B517-4726-B7D0-344FD1FFE26F}" name="Azerbaijan - 30 April" dataDxfId="19">
      <calculatedColumnFormula array="1">IFERROR(_xlfn.XLOOKUP(1,(Table15[[#This Row],[Abu Dhabi - 26 November]]=Points!$B:$B)*(Table15[[#Headers],[Azerbaijan - 30 April]]=Points!$C:$C),Points!$F:$F,0,0,-1),0)</calculatedColumnFormula>
    </tableColumn>
    <tableColumn id="6" xr3:uid="{9345566D-C8B0-463E-8D08-91B75C5C6B60}" name="Miami - 7 May" dataDxfId="18">
      <calculatedColumnFormula array="1">IFERROR(_xlfn.XLOOKUP(1,(Table15[[#This Row],[Name]]=Points!$B:$B)*(Table15[[#Headers],[Miami - 7 May]]=Points!$C:$C),Points!$F:$F,0,0,-1),0)</calculatedColumnFormula>
    </tableColumn>
    <tableColumn id="7" xr3:uid="{A1DB75D6-BA35-4914-A939-AC197B891D30}" name="Italy - 21 May" dataDxfId="17">
      <calculatedColumnFormula array="1">IFERROR(_xlfn.XLOOKUP(1,(Table15[[#This Row],[Name]]=Points!$B:$B)*(Table15[[#Headers],[Italy - 21 May]]=Points!$C:$C),Points!$F:$F,0,0,-1),0)</calculatedColumnFormula>
    </tableColumn>
    <tableColumn id="8" xr3:uid="{43F870F5-822E-480F-8208-07C35282F3D2}" name="Monaco - 28 May" dataDxfId="16">
      <calculatedColumnFormula array="1">IFERROR(_xlfn.XLOOKUP(1,(Table15[[#This Row],[Name]]=Points!$B:$B)*(Table15[[#Headers],[Monaco - 28 May]]=Points!$C:$C),Points!$F:$F,0,0,-1),0)</calculatedColumnFormula>
    </tableColumn>
    <tableColumn id="9" xr3:uid="{A6556F38-0E61-4746-96A3-C10050DA494B}" name="Spain - 4 June" dataDxfId="15">
      <calculatedColumnFormula array="1">IFERROR(_xlfn.XLOOKUP(1,(Table15[[#This Row],[Name]]=Points!$B:$B)*(Table15[[#Headers],[Spain - 4 June]]=Points!$C:$C),Points!$F:$F,0,0,-1),0)</calculatedColumnFormula>
    </tableColumn>
    <tableColumn id="10" xr3:uid="{084C6B7B-B6B8-4C9E-9ED3-E83142D61E6B}" name="Canada - 18 June" dataDxfId="14">
      <calculatedColumnFormula array="1">IFERROR(_xlfn.XLOOKUP(1,(Table15[[#This Row],[Name]]=Points!$B:$B)*(Table15[[#Headers],[Canada - 18 June]]=Points!$C:$C),Points!$F:$F,0,0,-1),0)</calculatedColumnFormula>
    </tableColumn>
    <tableColumn id="11" xr3:uid="{F4DA8ED6-6310-46C5-8992-0B6D2F299766}" name="Austria - 2 July" dataDxfId="13">
      <calculatedColumnFormula array="1">IFERROR(_xlfn.XLOOKUP(1,(Table15[[#This Row],[Name]]=Points!$B:$B)*(Table15[[#Headers],[Austria - 2 July]]=Points!$C:$C),Points!$F:$F,0,0,-1),0)</calculatedColumnFormula>
    </tableColumn>
    <tableColumn id="12" xr3:uid="{6B520017-CEDB-4B6F-AF21-EB47F9BC35BE}" name="Great Britain - 9 July" dataDxfId="12">
      <calculatedColumnFormula array="1">IFERROR(_xlfn.XLOOKUP(1,(Table15[[#This Row],[Name]]=Points!$B:$B)*(Table15[[#Headers],[Great Britain - 9 July]]=Points!$C:$C),Points!$F:$F,0,0,-1),0)</calculatedColumnFormula>
    </tableColumn>
    <tableColumn id="13" xr3:uid="{CC80915D-ECA7-4F52-9EE7-BA03620F53AD}" name="Hungary - 23 July" dataDxfId="11">
      <calculatedColumnFormula array="1">IFERROR(_xlfn.XLOOKUP(1,(Table15[[#This Row],[Name]]=Points!$B:$B)*(Table15[[#Headers],[Hungary - 23 July]]=Points!$C:$C),Points!$F:$F,0,0,-1),0)</calculatedColumnFormula>
    </tableColumn>
    <tableColumn id="14" xr3:uid="{179BB863-0879-4B63-A6CB-E2D4DCCE1E12}" name="Belgium - 30 July" dataDxfId="10">
      <calculatedColumnFormula array="1">IFERROR(_xlfn.XLOOKUP(1,(Table15[[#This Row],[Name]]=Points!$B:$B)*(Table15[[#Headers],[Belgium - 30 July]]=Points!$C:$C),Points!$F:$F,0,0,-1),0)</calculatedColumnFormula>
    </tableColumn>
    <tableColumn id="15" xr3:uid="{5AC8A5F5-F8C8-41DE-9062-A5B8F0E30739}" name="Netherlands - 27 August" dataDxfId="9">
      <calculatedColumnFormula array="1">IFERROR(_xlfn.XLOOKUP(1,(Table15[[#This Row],[Name]]=Points!$B:$B)*(Table15[[#Headers],[Netherlands - 27 August]]=Points!$C:$C),Points!$F:$F,0,0,-1),0)</calculatedColumnFormula>
    </tableColumn>
    <tableColumn id="16" xr3:uid="{AA037D20-95A7-49A7-B22D-3FEA8F187509}" name="Italy - 3 September" dataDxfId="8">
      <calculatedColumnFormula array="1">IFERROR(_xlfn.XLOOKUP(1,(Table15[[#This Row],[Name]]=Points!$B:$B)*(Table15[[#Headers],[Italy - 3 September]]=Points!$C:$C),Points!$F:$F,0,0,-1),0)</calculatedColumnFormula>
    </tableColumn>
    <tableColumn id="17" xr3:uid="{E908278C-0B45-404A-8CE2-339BF32F7455}" name="Singapore - 17 September" dataDxfId="7">
      <calculatedColumnFormula array="1">IFERROR(_xlfn.XLOOKUP(1,(Table15[[#This Row],[Name]]=Points!$B:$B)*(Table15[[#Headers],[Singapore - 17 September]]=Points!$C:$C),Points!$F:$F,0,0,-1),0)</calculatedColumnFormula>
    </tableColumn>
    <tableColumn id="18" xr3:uid="{C31DFF9B-4540-4FB7-B400-8DDEA2FA2DB8}" name="Japan - 24 September" dataDxfId="6">
      <calculatedColumnFormula array="1">IFERROR(_xlfn.XLOOKUP(1,(Table15[[#This Row],[Name]]=Points!$B:$B)*(Table15[[#Headers],[Japan - 24 September]]=Points!$C:$C),Points!$F:$F,0,0,-1),0)</calculatedColumnFormula>
    </tableColumn>
    <tableColumn id="19" xr3:uid="{BD3DE372-3226-43BD-9DB2-5DE27A015119}" name="Qatar - 8 October" dataDxfId="5">
      <calculatedColumnFormula array="1">IFERROR(_xlfn.XLOOKUP(1,(Table15[[#This Row],[Name]]=Points!$B:$B)*(Table15[[#Headers],[Qatar - 8 October]]=Points!$C:$C),Points!$F:$F,0,0,-1),0)</calculatedColumnFormula>
    </tableColumn>
    <tableColumn id="20" xr3:uid="{8B49827C-EA76-4524-8CDF-9B8B86A17BEC}" name="United States - 22 October" dataDxfId="4">
      <calculatedColumnFormula array="1">IFERROR(_xlfn.XLOOKUP(1,(Table15[[#This Row],[Name]]=Points!$B:$B)*(Table15[[#Headers],[United States - 22 October]]=Points!$C:$C),Points!$F:$F,0,0,-1),0)</calculatedColumnFormula>
    </tableColumn>
    <tableColumn id="21" xr3:uid="{EC025A43-E6CC-4A6C-8CCB-C0A3E7E4ACF2}" name="Mexico - 29 October" dataDxfId="3">
      <calculatedColumnFormula array="1">IFERROR(_xlfn.XLOOKUP(1,(Table15[[#This Row],[Name]]=Points!$B:$B)*(Table15[[#Headers],[Mexico - 29 October]]=Points!$C:$C),Points!$F:$F,0,0,-1),0)</calculatedColumnFormula>
    </tableColumn>
    <tableColumn id="22" xr3:uid="{8BE7F1B5-302F-4843-944D-11494C56F71B}" name="Brazil - 5 November" dataDxfId="2">
      <calculatedColumnFormula array="1">IFERROR(_xlfn.XLOOKUP(1,(Table15[[#This Row],[Name]]=Points!$B:$B)*(Table15[[#Headers],[Brazil - 5 November]]=Points!$C:$C),Points!$F:$F,0,0,-1),0)</calculatedColumnFormula>
    </tableColumn>
    <tableColumn id="23" xr3:uid="{26450457-5825-4FAB-A671-F81F4FCDB70D}" name="Las Vegas - 18 November" dataDxfId="1">
      <calculatedColumnFormula array="1">IFERROR(_xlfn.XLOOKUP(1,(Table15[[#This Row],[Name]]=Points!$B:$B)*(Table15[[#Headers],[Las Vegas - 18 November]]=Points!$C:$C),Points!$F:$F,0,0,-1),0)</calculatedColumnFormula>
    </tableColumn>
    <tableColumn id="24" xr3:uid="{69BDB461-8317-40EA-A247-B9039A0C4846}" name="Abu Dhabi - 26 November" dataDxfId="0">
      <calculatedColumnFormula array="1">IFERROR(_xlfn.XLOOKUP(1,(Table15[[#This Row],[Name]]=Points!$B:$B)*(Table15[[#Headers],[Abu Dhabi - 26 November]]=Points!$C:$C),Points!$F:$F,0,0,-1),0)</calculatedColumnFormula>
    </tableColumn>
  </tableColumns>
  <tableStyleInfo name="TableStyleMedium11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38A7-7AFF-4960-B94F-4988066CC26E}">
  <dimension ref="A1:F212"/>
  <sheetViews>
    <sheetView showGridLines="0" tabSelected="1" zoomScale="55" zoomScaleNormal="55" workbookViewId="0">
      <pane ySplit="1" topLeftCell="A2" activePane="bottomLeft" state="frozen"/>
      <selection activeCell="E1" sqref="E1"/>
      <selection pane="bottomLeft" activeCell="D1" sqref="D1"/>
    </sheetView>
  </sheetViews>
  <sheetFormatPr defaultRowHeight="14.4" x14ac:dyDescent="0.3"/>
  <cols>
    <col min="1" max="1" width="18.33203125" style="43" bestFit="1" customWidth="1"/>
    <col min="2" max="2" width="15.109375" bestFit="1" customWidth="1"/>
    <col min="3" max="3" width="22.88671875" bestFit="1" customWidth="1"/>
    <col min="4" max="5" width="30.21875" bestFit="1" customWidth="1"/>
    <col min="6" max="6" width="10.6640625" style="5" bestFit="1" customWidth="1"/>
    <col min="7" max="7" width="20.77734375" bestFit="1" customWidth="1"/>
    <col min="8" max="11" width="30" bestFit="1" customWidth="1"/>
  </cols>
  <sheetData>
    <row r="1" spans="1:6" x14ac:dyDescent="0.3">
      <c r="A1" s="43" t="s">
        <v>72</v>
      </c>
      <c r="B1" t="s">
        <v>20</v>
      </c>
      <c r="C1" t="s">
        <v>73</v>
      </c>
      <c r="D1" t="s">
        <v>276</v>
      </c>
      <c r="E1" t="s">
        <v>277</v>
      </c>
      <c r="F1" s="13" t="s">
        <v>74</v>
      </c>
    </row>
    <row r="2" spans="1:6" x14ac:dyDescent="0.3">
      <c r="A2" s="114">
        <v>45353.306469907409</v>
      </c>
      <c r="B2" t="s">
        <v>56</v>
      </c>
      <c r="C2" t="s">
        <v>102</v>
      </c>
      <c r="D2" t="s">
        <v>232</v>
      </c>
      <c r="E2" t="s">
        <v>234</v>
      </c>
      <c r="F2" s="89" cm="1">
        <f t="array" ref="F2">MAX(_xlfn.XLOOKUP(D2,Table5[Driver],'Race Results'!$E$3:$E$22),_xlfn.XLOOKUP(E2,Table5[Driver],'Race Results'!$E$3:$E$22)*0.5)</f>
        <v>12.5</v>
      </c>
    </row>
    <row r="3" spans="1:6" x14ac:dyDescent="0.3">
      <c r="A3" s="114">
        <v>45353.307511574072</v>
      </c>
      <c r="B3" t="s">
        <v>52</v>
      </c>
      <c r="C3" t="s">
        <v>102</v>
      </c>
      <c r="D3" t="s">
        <v>235</v>
      </c>
      <c r="E3" t="s">
        <v>246</v>
      </c>
      <c r="F3" s="89" cm="1">
        <f t="array" ref="F3">MAX(_xlfn.XLOOKUP(D3,Table5[Driver],'Race Results'!$E$3:$E$22),_xlfn.XLOOKUP(E3,Table5[Driver],'Race Results'!$E$3:$E$22)*0.5)</f>
        <v>6</v>
      </c>
    </row>
    <row r="4" spans="1:6" x14ac:dyDescent="0.3">
      <c r="A4" s="114">
        <v>45353.308738425927</v>
      </c>
      <c r="B4" t="s">
        <v>51</v>
      </c>
      <c r="C4" t="s">
        <v>102</v>
      </c>
      <c r="D4" t="s">
        <v>233</v>
      </c>
      <c r="E4" t="s">
        <v>232</v>
      </c>
      <c r="F4" s="89" cm="1">
        <f t="array" ref="F4">MAX(_xlfn.XLOOKUP(D4,Table5[Driver],'Race Results'!$E$3:$E$22),_xlfn.XLOOKUP(E4,Table5[Driver],'Race Results'!$E$3:$E$22)*0.5)</f>
        <v>1</v>
      </c>
    </row>
    <row r="5" spans="1:6" x14ac:dyDescent="0.3">
      <c r="A5" s="114">
        <v>45353.314050925925</v>
      </c>
      <c r="B5" t="s">
        <v>259</v>
      </c>
      <c r="C5" t="s">
        <v>102</v>
      </c>
      <c r="D5" t="s">
        <v>233</v>
      </c>
      <c r="E5" t="s">
        <v>235</v>
      </c>
      <c r="F5" s="89" cm="1">
        <f t="array" ref="F5">MAX(_xlfn.XLOOKUP(D5,Table5[Driver],'Race Results'!$E$3:$E$22),_xlfn.XLOOKUP(E5,Table5[Driver],'Race Results'!$E$3:$E$22)*0.5)</f>
        <v>3</v>
      </c>
    </row>
    <row r="6" spans="1:6" x14ac:dyDescent="0.3">
      <c r="A6" s="114">
        <v>45353.318391203706</v>
      </c>
      <c r="B6" t="s">
        <v>260</v>
      </c>
      <c r="C6" t="s">
        <v>102</v>
      </c>
      <c r="D6" t="s">
        <v>240</v>
      </c>
      <c r="E6" t="s">
        <v>234</v>
      </c>
      <c r="F6" s="89" cm="1">
        <f t="array" ref="F6">MAX(_xlfn.XLOOKUP(D6,Table5[Driver],'Race Results'!$E$3:$E$22),_xlfn.XLOOKUP(E6,Table5[Driver],'Race Results'!$E$3:$E$22)*0.5)</f>
        <v>12.5</v>
      </c>
    </row>
    <row r="7" spans="1:6" x14ac:dyDescent="0.3">
      <c r="A7" s="114">
        <v>45353.32917824074</v>
      </c>
      <c r="B7" t="s">
        <v>55</v>
      </c>
      <c r="C7" t="s">
        <v>102</v>
      </c>
      <c r="D7" t="s">
        <v>232</v>
      </c>
      <c r="E7" t="s">
        <v>234</v>
      </c>
      <c r="F7" s="89" cm="1">
        <f t="array" ref="F7">MAX(_xlfn.XLOOKUP(D7,Table5[Driver],'Race Results'!$E$3:$E$22),_xlfn.XLOOKUP(E7,Table5[Driver],'Race Results'!$E$3:$E$22)*0.5)</f>
        <v>12.5</v>
      </c>
    </row>
    <row r="8" spans="1:6" x14ac:dyDescent="0.3">
      <c r="A8" s="114">
        <v>45353.331909722219</v>
      </c>
      <c r="B8" t="s">
        <v>261</v>
      </c>
      <c r="C8" t="s">
        <v>102</v>
      </c>
      <c r="D8" t="s">
        <v>232</v>
      </c>
      <c r="E8" t="s">
        <v>234</v>
      </c>
      <c r="F8" s="89" cm="1">
        <f t="array" ref="F8">MAX(_xlfn.XLOOKUP(D8,Table5[Driver],'Race Results'!$E$3:$E$22),_xlfn.XLOOKUP(E8,Table5[Driver],'Race Results'!$E$3:$E$22)*0.5)</f>
        <v>12.5</v>
      </c>
    </row>
    <row r="9" spans="1:6" x14ac:dyDescent="0.3">
      <c r="A9" s="114">
        <v>45353.335706018515</v>
      </c>
      <c r="B9" t="s">
        <v>64</v>
      </c>
      <c r="C9" t="s">
        <v>102</v>
      </c>
      <c r="D9" t="s">
        <v>232</v>
      </c>
      <c r="E9" t="s">
        <v>235</v>
      </c>
      <c r="F9" s="89" cm="1">
        <f t="array" ref="F9">MAX(_xlfn.XLOOKUP(D9,Table5[Driver],'Race Results'!$E$3:$E$22),_xlfn.XLOOKUP(E9,Table5[Driver],'Race Results'!$E$3:$E$22)*0.5)</f>
        <v>3</v>
      </c>
    </row>
    <row r="10" spans="1:6" x14ac:dyDescent="0.3">
      <c r="A10" s="114">
        <v>45353.34584490741</v>
      </c>
      <c r="B10" t="s">
        <v>66</v>
      </c>
      <c r="C10" t="s">
        <v>102</v>
      </c>
      <c r="D10" t="s">
        <v>244</v>
      </c>
      <c r="E10" t="s">
        <v>232</v>
      </c>
      <c r="F10" s="89" cm="1">
        <f t="array" ref="F10">MAX(_xlfn.XLOOKUP(D10,Table5[Driver],'Race Results'!$E$3:$E$22),_xlfn.XLOOKUP(E10,Table5[Driver],'Race Results'!$E$3:$E$22)*0.5)</f>
        <v>1</v>
      </c>
    </row>
    <row r="11" spans="1:6" x14ac:dyDescent="0.3">
      <c r="A11" s="114">
        <v>45353.350300925929</v>
      </c>
      <c r="B11" t="s">
        <v>262</v>
      </c>
      <c r="C11" t="s">
        <v>102</v>
      </c>
      <c r="D11" t="s">
        <v>244</v>
      </c>
      <c r="E11" t="s">
        <v>249</v>
      </c>
      <c r="F11" s="89" cm="1">
        <f t="array" ref="F11">MAX(_xlfn.XLOOKUP(D11,Table5[Driver],'Race Results'!$E$3:$E$22),_xlfn.XLOOKUP(E11,Table5[Driver],'Race Results'!$E$3:$E$22)*0.5)</f>
        <v>6</v>
      </c>
    </row>
    <row r="12" spans="1:6" x14ac:dyDescent="0.3">
      <c r="A12" s="114">
        <v>45353.359699074077</v>
      </c>
      <c r="B12" t="s">
        <v>263</v>
      </c>
      <c r="C12" t="s">
        <v>102</v>
      </c>
      <c r="D12" t="s">
        <v>234</v>
      </c>
      <c r="E12" t="s">
        <v>257</v>
      </c>
      <c r="F12" s="89" cm="1">
        <f t="array" ref="F12">MAX(_xlfn.XLOOKUP(D12,Table5[Driver],'Race Results'!$E$3:$E$22),_xlfn.XLOOKUP(E12,Table5[Driver],'Race Results'!$E$3:$E$22)*0.5)</f>
        <v>25</v>
      </c>
    </row>
    <row r="13" spans="1:6" x14ac:dyDescent="0.3">
      <c r="A13" s="114">
        <v>45353.372534722221</v>
      </c>
      <c r="B13" t="s">
        <v>49</v>
      </c>
      <c r="C13" t="s">
        <v>102</v>
      </c>
      <c r="D13" t="s">
        <v>253</v>
      </c>
      <c r="E13" t="s">
        <v>232</v>
      </c>
      <c r="F13" s="89" cm="1">
        <f t="array" ref="F13">MAX(_xlfn.XLOOKUP(D13,Table5[Driver],'Race Results'!$E$3:$E$22),_xlfn.XLOOKUP(E13,Table5[Driver],'Race Results'!$E$3:$E$22)*0.5)</f>
        <v>18</v>
      </c>
    </row>
    <row r="14" spans="1:6" x14ac:dyDescent="0.3">
      <c r="A14" s="114">
        <v>45353.44290509259</v>
      </c>
      <c r="B14" t="s">
        <v>68</v>
      </c>
      <c r="C14" t="s">
        <v>102</v>
      </c>
      <c r="D14" t="s">
        <v>233</v>
      </c>
      <c r="E14" t="s">
        <v>249</v>
      </c>
      <c r="F14" s="89" cm="1">
        <f t="array" ref="F14">MAX(_xlfn.XLOOKUP(D14,Table5[Driver],'Race Results'!$E$3:$E$22),_xlfn.XLOOKUP(E14,Table5[Driver],'Race Results'!$E$3:$E$22)*0.5)</f>
        <v>6</v>
      </c>
    </row>
    <row r="15" spans="1:6" x14ac:dyDescent="0.3">
      <c r="A15" s="114">
        <v>45353.452372685184</v>
      </c>
      <c r="B15" t="s">
        <v>59</v>
      </c>
      <c r="C15" t="s">
        <v>102</v>
      </c>
      <c r="D15" t="s">
        <v>249</v>
      </c>
      <c r="E15" t="s">
        <v>232</v>
      </c>
      <c r="F15" s="89" cm="1">
        <f t="array" ref="F15">MAX(_xlfn.XLOOKUP(D15,Table5[Driver],'Race Results'!$E$3:$E$22),_xlfn.XLOOKUP(E15,Table5[Driver],'Race Results'!$E$3:$E$22)*0.5)</f>
        <v>12</v>
      </c>
    </row>
    <row r="16" spans="1:6" x14ac:dyDescent="0.3">
      <c r="A16" s="114">
        <v>45353.472291666665</v>
      </c>
      <c r="B16" t="s">
        <v>264</v>
      </c>
      <c r="C16" t="s">
        <v>102</v>
      </c>
      <c r="D16" t="s">
        <v>249</v>
      </c>
      <c r="E16" t="s">
        <v>235</v>
      </c>
      <c r="F16" s="89" cm="1">
        <f t="array" ref="F16">MAX(_xlfn.XLOOKUP(D16,Table5[Driver],'Race Results'!$E$3:$E$22),_xlfn.XLOOKUP(E16,Table5[Driver],'Race Results'!$E$3:$E$22)*0.5)</f>
        <v>12</v>
      </c>
    </row>
    <row r="17" spans="1:6" x14ac:dyDescent="0.3">
      <c r="A17" s="114">
        <v>45353.482442129629</v>
      </c>
      <c r="B17" t="s">
        <v>63</v>
      </c>
      <c r="C17" t="s">
        <v>102</v>
      </c>
      <c r="D17" t="s">
        <v>233</v>
      </c>
      <c r="E17" t="s">
        <v>247</v>
      </c>
      <c r="F17" s="89" cm="1">
        <f t="array" ref="F17">MAX(_xlfn.XLOOKUP(D17,Table5[Driver],'Race Results'!$E$3:$E$22),_xlfn.XLOOKUP(E17,Table5[Driver],'Race Results'!$E$3:$E$22)*0.5)</f>
        <v>0.5</v>
      </c>
    </row>
    <row r="18" spans="1:6" x14ac:dyDescent="0.3">
      <c r="A18" s="114">
        <v>45353.497824074075</v>
      </c>
      <c r="B18" t="s">
        <v>53</v>
      </c>
      <c r="C18" t="s">
        <v>102</v>
      </c>
      <c r="D18" t="s">
        <v>249</v>
      </c>
      <c r="E18" t="s">
        <v>234</v>
      </c>
      <c r="F18" s="89" cm="1">
        <f t="array" ref="F18">MAX(_xlfn.XLOOKUP(D18,Table5[Driver],'Race Results'!$E$3:$E$22),_xlfn.XLOOKUP(E18,Table5[Driver],'Race Results'!$E$3:$E$22)*0.5)</f>
        <v>12.5</v>
      </c>
    </row>
    <row r="19" spans="1:6" x14ac:dyDescent="0.3">
      <c r="A19" s="114">
        <v>45353.506053240744</v>
      </c>
      <c r="B19" t="s">
        <v>46</v>
      </c>
      <c r="C19" t="s">
        <v>102</v>
      </c>
      <c r="D19" t="s">
        <v>232</v>
      </c>
      <c r="E19" t="s">
        <v>233</v>
      </c>
      <c r="F19" s="89" cm="1">
        <f t="array" ref="F19">MAX(_xlfn.XLOOKUP(D19,Table5[Driver],'Race Results'!$E$3:$E$22),_xlfn.XLOOKUP(E19,Table5[Driver],'Race Results'!$E$3:$E$22)*0.5)</f>
        <v>2</v>
      </c>
    </row>
    <row r="20" spans="1:6" x14ac:dyDescent="0.3">
      <c r="A20" s="114">
        <v>45353.506655092591</v>
      </c>
      <c r="B20" t="s">
        <v>44</v>
      </c>
      <c r="C20" t="s">
        <v>102</v>
      </c>
      <c r="D20" t="s">
        <v>234</v>
      </c>
      <c r="E20" t="s">
        <v>235</v>
      </c>
      <c r="F20" s="89" cm="1">
        <f t="array" ref="F20">MAX(_xlfn.XLOOKUP(D20,Table5[Driver],'Race Results'!$E$3:$E$22),_xlfn.XLOOKUP(E20,Table5[Driver],'Race Results'!$E$3:$E$22)*0.5)</f>
        <v>25</v>
      </c>
    </row>
    <row r="21" spans="1:6" x14ac:dyDescent="0.3">
      <c r="A21" s="114">
        <v>45353.507418981484</v>
      </c>
      <c r="B21" t="s">
        <v>236</v>
      </c>
      <c r="C21" t="s">
        <v>102</v>
      </c>
      <c r="D21" t="s">
        <v>234</v>
      </c>
      <c r="E21" t="s">
        <v>237</v>
      </c>
      <c r="F21" s="89" cm="1">
        <f t="array" ref="F21">MAX(_xlfn.XLOOKUP(D21,Table5[Driver],'Race Results'!$E$3:$E$22),_xlfn.XLOOKUP(E21,Table5[Driver],'Race Results'!$E$3:$E$22)*0.5)</f>
        <v>25</v>
      </c>
    </row>
    <row r="22" spans="1:6" x14ac:dyDescent="0.3">
      <c r="A22" s="114">
        <v>45353.511979166666</v>
      </c>
      <c r="B22" t="s">
        <v>67</v>
      </c>
      <c r="C22" t="s">
        <v>102</v>
      </c>
      <c r="D22" t="s">
        <v>232</v>
      </c>
      <c r="E22" t="s">
        <v>233</v>
      </c>
      <c r="F22" s="89" cm="1">
        <f t="array" ref="F22">MAX(_xlfn.XLOOKUP(D22,Table5[Driver],'Race Results'!$E$3:$E$22),_xlfn.XLOOKUP(E22,Table5[Driver],'Race Results'!$E$3:$E$22)*0.5)</f>
        <v>2</v>
      </c>
    </row>
    <row r="23" spans="1:6" x14ac:dyDescent="0.3">
      <c r="A23" s="114">
        <v>45353.512175925927</v>
      </c>
      <c r="B23" t="s">
        <v>238</v>
      </c>
      <c r="C23" t="s">
        <v>102</v>
      </c>
      <c r="D23" t="s">
        <v>233</v>
      </c>
      <c r="E23" t="s">
        <v>235</v>
      </c>
      <c r="F23" s="89" cm="1">
        <f t="array" ref="F23">MAX(_xlfn.XLOOKUP(D23,Table5[Driver],'Race Results'!$E$3:$E$22),_xlfn.XLOOKUP(E23,Table5[Driver],'Race Results'!$E$3:$E$22)*0.5)</f>
        <v>3</v>
      </c>
    </row>
    <row r="24" spans="1:6" x14ac:dyDescent="0.3">
      <c r="A24" s="114">
        <v>45353.514814814815</v>
      </c>
      <c r="B24" t="s">
        <v>57</v>
      </c>
      <c r="C24" t="s">
        <v>102</v>
      </c>
      <c r="D24" t="s">
        <v>232</v>
      </c>
      <c r="E24" t="s">
        <v>234</v>
      </c>
      <c r="F24" s="89" cm="1">
        <f t="array" ref="F24">MAX(_xlfn.XLOOKUP(D24,Table5[Driver],'Race Results'!$E$3:$E$22),_xlfn.XLOOKUP(E24,Table5[Driver],'Race Results'!$E$3:$E$22)*0.5)</f>
        <v>12.5</v>
      </c>
    </row>
    <row r="25" spans="1:6" x14ac:dyDescent="0.3">
      <c r="A25" s="114">
        <v>45353.517569444448</v>
      </c>
      <c r="B25" t="s">
        <v>239</v>
      </c>
      <c r="C25" t="s">
        <v>102</v>
      </c>
      <c r="D25" t="s">
        <v>233</v>
      </c>
      <c r="E25" t="s">
        <v>240</v>
      </c>
      <c r="F25" s="89" cm="1">
        <f t="array" ref="F25">MAX(_xlfn.XLOOKUP(D25,Table5[Driver],'Race Results'!$E$3:$E$22),_xlfn.XLOOKUP(E25,Table5[Driver],'Race Results'!$E$3:$E$22)*0.5)</f>
        <v>0.5</v>
      </c>
    </row>
    <row r="26" spans="1:6" x14ac:dyDescent="0.3">
      <c r="A26" s="114">
        <v>45353.518680555557</v>
      </c>
      <c r="B26" t="s">
        <v>241</v>
      </c>
      <c r="C26" t="s">
        <v>102</v>
      </c>
      <c r="D26" t="s">
        <v>233</v>
      </c>
      <c r="E26" t="s">
        <v>234</v>
      </c>
      <c r="F26" s="89" cm="1">
        <f t="array" ref="F26">MAX(_xlfn.XLOOKUP(D26,Table5[Driver],'Race Results'!$E$3:$E$22),_xlfn.XLOOKUP(E26,Table5[Driver],'Race Results'!$E$3:$E$22)*0.5)</f>
        <v>12.5</v>
      </c>
    </row>
    <row r="27" spans="1:6" x14ac:dyDescent="0.3">
      <c r="A27" s="114">
        <v>45353.521481481483</v>
      </c>
      <c r="B27" t="s">
        <v>242</v>
      </c>
      <c r="C27" t="s">
        <v>102</v>
      </c>
      <c r="D27" t="s">
        <v>234</v>
      </c>
      <c r="E27" t="s">
        <v>235</v>
      </c>
      <c r="F27" s="89" cm="1">
        <f t="array" ref="F27">MAX(_xlfn.XLOOKUP(D27,Table5[Driver],'Race Results'!$E$3:$E$22),_xlfn.XLOOKUP(E27,Table5[Driver],'Race Results'!$E$3:$E$22)*0.5)</f>
        <v>25</v>
      </c>
    </row>
    <row r="28" spans="1:6" x14ac:dyDescent="0.3">
      <c r="A28" s="114">
        <v>45353.528831018521</v>
      </c>
      <c r="B28" t="s">
        <v>54</v>
      </c>
      <c r="C28" t="s">
        <v>102</v>
      </c>
      <c r="D28" t="s">
        <v>232</v>
      </c>
      <c r="E28" t="s">
        <v>234</v>
      </c>
      <c r="F28" s="89" cm="1">
        <f t="array" ref="F28">MAX(_xlfn.XLOOKUP(D28,Table5[Driver],'Race Results'!$E$3:$E$22),_xlfn.XLOOKUP(E28,Table5[Driver],'Race Results'!$E$3:$E$22)*0.5)</f>
        <v>12.5</v>
      </c>
    </row>
    <row r="29" spans="1:6" x14ac:dyDescent="0.3">
      <c r="A29" s="114">
        <v>45353.554768518516</v>
      </c>
      <c r="B29" t="s">
        <v>243</v>
      </c>
      <c r="C29" t="s">
        <v>102</v>
      </c>
      <c r="D29" t="s">
        <v>234</v>
      </c>
      <c r="E29" t="s">
        <v>233</v>
      </c>
      <c r="F29" s="89" cm="1">
        <f t="array" ref="F29">MAX(_xlfn.XLOOKUP(D29,Table5[Driver],'Race Results'!$E$3:$E$22),_xlfn.XLOOKUP(E29,Table5[Driver],'Race Results'!$E$3:$E$22)*0.5)</f>
        <v>25</v>
      </c>
    </row>
    <row r="30" spans="1:6" x14ac:dyDescent="0.3">
      <c r="A30" s="114">
        <v>45353.556770833333</v>
      </c>
      <c r="B30" t="s">
        <v>47</v>
      </c>
      <c r="C30" t="s">
        <v>102</v>
      </c>
      <c r="D30" t="s">
        <v>232</v>
      </c>
      <c r="E30" t="s">
        <v>244</v>
      </c>
      <c r="F30" s="89" cm="1">
        <f t="array" ref="F30">MAX(_xlfn.XLOOKUP(D30,Table5[Driver],'Race Results'!$E$3:$E$22),_xlfn.XLOOKUP(E30,Table5[Driver],'Race Results'!$E$3:$E$22)*0.5)</f>
        <v>2</v>
      </c>
    </row>
    <row r="31" spans="1:6" x14ac:dyDescent="0.3">
      <c r="A31" s="114">
        <v>45353.563900462963</v>
      </c>
      <c r="B31" t="s">
        <v>60</v>
      </c>
      <c r="C31" t="s">
        <v>102</v>
      </c>
      <c r="D31" t="s">
        <v>232</v>
      </c>
      <c r="E31" t="s">
        <v>235</v>
      </c>
      <c r="F31" s="89" cm="1">
        <f t="array" ref="F31">MAX(_xlfn.XLOOKUP(D31,Table5[Driver],'Race Results'!$E$3:$E$22),_xlfn.XLOOKUP(E31,Table5[Driver],'Race Results'!$E$3:$E$22)*0.5)</f>
        <v>3</v>
      </c>
    </row>
    <row r="32" spans="1:6" x14ac:dyDescent="0.3">
      <c r="A32" s="114">
        <v>45353.565254629626</v>
      </c>
      <c r="B32" t="s">
        <v>245</v>
      </c>
      <c r="C32" t="s">
        <v>102</v>
      </c>
      <c r="D32" t="s">
        <v>246</v>
      </c>
      <c r="E32" t="s">
        <v>247</v>
      </c>
      <c r="F32" s="89" cm="1">
        <f t="array" ref="F32">MAX(_xlfn.XLOOKUP(D32,Table5[Driver],'Race Results'!$E$3:$E$22),_xlfn.XLOOKUP(E32,Table5[Driver],'Race Results'!$E$3:$E$22)*0.5)</f>
        <v>10</v>
      </c>
    </row>
    <row r="33" spans="1:6" x14ac:dyDescent="0.3">
      <c r="A33" s="114">
        <v>45353.570509259262</v>
      </c>
      <c r="B33" t="s">
        <v>248</v>
      </c>
      <c r="C33" t="s">
        <v>102</v>
      </c>
      <c r="D33" t="s">
        <v>249</v>
      </c>
      <c r="E33" t="s">
        <v>246</v>
      </c>
      <c r="F33" s="89" cm="1">
        <f t="array" ref="F33">MAX(_xlfn.XLOOKUP(D33,Table5[Driver],'Race Results'!$E$3:$E$22),_xlfn.XLOOKUP(E33,Table5[Driver],'Race Results'!$E$3:$E$22)*0.5)</f>
        <v>12</v>
      </c>
    </row>
    <row r="34" spans="1:6" x14ac:dyDescent="0.3">
      <c r="A34" s="114">
        <v>45353.575752314813</v>
      </c>
      <c r="B34" t="s">
        <v>250</v>
      </c>
      <c r="C34" t="s">
        <v>102</v>
      </c>
      <c r="D34" t="s">
        <v>232</v>
      </c>
      <c r="E34" t="s">
        <v>235</v>
      </c>
      <c r="F34" s="89" cm="1">
        <f t="array" ref="F34">MAX(_xlfn.XLOOKUP(D34,Table5[Driver],'Race Results'!$E$3:$E$22),_xlfn.XLOOKUP(E34,Table5[Driver],'Race Results'!$E$3:$E$22)*0.5)</f>
        <v>3</v>
      </c>
    </row>
    <row r="35" spans="1:6" x14ac:dyDescent="0.3">
      <c r="A35" s="114">
        <v>45353.576631944445</v>
      </c>
      <c r="B35" t="s">
        <v>61</v>
      </c>
      <c r="C35" t="s">
        <v>102</v>
      </c>
      <c r="D35" t="s">
        <v>232</v>
      </c>
      <c r="E35" t="s">
        <v>234</v>
      </c>
      <c r="F35" s="89" cm="1">
        <f t="array" ref="F35">MAX(_xlfn.XLOOKUP(D35,Table5[Driver],'Race Results'!$E$3:$E$22),_xlfn.XLOOKUP(E35,Table5[Driver],'Race Results'!$E$3:$E$22)*0.5)</f>
        <v>12.5</v>
      </c>
    </row>
    <row r="36" spans="1:6" x14ac:dyDescent="0.3">
      <c r="A36" s="114">
        <v>45353.579097222224</v>
      </c>
      <c r="B36" t="s">
        <v>251</v>
      </c>
      <c r="C36" t="s">
        <v>102</v>
      </c>
      <c r="D36" t="s">
        <v>237</v>
      </c>
      <c r="E36" t="s">
        <v>235</v>
      </c>
      <c r="F36" s="89" cm="1">
        <f t="array" ref="F36">MAX(_xlfn.XLOOKUP(D36,Table5[Driver],'Race Results'!$E$3:$E$22),_xlfn.XLOOKUP(E36,Table5[Driver],'Race Results'!$E$3:$E$22)*0.5)</f>
        <v>3</v>
      </c>
    </row>
    <row r="37" spans="1:6" x14ac:dyDescent="0.3">
      <c r="A37" s="114">
        <v>45353.582800925928</v>
      </c>
      <c r="B37" t="s">
        <v>252</v>
      </c>
      <c r="C37" t="s">
        <v>102</v>
      </c>
      <c r="D37" t="s">
        <v>253</v>
      </c>
      <c r="E37" t="s">
        <v>235</v>
      </c>
      <c r="F37" s="89" cm="1">
        <f t="array" ref="F37">MAX(_xlfn.XLOOKUP(D37,Table5[Driver],'Race Results'!$E$3:$E$22),_xlfn.XLOOKUP(E37,Table5[Driver],'Race Results'!$E$3:$E$22)*0.5)</f>
        <v>18</v>
      </c>
    </row>
    <row r="38" spans="1:6" x14ac:dyDescent="0.3">
      <c r="A38" s="114">
        <v>45353.583368055559</v>
      </c>
      <c r="B38" t="s">
        <v>254</v>
      </c>
      <c r="C38" t="s">
        <v>102</v>
      </c>
      <c r="D38" t="s">
        <v>247</v>
      </c>
      <c r="E38" t="s">
        <v>255</v>
      </c>
      <c r="F38" s="89" cm="1">
        <f t="array" ref="F38">MAX(_xlfn.XLOOKUP(D38,Table5[Driver],'Race Results'!$E$3:$E$22),_xlfn.XLOOKUP(E38,Table5[Driver],'Race Results'!$E$3:$E$22)*0.5)</f>
        <v>2</v>
      </c>
    </row>
    <row r="39" spans="1:6" x14ac:dyDescent="0.3">
      <c r="A39" s="114">
        <v>45353.585520833331</v>
      </c>
      <c r="B39" t="s">
        <v>256</v>
      </c>
      <c r="C39" t="s">
        <v>102</v>
      </c>
      <c r="D39" t="s">
        <v>235</v>
      </c>
      <c r="E39" t="s">
        <v>233</v>
      </c>
      <c r="F39" s="89" cm="1">
        <f t="array" ref="F39">MAX(_xlfn.XLOOKUP(D39,Table5[Driver],'Race Results'!$E$3:$E$22),_xlfn.XLOOKUP(E39,Table5[Driver],'Race Results'!$E$3:$E$22)*0.5)</f>
        <v>6</v>
      </c>
    </row>
    <row r="40" spans="1:6" x14ac:dyDescent="0.3">
      <c r="A40" s="114">
        <v>45353.585706018515</v>
      </c>
      <c r="B40" t="s">
        <v>62</v>
      </c>
      <c r="C40" t="s">
        <v>102</v>
      </c>
      <c r="D40" t="s">
        <v>235</v>
      </c>
      <c r="E40" t="s">
        <v>253</v>
      </c>
      <c r="F40" s="89" cm="1">
        <f t="array" ref="F40">MAX(_xlfn.XLOOKUP(D40,Table5[Driver],'Race Results'!$E$3:$E$22),_xlfn.XLOOKUP(E40,Table5[Driver],'Race Results'!$E$3:$E$22)*0.5)</f>
        <v>9</v>
      </c>
    </row>
    <row r="41" spans="1:6" x14ac:dyDescent="0.3">
      <c r="A41" s="114">
        <v>45353.588495370372</v>
      </c>
      <c r="B41" t="s">
        <v>48</v>
      </c>
      <c r="C41" t="s">
        <v>102</v>
      </c>
      <c r="D41" t="s">
        <v>249</v>
      </c>
      <c r="E41" t="s">
        <v>233</v>
      </c>
      <c r="F41" s="89" cm="1">
        <f t="array" ref="F41">MAX(_xlfn.XLOOKUP(D41,Table5[Driver],'Race Results'!$E$3:$E$22),_xlfn.XLOOKUP(E41,Table5[Driver],'Race Results'!$E$3:$E$22)*0.5)</f>
        <v>12</v>
      </c>
    </row>
    <row r="42" spans="1:6" x14ac:dyDescent="0.3">
      <c r="A42" s="114">
        <v>45353.590243055558</v>
      </c>
      <c r="B42" t="s">
        <v>45</v>
      </c>
      <c r="C42" t="s">
        <v>102</v>
      </c>
      <c r="D42" t="s">
        <v>257</v>
      </c>
      <c r="E42" t="s">
        <v>235</v>
      </c>
      <c r="F42" s="89" cm="1">
        <f t="array" ref="F42">MAX(_xlfn.XLOOKUP(D42,Table5[Driver],'Race Results'!$E$3:$E$22),_xlfn.XLOOKUP(E42,Table5[Driver],'Race Results'!$E$3:$E$22)*0.5)</f>
        <v>8</v>
      </c>
    </row>
    <row r="43" spans="1:6" x14ac:dyDescent="0.3">
      <c r="A43" s="114">
        <v>45353.605208333334</v>
      </c>
      <c r="B43" t="s">
        <v>258</v>
      </c>
      <c r="C43" t="s">
        <v>102</v>
      </c>
      <c r="D43" t="s">
        <v>253</v>
      </c>
      <c r="E43" t="s">
        <v>240</v>
      </c>
      <c r="F43" s="89" cm="1">
        <f t="array" ref="F43">MAX(_xlfn.XLOOKUP(D43,Table5[Driver],'Race Results'!$E$3:$E$22),_xlfn.XLOOKUP(E43,Table5[Driver],'Race Results'!$E$3:$E$22)*0.5)</f>
        <v>18</v>
      </c>
    </row>
    <row r="44" spans="1:6" x14ac:dyDescent="0.3">
      <c r="A44" s="114">
        <v>45353.606099537035</v>
      </c>
      <c r="B44" t="s">
        <v>69</v>
      </c>
      <c r="C44" t="s">
        <v>102</v>
      </c>
      <c r="D44" t="s">
        <v>249</v>
      </c>
      <c r="E44" t="s">
        <v>247</v>
      </c>
      <c r="F44" s="89" cm="1">
        <f t="array" ref="F44">MAX(_xlfn.XLOOKUP(D44,Table5[Driver],'Race Results'!$E$3:$E$22),_xlfn.XLOOKUP(E44,Table5[Driver],'Race Results'!$E$3:$E$22)*0.5)</f>
        <v>12</v>
      </c>
    </row>
    <row r="45" spans="1:6" x14ac:dyDescent="0.3">
      <c r="A45" s="114">
        <v>45353.617303240739</v>
      </c>
      <c r="B45" t="s">
        <v>274</v>
      </c>
      <c r="C45" t="s">
        <v>102</v>
      </c>
      <c r="D45" t="s">
        <v>249</v>
      </c>
      <c r="E45" t="s">
        <v>240</v>
      </c>
      <c r="F45" s="89" cm="1">
        <f t="array" ref="F45">MAX(_xlfn.XLOOKUP(D45,Table5[Driver],'Race Results'!$E$3:$E$22),_xlfn.XLOOKUP(E45,Table5[Driver],'Race Results'!$E$3:$E$22)*0.5)</f>
        <v>12</v>
      </c>
    </row>
    <row r="46" spans="1:6" x14ac:dyDescent="0.3">
      <c r="A46" s="114">
        <v>45353.617881944447</v>
      </c>
      <c r="B46" t="s">
        <v>50</v>
      </c>
      <c r="C46" t="s">
        <v>102</v>
      </c>
      <c r="D46" t="s">
        <v>233</v>
      </c>
      <c r="E46" t="s">
        <v>235</v>
      </c>
      <c r="F46" s="89" cm="1">
        <f t="array" ref="F46">MAX(_xlfn.XLOOKUP(D46,Table5[Driver],'Race Results'!$E$3:$E$22),_xlfn.XLOOKUP(E46,Table5[Driver],'Race Results'!$E$3:$E$22)*0.5)</f>
        <v>3</v>
      </c>
    </row>
    <row r="47" spans="1:6" x14ac:dyDescent="0.3">
      <c r="F47" s="74"/>
    </row>
    <row r="48" spans="1:6" x14ac:dyDescent="0.3">
      <c r="F48" s="74"/>
    </row>
    <row r="49" spans="6:6" x14ac:dyDescent="0.3">
      <c r="F49" s="74"/>
    </row>
    <row r="50" spans="6:6" x14ac:dyDescent="0.3">
      <c r="F50" s="74"/>
    </row>
    <row r="51" spans="6:6" x14ac:dyDescent="0.3">
      <c r="F51" s="74"/>
    </row>
    <row r="52" spans="6:6" x14ac:dyDescent="0.3">
      <c r="F52" s="74"/>
    </row>
    <row r="53" spans="6:6" x14ac:dyDescent="0.3">
      <c r="F53" s="74"/>
    </row>
    <row r="54" spans="6:6" x14ac:dyDescent="0.3">
      <c r="F54" s="74"/>
    </row>
    <row r="55" spans="6:6" x14ac:dyDescent="0.3">
      <c r="F55" s="74"/>
    </row>
    <row r="56" spans="6:6" x14ac:dyDescent="0.3">
      <c r="F56" s="74"/>
    </row>
    <row r="57" spans="6:6" x14ac:dyDescent="0.3">
      <c r="F57" s="74"/>
    </row>
    <row r="58" spans="6:6" x14ac:dyDescent="0.3">
      <c r="F58" s="74"/>
    </row>
    <row r="59" spans="6:6" x14ac:dyDescent="0.3">
      <c r="F59" s="74"/>
    </row>
    <row r="60" spans="6:6" x14ac:dyDescent="0.3">
      <c r="F60" s="74"/>
    </row>
    <row r="61" spans="6:6" x14ac:dyDescent="0.3">
      <c r="F61" s="74"/>
    </row>
    <row r="62" spans="6:6" x14ac:dyDescent="0.3">
      <c r="F62" s="74"/>
    </row>
    <row r="63" spans="6:6" x14ac:dyDescent="0.3">
      <c r="F63" s="74"/>
    </row>
    <row r="64" spans="6:6" x14ac:dyDescent="0.3">
      <c r="F64" s="74"/>
    </row>
    <row r="65" spans="6:6" x14ac:dyDescent="0.3">
      <c r="F65" s="74"/>
    </row>
    <row r="66" spans="6:6" x14ac:dyDescent="0.3">
      <c r="F66" s="74"/>
    </row>
    <row r="67" spans="6:6" x14ac:dyDescent="0.3">
      <c r="F67" s="74"/>
    </row>
    <row r="68" spans="6:6" x14ac:dyDescent="0.3">
      <c r="F68" s="74"/>
    </row>
    <row r="69" spans="6:6" x14ac:dyDescent="0.3">
      <c r="F69" s="74"/>
    </row>
    <row r="70" spans="6:6" x14ac:dyDescent="0.3">
      <c r="F70" s="74"/>
    </row>
    <row r="71" spans="6:6" x14ac:dyDescent="0.3">
      <c r="F71" s="74"/>
    </row>
    <row r="72" spans="6:6" x14ac:dyDescent="0.3">
      <c r="F72" s="74"/>
    </row>
    <row r="73" spans="6:6" x14ac:dyDescent="0.3">
      <c r="F73" s="74"/>
    </row>
    <row r="74" spans="6:6" x14ac:dyDescent="0.3">
      <c r="F74" s="74"/>
    </row>
    <row r="75" spans="6:6" x14ac:dyDescent="0.3">
      <c r="F75" s="74"/>
    </row>
    <row r="76" spans="6:6" x14ac:dyDescent="0.3">
      <c r="F76" s="74"/>
    </row>
    <row r="77" spans="6:6" x14ac:dyDescent="0.3">
      <c r="F77" s="74"/>
    </row>
    <row r="78" spans="6:6" x14ac:dyDescent="0.3">
      <c r="F78" s="74"/>
    </row>
    <row r="79" spans="6:6" x14ac:dyDescent="0.3">
      <c r="F79" s="74"/>
    </row>
    <row r="80" spans="6:6" x14ac:dyDescent="0.3">
      <c r="F80" s="74"/>
    </row>
    <row r="81" spans="6:6" x14ac:dyDescent="0.3">
      <c r="F81" s="74"/>
    </row>
    <row r="82" spans="6:6" x14ac:dyDescent="0.3">
      <c r="F82" s="74"/>
    </row>
    <row r="83" spans="6:6" x14ac:dyDescent="0.3">
      <c r="F83" s="74"/>
    </row>
    <row r="84" spans="6:6" x14ac:dyDescent="0.3">
      <c r="F84" s="74"/>
    </row>
    <row r="85" spans="6:6" x14ac:dyDescent="0.3">
      <c r="F85" s="74"/>
    </row>
    <row r="86" spans="6:6" x14ac:dyDescent="0.3">
      <c r="F86" s="74"/>
    </row>
    <row r="87" spans="6:6" x14ac:dyDescent="0.3">
      <c r="F87" s="74"/>
    </row>
    <row r="88" spans="6:6" x14ac:dyDescent="0.3">
      <c r="F88" s="74"/>
    </row>
    <row r="89" spans="6:6" x14ac:dyDescent="0.3">
      <c r="F89" s="74"/>
    </row>
    <row r="90" spans="6:6" x14ac:dyDescent="0.3">
      <c r="F90" s="74"/>
    </row>
    <row r="91" spans="6:6" x14ac:dyDescent="0.3">
      <c r="F91" s="74"/>
    </row>
    <row r="92" spans="6:6" x14ac:dyDescent="0.3">
      <c r="F92" s="74"/>
    </row>
    <row r="93" spans="6:6" x14ac:dyDescent="0.3">
      <c r="F93" s="74"/>
    </row>
    <row r="94" spans="6:6" x14ac:dyDescent="0.3">
      <c r="F94" s="74"/>
    </row>
    <row r="95" spans="6:6" x14ac:dyDescent="0.3">
      <c r="F95" s="74"/>
    </row>
    <row r="96" spans="6:6" x14ac:dyDescent="0.3">
      <c r="F96" s="74"/>
    </row>
    <row r="97" spans="6:6" x14ac:dyDescent="0.3">
      <c r="F97" s="74"/>
    </row>
    <row r="98" spans="6:6" x14ac:dyDescent="0.3">
      <c r="F98" s="74"/>
    </row>
    <row r="99" spans="6:6" x14ac:dyDescent="0.3">
      <c r="F99" s="74"/>
    </row>
    <row r="100" spans="6:6" x14ac:dyDescent="0.3">
      <c r="F100" s="74"/>
    </row>
    <row r="101" spans="6:6" x14ac:dyDescent="0.3">
      <c r="F101" s="74"/>
    </row>
    <row r="102" spans="6:6" x14ac:dyDescent="0.3">
      <c r="F102" s="74"/>
    </row>
    <row r="103" spans="6:6" x14ac:dyDescent="0.3">
      <c r="F103" s="74"/>
    </row>
    <row r="104" spans="6:6" x14ac:dyDescent="0.3">
      <c r="F104" s="74"/>
    </row>
    <row r="105" spans="6:6" x14ac:dyDescent="0.3">
      <c r="F105" s="74"/>
    </row>
    <row r="106" spans="6:6" x14ac:dyDescent="0.3">
      <c r="F106" s="74"/>
    </row>
    <row r="107" spans="6:6" x14ac:dyDescent="0.3">
      <c r="F107" s="74"/>
    </row>
    <row r="108" spans="6:6" x14ac:dyDescent="0.3">
      <c r="F108" s="74"/>
    </row>
    <row r="109" spans="6:6" x14ac:dyDescent="0.3">
      <c r="F109" s="74"/>
    </row>
    <row r="110" spans="6:6" x14ac:dyDescent="0.3">
      <c r="F110" s="74"/>
    </row>
    <row r="111" spans="6:6" x14ac:dyDescent="0.3">
      <c r="F111" s="74"/>
    </row>
    <row r="112" spans="6:6" x14ac:dyDescent="0.3">
      <c r="F112" s="74"/>
    </row>
    <row r="113" spans="6:6" x14ac:dyDescent="0.3">
      <c r="F113" s="74"/>
    </row>
    <row r="114" spans="6:6" x14ac:dyDescent="0.3">
      <c r="F114" s="74"/>
    </row>
    <row r="115" spans="6:6" x14ac:dyDescent="0.3">
      <c r="F115" s="74"/>
    </row>
    <row r="116" spans="6:6" x14ac:dyDescent="0.3">
      <c r="F116" s="74"/>
    </row>
    <row r="117" spans="6:6" x14ac:dyDescent="0.3">
      <c r="F117" s="74"/>
    </row>
    <row r="118" spans="6:6" x14ac:dyDescent="0.3">
      <c r="F118" s="74"/>
    </row>
    <row r="119" spans="6:6" x14ac:dyDescent="0.3">
      <c r="F119" s="74"/>
    </row>
    <row r="120" spans="6:6" x14ac:dyDescent="0.3">
      <c r="F120" s="74"/>
    </row>
    <row r="121" spans="6:6" x14ac:dyDescent="0.3">
      <c r="F121" s="74"/>
    </row>
    <row r="122" spans="6:6" x14ac:dyDescent="0.3">
      <c r="F122" s="74"/>
    </row>
    <row r="123" spans="6:6" x14ac:dyDescent="0.3">
      <c r="F123" s="74"/>
    </row>
    <row r="124" spans="6:6" x14ac:dyDescent="0.3">
      <c r="F124" s="74"/>
    </row>
    <row r="125" spans="6:6" x14ac:dyDescent="0.3">
      <c r="F125" s="74"/>
    </row>
    <row r="126" spans="6:6" x14ac:dyDescent="0.3">
      <c r="F126" s="74"/>
    </row>
    <row r="127" spans="6:6" x14ac:dyDescent="0.3">
      <c r="F127" s="74"/>
    </row>
    <row r="128" spans="6:6" x14ac:dyDescent="0.3">
      <c r="F128" s="74"/>
    </row>
    <row r="129" spans="6:6" x14ac:dyDescent="0.3">
      <c r="F129" s="74"/>
    </row>
    <row r="130" spans="6:6" x14ac:dyDescent="0.3">
      <c r="F130" s="74"/>
    </row>
    <row r="131" spans="6:6" x14ac:dyDescent="0.3">
      <c r="F131" s="74"/>
    </row>
    <row r="132" spans="6:6" x14ac:dyDescent="0.3">
      <c r="F132" s="74"/>
    </row>
    <row r="133" spans="6:6" x14ac:dyDescent="0.3">
      <c r="F133" s="74"/>
    </row>
    <row r="134" spans="6:6" x14ac:dyDescent="0.3">
      <c r="F134" s="74"/>
    </row>
    <row r="135" spans="6:6" x14ac:dyDescent="0.3">
      <c r="F135" s="74"/>
    </row>
    <row r="136" spans="6:6" x14ac:dyDescent="0.3">
      <c r="F136" s="74"/>
    </row>
    <row r="137" spans="6:6" x14ac:dyDescent="0.3">
      <c r="F137" s="74"/>
    </row>
    <row r="138" spans="6:6" x14ac:dyDescent="0.3">
      <c r="F138" s="74"/>
    </row>
    <row r="139" spans="6:6" x14ac:dyDescent="0.3">
      <c r="F139" s="74"/>
    </row>
    <row r="140" spans="6:6" x14ac:dyDescent="0.3">
      <c r="F140" s="74"/>
    </row>
    <row r="141" spans="6:6" x14ac:dyDescent="0.3">
      <c r="F141" s="74"/>
    </row>
    <row r="142" spans="6:6" x14ac:dyDescent="0.3">
      <c r="F142" s="74"/>
    </row>
    <row r="143" spans="6:6" x14ac:dyDescent="0.3">
      <c r="F143" s="74"/>
    </row>
    <row r="144" spans="6:6" x14ac:dyDescent="0.3">
      <c r="F144" s="74"/>
    </row>
    <row r="145" spans="6:6" x14ac:dyDescent="0.3">
      <c r="F145" s="74"/>
    </row>
    <row r="146" spans="6:6" x14ac:dyDescent="0.3">
      <c r="F146" s="74"/>
    </row>
    <row r="147" spans="6:6" x14ac:dyDescent="0.3">
      <c r="F147" s="74"/>
    </row>
    <row r="148" spans="6:6" x14ac:dyDescent="0.3">
      <c r="F148" s="74"/>
    </row>
    <row r="149" spans="6:6" x14ac:dyDescent="0.3">
      <c r="F149" s="74"/>
    </row>
    <row r="150" spans="6:6" x14ac:dyDescent="0.3">
      <c r="F150" s="74"/>
    </row>
    <row r="151" spans="6:6" x14ac:dyDescent="0.3">
      <c r="F151" s="74"/>
    </row>
    <row r="152" spans="6:6" x14ac:dyDescent="0.3">
      <c r="F152" s="74"/>
    </row>
    <row r="153" spans="6:6" x14ac:dyDescent="0.3">
      <c r="F153" s="74"/>
    </row>
    <row r="154" spans="6:6" x14ac:dyDescent="0.3">
      <c r="F154" s="74"/>
    </row>
    <row r="155" spans="6:6" x14ac:dyDescent="0.3">
      <c r="F155" s="74"/>
    </row>
    <row r="156" spans="6:6" x14ac:dyDescent="0.3">
      <c r="F156" s="74"/>
    </row>
    <row r="157" spans="6:6" x14ac:dyDescent="0.3">
      <c r="F157" s="74"/>
    </row>
    <row r="158" spans="6:6" x14ac:dyDescent="0.3">
      <c r="F158" s="74"/>
    </row>
    <row r="159" spans="6:6" x14ac:dyDescent="0.3">
      <c r="F159" s="74"/>
    </row>
    <row r="160" spans="6:6" x14ac:dyDescent="0.3">
      <c r="F160" s="74"/>
    </row>
    <row r="161" spans="6:6" x14ac:dyDescent="0.3">
      <c r="F161" s="74"/>
    </row>
    <row r="162" spans="6:6" x14ac:dyDescent="0.3">
      <c r="F162" s="74"/>
    </row>
    <row r="163" spans="6:6" x14ac:dyDescent="0.3">
      <c r="F163" s="74"/>
    </row>
    <row r="164" spans="6:6" x14ac:dyDescent="0.3">
      <c r="F164" s="74"/>
    </row>
    <row r="165" spans="6:6" x14ac:dyDescent="0.3">
      <c r="F165" s="74"/>
    </row>
    <row r="166" spans="6:6" x14ac:dyDescent="0.3">
      <c r="F166" s="74"/>
    </row>
    <row r="167" spans="6:6" x14ac:dyDescent="0.3">
      <c r="F167" s="74"/>
    </row>
    <row r="168" spans="6:6" x14ac:dyDescent="0.3">
      <c r="F168" s="74"/>
    </row>
    <row r="169" spans="6:6" x14ac:dyDescent="0.3">
      <c r="F169" s="74"/>
    </row>
    <row r="170" spans="6:6" x14ac:dyDescent="0.3">
      <c r="F170" s="74"/>
    </row>
    <row r="171" spans="6:6" x14ac:dyDescent="0.3">
      <c r="F171" s="74"/>
    </row>
    <row r="172" spans="6:6" x14ac:dyDescent="0.3">
      <c r="F172" s="74"/>
    </row>
    <row r="173" spans="6:6" x14ac:dyDescent="0.3">
      <c r="F173" s="74"/>
    </row>
    <row r="174" spans="6:6" x14ac:dyDescent="0.3">
      <c r="F174" s="74"/>
    </row>
    <row r="175" spans="6:6" x14ac:dyDescent="0.3">
      <c r="F175" s="74"/>
    </row>
    <row r="176" spans="6:6" x14ac:dyDescent="0.3">
      <c r="F176" s="74"/>
    </row>
    <row r="177" spans="6:6" x14ac:dyDescent="0.3">
      <c r="F177" s="74"/>
    </row>
    <row r="178" spans="6:6" x14ac:dyDescent="0.3">
      <c r="F178" s="74"/>
    </row>
    <row r="179" spans="6:6" x14ac:dyDescent="0.3">
      <c r="F179" s="74"/>
    </row>
    <row r="180" spans="6:6" x14ac:dyDescent="0.3">
      <c r="F180" s="74"/>
    </row>
    <row r="181" spans="6:6" x14ac:dyDescent="0.3">
      <c r="F181" s="74"/>
    </row>
    <row r="182" spans="6:6" x14ac:dyDescent="0.3">
      <c r="F182" s="74"/>
    </row>
    <row r="183" spans="6:6" x14ac:dyDescent="0.3">
      <c r="F183" s="74"/>
    </row>
    <row r="184" spans="6:6" x14ac:dyDescent="0.3">
      <c r="F184" s="74"/>
    </row>
    <row r="185" spans="6:6" x14ac:dyDescent="0.3">
      <c r="F185" s="74"/>
    </row>
    <row r="186" spans="6:6" x14ac:dyDescent="0.3">
      <c r="F186" s="74"/>
    </row>
    <row r="187" spans="6:6" x14ac:dyDescent="0.3">
      <c r="F187" s="74"/>
    </row>
    <row r="188" spans="6:6" x14ac:dyDescent="0.3">
      <c r="F188" s="74"/>
    </row>
    <row r="189" spans="6:6" x14ac:dyDescent="0.3">
      <c r="F189" s="74"/>
    </row>
    <row r="190" spans="6:6" x14ac:dyDescent="0.3">
      <c r="F190" s="74"/>
    </row>
    <row r="191" spans="6:6" x14ac:dyDescent="0.3">
      <c r="F191" s="74"/>
    </row>
    <row r="192" spans="6:6" x14ac:dyDescent="0.3">
      <c r="F192" s="74"/>
    </row>
    <row r="193" spans="6:6" x14ac:dyDescent="0.3">
      <c r="F193" s="74"/>
    </row>
    <row r="194" spans="6:6" x14ac:dyDescent="0.3">
      <c r="F194" s="74"/>
    </row>
    <row r="195" spans="6:6" x14ac:dyDescent="0.3">
      <c r="F195" s="74"/>
    </row>
    <row r="196" spans="6:6" x14ac:dyDescent="0.3">
      <c r="F196" s="74"/>
    </row>
    <row r="197" spans="6:6" x14ac:dyDescent="0.3">
      <c r="F197" s="74"/>
    </row>
    <row r="198" spans="6:6" x14ac:dyDescent="0.3">
      <c r="F198" s="74"/>
    </row>
    <row r="199" spans="6:6" x14ac:dyDescent="0.3">
      <c r="F199" s="74"/>
    </row>
    <row r="200" spans="6:6" x14ac:dyDescent="0.3">
      <c r="F200" s="74"/>
    </row>
    <row r="201" spans="6:6" x14ac:dyDescent="0.3">
      <c r="F201" s="74"/>
    </row>
    <row r="202" spans="6:6" x14ac:dyDescent="0.3">
      <c r="F202" s="74"/>
    </row>
    <row r="203" spans="6:6" x14ac:dyDescent="0.3">
      <c r="F203" s="74"/>
    </row>
    <row r="204" spans="6:6" x14ac:dyDescent="0.3">
      <c r="F204" s="74"/>
    </row>
    <row r="205" spans="6:6" x14ac:dyDescent="0.3">
      <c r="F205" s="74"/>
    </row>
    <row r="206" spans="6:6" x14ac:dyDescent="0.3">
      <c r="F206" s="74"/>
    </row>
    <row r="207" spans="6:6" x14ac:dyDescent="0.3">
      <c r="F207" s="74"/>
    </row>
    <row r="208" spans="6:6" x14ac:dyDescent="0.3">
      <c r="F208" s="74"/>
    </row>
    <row r="209" spans="6:6" x14ac:dyDescent="0.3">
      <c r="F209" s="74"/>
    </row>
    <row r="210" spans="6:6" x14ac:dyDescent="0.3">
      <c r="F210" s="74"/>
    </row>
    <row r="211" spans="6:6" x14ac:dyDescent="0.3">
      <c r="F211" s="74"/>
    </row>
    <row r="212" spans="6:6" x14ac:dyDescent="0.3">
      <c r="F212" s="74"/>
    </row>
  </sheetData>
  <phoneticPr fontId="27" type="noConversion"/>
  <conditionalFormatting sqref="F1:F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{19384C0E-A943-49F2-9C8D-980D86482AEC}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9384C0E-A943-49F2-9C8D-980D86482A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0881E-0DCF-444C-9782-06F98384FB93}">
  <dimension ref="A1:F46"/>
  <sheetViews>
    <sheetView workbookViewId="0">
      <selection activeCell="H13" sqref="H13:H14"/>
    </sheetView>
  </sheetViews>
  <sheetFormatPr defaultRowHeight="14.4" x14ac:dyDescent="0.3"/>
  <sheetData>
    <row r="1" spans="1:6" x14ac:dyDescent="0.3">
      <c r="A1" t="s">
        <v>72</v>
      </c>
      <c r="B1" t="s">
        <v>275</v>
      </c>
      <c r="C1" t="s">
        <v>73</v>
      </c>
      <c r="D1" t="s">
        <v>276</v>
      </c>
      <c r="E1" t="s">
        <v>277</v>
      </c>
      <c r="F1" t="s">
        <v>74</v>
      </c>
    </row>
    <row r="2" spans="1:6" x14ac:dyDescent="0.3">
      <c r="A2">
        <v>45353.306469907409</v>
      </c>
      <c r="B2" t="s">
        <v>56</v>
      </c>
      <c r="C2" t="s">
        <v>102</v>
      </c>
      <c r="D2" t="s">
        <v>232</v>
      </c>
      <c r="E2" t="s">
        <v>234</v>
      </c>
      <c r="F2">
        <v>12.5</v>
      </c>
    </row>
    <row r="3" spans="1:6" x14ac:dyDescent="0.3">
      <c r="A3">
        <v>45353.307511574072</v>
      </c>
      <c r="B3" t="s">
        <v>52</v>
      </c>
      <c r="C3" t="s">
        <v>102</v>
      </c>
      <c r="D3" t="s">
        <v>235</v>
      </c>
      <c r="E3" t="s">
        <v>246</v>
      </c>
      <c r="F3">
        <v>6</v>
      </c>
    </row>
    <row r="4" spans="1:6" x14ac:dyDescent="0.3">
      <c r="A4">
        <v>45353.308738425927</v>
      </c>
      <c r="B4" t="s">
        <v>51</v>
      </c>
      <c r="C4" t="s">
        <v>102</v>
      </c>
      <c r="D4" t="s">
        <v>233</v>
      </c>
      <c r="E4" t="s">
        <v>232</v>
      </c>
      <c r="F4">
        <v>1</v>
      </c>
    </row>
    <row r="5" spans="1:6" x14ac:dyDescent="0.3">
      <c r="A5">
        <v>45353.314050925925</v>
      </c>
      <c r="B5" t="s">
        <v>259</v>
      </c>
      <c r="C5" t="s">
        <v>102</v>
      </c>
      <c r="D5" t="s">
        <v>233</v>
      </c>
      <c r="E5" t="s">
        <v>235</v>
      </c>
      <c r="F5">
        <v>3</v>
      </c>
    </row>
    <row r="6" spans="1:6" x14ac:dyDescent="0.3">
      <c r="A6">
        <v>45353.318391203706</v>
      </c>
      <c r="B6" t="s">
        <v>260</v>
      </c>
      <c r="C6" t="s">
        <v>102</v>
      </c>
      <c r="D6" t="s">
        <v>240</v>
      </c>
      <c r="E6" t="s">
        <v>234</v>
      </c>
      <c r="F6">
        <v>12.5</v>
      </c>
    </row>
    <row r="7" spans="1:6" x14ac:dyDescent="0.3">
      <c r="A7">
        <v>45353.32917824074</v>
      </c>
      <c r="B7" t="s">
        <v>55</v>
      </c>
      <c r="C7" t="s">
        <v>102</v>
      </c>
      <c r="D7" t="s">
        <v>232</v>
      </c>
      <c r="E7" t="s">
        <v>234</v>
      </c>
      <c r="F7">
        <v>12.5</v>
      </c>
    </row>
    <row r="8" spans="1:6" x14ac:dyDescent="0.3">
      <c r="A8">
        <v>45353.331909722219</v>
      </c>
      <c r="B8" t="s">
        <v>261</v>
      </c>
      <c r="C8" t="s">
        <v>102</v>
      </c>
      <c r="D8" t="s">
        <v>232</v>
      </c>
      <c r="E8" t="s">
        <v>234</v>
      </c>
      <c r="F8">
        <v>12.5</v>
      </c>
    </row>
    <row r="9" spans="1:6" x14ac:dyDescent="0.3">
      <c r="A9">
        <v>45353.335706018515</v>
      </c>
      <c r="B9" t="s">
        <v>64</v>
      </c>
      <c r="C9" t="s">
        <v>102</v>
      </c>
      <c r="D9" t="s">
        <v>232</v>
      </c>
      <c r="E9" t="s">
        <v>235</v>
      </c>
      <c r="F9">
        <v>3</v>
      </c>
    </row>
    <row r="10" spans="1:6" x14ac:dyDescent="0.3">
      <c r="A10">
        <v>45353.34584490741</v>
      </c>
      <c r="B10" t="s">
        <v>66</v>
      </c>
      <c r="C10" t="s">
        <v>102</v>
      </c>
      <c r="D10" t="s">
        <v>244</v>
      </c>
      <c r="E10" t="s">
        <v>232</v>
      </c>
      <c r="F10">
        <v>1</v>
      </c>
    </row>
    <row r="11" spans="1:6" x14ac:dyDescent="0.3">
      <c r="A11">
        <v>45353.350300925929</v>
      </c>
      <c r="B11" t="s">
        <v>262</v>
      </c>
      <c r="C11" t="s">
        <v>102</v>
      </c>
      <c r="D11" t="s">
        <v>244</v>
      </c>
      <c r="E11" t="s">
        <v>249</v>
      </c>
      <c r="F11">
        <v>6</v>
      </c>
    </row>
    <row r="12" spans="1:6" x14ac:dyDescent="0.3">
      <c r="A12">
        <v>45353.359699074077</v>
      </c>
      <c r="B12" t="s">
        <v>263</v>
      </c>
      <c r="C12" t="s">
        <v>102</v>
      </c>
      <c r="D12" t="s">
        <v>234</v>
      </c>
      <c r="E12" t="s">
        <v>257</v>
      </c>
      <c r="F12">
        <v>25</v>
      </c>
    </row>
    <row r="13" spans="1:6" x14ac:dyDescent="0.3">
      <c r="A13">
        <v>45353.372534722221</v>
      </c>
      <c r="B13" t="s">
        <v>49</v>
      </c>
      <c r="C13" t="s">
        <v>102</v>
      </c>
      <c r="D13" t="s">
        <v>253</v>
      </c>
      <c r="E13" t="s">
        <v>232</v>
      </c>
      <c r="F13">
        <v>18</v>
      </c>
    </row>
    <row r="14" spans="1:6" x14ac:dyDescent="0.3">
      <c r="A14">
        <v>45353.44290509259</v>
      </c>
      <c r="B14" t="s">
        <v>68</v>
      </c>
      <c r="C14" t="s">
        <v>102</v>
      </c>
      <c r="D14" t="s">
        <v>233</v>
      </c>
      <c r="E14" t="s">
        <v>249</v>
      </c>
      <c r="F14">
        <v>6</v>
      </c>
    </row>
    <row r="15" spans="1:6" x14ac:dyDescent="0.3">
      <c r="A15">
        <v>45353.452372685184</v>
      </c>
      <c r="B15" t="s">
        <v>59</v>
      </c>
      <c r="C15" t="s">
        <v>102</v>
      </c>
      <c r="D15" t="s">
        <v>249</v>
      </c>
      <c r="E15" t="s">
        <v>232</v>
      </c>
      <c r="F15">
        <v>12</v>
      </c>
    </row>
    <row r="16" spans="1:6" x14ac:dyDescent="0.3">
      <c r="A16">
        <v>45353.472291666665</v>
      </c>
      <c r="B16" t="s">
        <v>264</v>
      </c>
      <c r="C16" t="s">
        <v>102</v>
      </c>
      <c r="D16" t="s">
        <v>249</v>
      </c>
      <c r="E16" t="s">
        <v>235</v>
      </c>
      <c r="F16">
        <v>12</v>
      </c>
    </row>
    <row r="17" spans="1:6" x14ac:dyDescent="0.3">
      <c r="A17">
        <v>45353.482442129629</v>
      </c>
      <c r="B17" t="s">
        <v>63</v>
      </c>
      <c r="C17" t="s">
        <v>102</v>
      </c>
      <c r="D17" t="s">
        <v>233</v>
      </c>
      <c r="E17" t="s">
        <v>247</v>
      </c>
      <c r="F17">
        <v>0.5</v>
      </c>
    </row>
    <row r="18" spans="1:6" x14ac:dyDescent="0.3">
      <c r="A18">
        <v>45353.497824074075</v>
      </c>
      <c r="B18" t="s">
        <v>53</v>
      </c>
      <c r="C18" t="s">
        <v>102</v>
      </c>
      <c r="D18" t="s">
        <v>249</v>
      </c>
      <c r="E18" t="s">
        <v>234</v>
      </c>
      <c r="F18">
        <v>12.5</v>
      </c>
    </row>
    <row r="19" spans="1:6" x14ac:dyDescent="0.3">
      <c r="A19">
        <v>45353.506053240744</v>
      </c>
      <c r="B19" t="s">
        <v>46</v>
      </c>
      <c r="C19" t="s">
        <v>102</v>
      </c>
      <c r="D19" t="s">
        <v>232</v>
      </c>
      <c r="E19" t="s">
        <v>233</v>
      </c>
      <c r="F19">
        <v>2</v>
      </c>
    </row>
    <row r="20" spans="1:6" x14ac:dyDescent="0.3">
      <c r="A20">
        <v>45353.506655092591</v>
      </c>
      <c r="B20" t="s">
        <v>44</v>
      </c>
      <c r="C20" t="s">
        <v>102</v>
      </c>
      <c r="D20" t="s">
        <v>234</v>
      </c>
      <c r="E20" t="s">
        <v>235</v>
      </c>
      <c r="F20">
        <v>25</v>
      </c>
    </row>
    <row r="21" spans="1:6" x14ac:dyDescent="0.3">
      <c r="A21">
        <v>45353.507418981484</v>
      </c>
      <c r="B21" t="s">
        <v>236</v>
      </c>
      <c r="C21" t="s">
        <v>102</v>
      </c>
      <c r="D21" t="s">
        <v>234</v>
      </c>
      <c r="E21" t="s">
        <v>237</v>
      </c>
      <c r="F21">
        <v>25</v>
      </c>
    </row>
    <row r="22" spans="1:6" x14ac:dyDescent="0.3">
      <c r="A22">
        <v>45353.511979166666</v>
      </c>
      <c r="B22" t="s">
        <v>67</v>
      </c>
      <c r="C22" t="s">
        <v>102</v>
      </c>
      <c r="D22" t="s">
        <v>232</v>
      </c>
      <c r="E22" t="s">
        <v>233</v>
      </c>
      <c r="F22">
        <v>2</v>
      </c>
    </row>
    <row r="23" spans="1:6" x14ac:dyDescent="0.3">
      <c r="A23">
        <v>45353.512175925927</v>
      </c>
      <c r="B23" t="s">
        <v>238</v>
      </c>
      <c r="C23" t="s">
        <v>102</v>
      </c>
      <c r="D23" t="s">
        <v>233</v>
      </c>
      <c r="E23" t="s">
        <v>235</v>
      </c>
      <c r="F23">
        <v>3</v>
      </c>
    </row>
    <row r="24" spans="1:6" x14ac:dyDescent="0.3">
      <c r="A24">
        <v>45353.514814814815</v>
      </c>
      <c r="B24" t="s">
        <v>57</v>
      </c>
      <c r="C24" t="s">
        <v>102</v>
      </c>
      <c r="D24" t="s">
        <v>232</v>
      </c>
      <c r="E24" t="s">
        <v>234</v>
      </c>
      <c r="F24">
        <v>12.5</v>
      </c>
    </row>
    <row r="25" spans="1:6" x14ac:dyDescent="0.3">
      <c r="A25">
        <v>45353.517569444448</v>
      </c>
      <c r="B25" t="s">
        <v>239</v>
      </c>
      <c r="C25" t="s">
        <v>102</v>
      </c>
      <c r="D25" t="s">
        <v>233</v>
      </c>
      <c r="E25" t="s">
        <v>240</v>
      </c>
      <c r="F25">
        <v>0.5</v>
      </c>
    </row>
    <row r="26" spans="1:6" x14ac:dyDescent="0.3">
      <c r="A26">
        <v>45353.518680555557</v>
      </c>
      <c r="B26" t="s">
        <v>241</v>
      </c>
      <c r="C26" t="s">
        <v>102</v>
      </c>
      <c r="D26" t="s">
        <v>233</v>
      </c>
      <c r="E26" t="s">
        <v>234</v>
      </c>
      <c r="F26">
        <v>12.5</v>
      </c>
    </row>
    <row r="27" spans="1:6" x14ac:dyDescent="0.3">
      <c r="A27">
        <v>45353.521481481483</v>
      </c>
      <c r="B27" t="s">
        <v>242</v>
      </c>
      <c r="C27" t="s">
        <v>102</v>
      </c>
      <c r="D27" t="s">
        <v>234</v>
      </c>
      <c r="E27" t="s">
        <v>235</v>
      </c>
      <c r="F27">
        <v>25</v>
      </c>
    </row>
    <row r="28" spans="1:6" x14ac:dyDescent="0.3">
      <c r="A28">
        <v>45353.528831018521</v>
      </c>
      <c r="B28" t="s">
        <v>54</v>
      </c>
      <c r="C28" t="s">
        <v>102</v>
      </c>
      <c r="D28" t="s">
        <v>232</v>
      </c>
      <c r="E28" t="s">
        <v>234</v>
      </c>
      <c r="F28">
        <v>12.5</v>
      </c>
    </row>
    <row r="29" spans="1:6" x14ac:dyDescent="0.3">
      <c r="A29">
        <v>45353.554768518516</v>
      </c>
      <c r="B29" t="s">
        <v>243</v>
      </c>
      <c r="C29" t="s">
        <v>102</v>
      </c>
      <c r="D29" t="s">
        <v>234</v>
      </c>
      <c r="E29" t="s">
        <v>233</v>
      </c>
      <c r="F29">
        <v>25</v>
      </c>
    </row>
    <row r="30" spans="1:6" x14ac:dyDescent="0.3">
      <c r="A30">
        <v>45353.556770833333</v>
      </c>
      <c r="B30" t="s">
        <v>47</v>
      </c>
      <c r="C30" t="s">
        <v>102</v>
      </c>
      <c r="D30" t="s">
        <v>232</v>
      </c>
      <c r="E30" t="s">
        <v>244</v>
      </c>
      <c r="F30">
        <v>2</v>
      </c>
    </row>
    <row r="31" spans="1:6" x14ac:dyDescent="0.3">
      <c r="A31">
        <v>45353.563900462963</v>
      </c>
      <c r="B31" t="s">
        <v>60</v>
      </c>
      <c r="C31" t="s">
        <v>102</v>
      </c>
      <c r="D31" t="s">
        <v>232</v>
      </c>
      <c r="E31" t="s">
        <v>235</v>
      </c>
      <c r="F31">
        <v>3</v>
      </c>
    </row>
    <row r="32" spans="1:6" x14ac:dyDescent="0.3">
      <c r="A32">
        <v>45353.565254629626</v>
      </c>
      <c r="B32" t="s">
        <v>245</v>
      </c>
      <c r="C32" t="s">
        <v>102</v>
      </c>
      <c r="D32" t="s">
        <v>246</v>
      </c>
      <c r="E32" t="s">
        <v>247</v>
      </c>
      <c r="F32">
        <v>10</v>
      </c>
    </row>
    <row r="33" spans="1:6" x14ac:dyDescent="0.3">
      <c r="A33">
        <v>45353.570509259262</v>
      </c>
      <c r="B33" t="s">
        <v>248</v>
      </c>
      <c r="C33" t="s">
        <v>102</v>
      </c>
      <c r="D33" t="s">
        <v>249</v>
      </c>
      <c r="E33" t="s">
        <v>246</v>
      </c>
      <c r="F33">
        <v>12</v>
      </c>
    </row>
    <row r="34" spans="1:6" x14ac:dyDescent="0.3">
      <c r="A34">
        <v>45353.575752314813</v>
      </c>
      <c r="B34" t="s">
        <v>250</v>
      </c>
      <c r="C34" t="s">
        <v>102</v>
      </c>
      <c r="D34" t="s">
        <v>232</v>
      </c>
      <c r="E34" t="s">
        <v>235</v>
      </c>
      <c r="F34">
        <v>3</v>
      </c>
    </row>
    <row r="35" spans="1:6" x14ac:dyDescent="0.3">
      <c r="A35">
        <v>45353.576631944445</v>
      </c>
      <c r="B35" t="s">
        <v>61</v>
      </c>
      <c r="C35" t="s">
        <v>102</v>
      </c>
      <c r="D35" t="s">
        <v>232</v>
      </c>
      <c r="E35" t="s">
        <v>234</v>
      </c>
      <c r="F35">
        <v>12.5</v>
      </c>
    </row>
    <row r="36" spans="1:6" x14ac:dyDescent="0.3">
      <c r="A36">
        <v>45353.579097222224</v>
      </c>
      <c r="B36" t="s">
        <v>251</v>
      </c>
      <c r="C36" t="s">
        <v>102</v>
      </c>
      <c r="D36" t="s">
        <v>237</v>
      </c>
      <c r="E36" t="s">
        <v>235</v>
      </c>
      <c r="F36">
        <v>3</v>
      </c>
    </row>
    <row r="37" spans="1:6" x14ac:dyDescent="0.3">
      <c r="A37">
        <v>45353.582800925928</v>
      </c>
      <c r="B37" t="s">
        <v>252</v>
      </c>
      <c r="C37" t="s">
        <v>102</v>
      </c>
      <c r="D37" t="s">
        <v>253</v>
      </c>
      <c r="E37" t="s">
        <v>235</v>
      </c>
      <c r="F37">
        <v>18</v>
      </c>
    </row>
    <row r="38" spans="1:6" x14ac:dyDescent="0.3">
      <c r="A38">
        <v>45353.583368055559</v>
      </c>
      <c r="B38" t="s">
        <v>254</v>
      </c>
      <c r="C38" t="s">
        <v>102</v>
      </c>
      <c r="D38" t="s">
        <v>247</v>
      </c>
      <c r="E38" t="s">
        <v>255</v>
      </c>
      <c r="F38">
        <v>2</v>
      </c>
    </row>
    <row r="39" spans="1:6" x14ac:dyDescent="0.3">
      <c r="A39">
        <v>45353.585520833331</v>
      </c>
      <c r="B39" t="s">
        <v>256</v>
      </c>
      <c r="C39" t="s">
        <v>102</v>
      </c>
      <c r="D39" t="s">
        <v>235</v>
      </c>
      <c r="E39" t="s">
        <v>233</v>
      </c>
      <c r="F39">
        <v>6</v>
      </c>
    </row>
    <row r="40" spans="1:6" x14ac:dyDescent="0.3">
      <c r="A40">
        <v>45353.585706018515</v>
      </c>
      <c r="B40" t="s">
        <v>62</v>
      </c>
      <c r="C40" t="s">
        <v>102</v>
      </c>
      <c r="D40" t="s">
        <v>235</v>
      </c>
      <c r="E40" t="s">
        <v>253</v>
      </c>
      <c r="F40">
        <v>9</v>
      </c>
    </row>
    <row r="41" spans="1:6" x14ac:dyDescent="0.3">
      <c r="A41">
        <v>45353.588495370372</v>
      </c>
      <c r="B41" t="s">
        <v>48</v>
      </c>
      <c r="C41" t="s">
        <v>102</v>
      </c>
      <c r="D41" t="s">
        <v>249</v>
      </c>
      <c r="E41" t="s">
        <v>233</v>
      </c>
      <c r="F41">
        <v>12</v>
      </c>
    </row>
    <row r="42" spans="1:6" x14ac:dyDescent="0.3">
      <c r="A42">
        <v>45353.590243055558</v>
      </c>
      <c r="B42" t="s">
        <v>45</v>
      </c>
      <c r="C42" t="s">
        <v>102</v>
      </c>
      <c r="D42" t="s">
        <v>257</v>
      </c>
      <c r="E42" t="s">
        <v>235</v>
      </c>
      <c r="F42">
        <v>8</v>
      </c>
    </row>
    <row r="43" spans="1:6" x14ac:dyDescent="0.3">
      <c r="A43">
        <v>45353.605208333334</v>
      </c>
      <c r="B43" t="s">
        <v>258</v>
      </c>
      <c r="C43" t="s">
        <v>102</v>
      </c>
      <c r="D43" t="s">
        <v>253</v>
      </c>
      <c r="E43" t="s">
        <v>240</v>
      </c>
      <c r="F43">
        <v>18</v>
      </c>
    </row>
    <row r="44" spans="1:6" x14ac:dyDescent="0.3">
      <c r="A44">
        <v>45353.606099537035</v>
      </c>
      <c r="B44" t="s">
        <v>69</v>
      </c>
      <c r="C44" t="s">
        <v>102</v>
      </c>
      <c r="D44" t="s">
        <v>249</v>
      </c>
      <c r="E44" t="s">
        <v>247</v>
      </c>
      <c r="F44">
        <v>12</v>
      </c>
    </row>
    <row r="45" spans="1:6" x14ac:dyDescent="0.3">
      <c r="A45">
        <v>45353.617303240739</v>
      </c>
      <c r="B45" t="s">
        <v>274</v>
      </c>
      <c r="C45" t="s">
        <v>102</v>
      </c>
      <c r="D45" t="s">
        <v>249</v>
      </c>
      <c r="E45" t="s">
        <v>240</v>
      </c>
      <c r="F45">
        <v>12</v>
      </c>
    </row>
    <row r="46" spans="1:6" x14ac:dyDescent="0.3">
      <c r="A46">
        <v>45353.617881944447</v>
      </c>
      <c r="B46" t="s">
        <v>50</v>
      </c>
      <c r="C46" t="s">
        <v>102</v>
      </c>
      <c r="D46" t="s">
        <v>233</v>
      </c>
      <c r="E46" t="s">
        <v>235</v>
      </c>
      <c r="F46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87F0-B99E-4C81-B331-0B762B9A6115}">
  <sheetPr codeName="Sheet3"/>
  <dimension ref="A1:AK44"/>
  <sheetViews>
    <sheetView showGridLines="0" zoomScale="85" zoomScaleNormal="85" workbookViewId="0">
      <selection activeCell="B12" sqref="B12"/>
    </sheetView>
  </sheetViews>
  <sheetFormatPr defaultRowHeight="14.4" x14ac:dyDescent="0.3"/>
  <cols>
    <col min="1" max="1" width="6.6640625" bestFit="1" customWidth="1"/>
    <col min="2" max="2" width="26.6640625" bestFit="1" customWidth="1"/>
    <col min="3" max="3" width="8.33203125" bestFit="1" customWidth="1"/>
    <col min="4" max="4" width="11.109375" bestFit="1" customWidth="1"/>
    <col min="5" max="5" width="16.77734375" customWidth="1"/>
    <col min="6" max="6" width="3.21875" customWidth="1"/>
    <col min="7" max="7" width="29.77734375" style="50" bestFit="1" customWidth="1"/>
    <col min="8" max="8" width="10.6640625" style="50" customWidth="1"/>
    <col min="9" max="9" width="35" customWidth="1"/>
    <col min="10" max="11" width="10.6640625" style="5" customWidth="1"/>
    <col min="12" max="12" width="14.44140625" style="13" customWidth="1"/>
    <col min="13" max="13" width="3.21875" customWidth="1"/>
    <col min="14" max="14" width="10.44140625" bestFit="1" customWidth="1"/>
    <col min="15" max="15" width="30.5546875" style="4" customWidth="1"/>
    <col min="16" max="19" width="30.5546875" customWidth="1"/>
    <col min="20" max="20" width="30.5546875" hidden="1" customWidth="1"/>
    <col min="21" max="37" width="30.5546875" customWidth="1"/>
    <col min="38" max="40" width="29.5546875" customWidth="1"/>
  </cols>
  <sheetData>
    <row r="1" spans="1:37" s="80" customFormat="1" x14ac:dyDescent="0.3">
      <c r="A1" s="78" t="s">
        <v>94</v>
      </c>
      <c r="B1" s="79"/>
      <c r="C1" s="79"/>
      <c r="D1" s="79"/>
      <c r="G1" s="81" t="s">
        <v>95</v>
      </c>
      <c r="H1" s="50"/>
      <c r="J1" s="82"/>
      <c r="K1" s="82"/>
      <c r="L1" s="83"/>
      <c r="O1" s="84"/>
    </row>
    <row r="2" spans="1:37" ht="15" thickBot="1" x14ac:dyDescent="0.35">
      <c r="A2" s="26" t="s">
        <v>96</v>
      </c>
      <c r="B2" s="26" t="s">
        <v>97</v>
      </c>
      <c r="C2" s="26" t="s">
        <v>98</v>
      </c>
      <c r="D2" s="53" t="s">
        <v>99</v>
      </c>
      <c r="E2" s="60" t="s">
        <v>74</v>
      </c>
      <c r="F2" s="13"/>
      <c r="G2" s="54" t="s">
        <v>100</v>
      </c>
      <c r="H2" s="55" t="s">
        <v>101</v>
      </c>
      <c r="I2" s="55" t="s">
        <v>97</v>
      </c>
      <c r="J2" s="56" t="s">
        <v>98</v>
      </c>
      <c r="K2" s="56" t="s">
        <v>99</v>
      </c>
      <c r="L2" s="60" t="s">
        <v>74</v>
      </c>
      <c r="N2" s="4" t="s">
        <v>101</v>
      </c>
      <c r="O2" s="59" t="s">
        <v>102</v>
      </c>
      <c r="P2" s="28" t="s">
        <v>103</v>
      </c>
      <c r="Q2" s="28" t="s">
        <v>104</v>
      </c>
      <c r="R2" s="28" t="s">
        <v>105</v>
      </c>
      <c r="S2" s="28" t="s">
        <v>106</v>
      </c>
      <c r="T2" s="28" t="s">
        <v>107</v>
      </c>
      <c r="U2" s="28" t="s">
        <v>108</v>
      </c>
      <c r="V2" s="28" t="s">
        <v>109</v>
      </c>
      <c r="W2" s="28" t="s">
        <v>110</v>
      </c>
      <c r="X2" s="28" t="s">
        <v>194</v>
      </c>
      <c r="Y2" s="28" t="s">
        <v>111</v>
      </c>
      <c r="Z2" s="28" t="s">
        <v>32</v>
      </c>
      <c r="AA2" s="28" t="s">
        <v>33</v>
      </c>
      <c r="AB2" s="28" t="s">
        <v>34</v>
      </c>
      <c r="AC2" s="28" t="s">
        <v>35</v>
      </c>
      <c r="AD2" s="28" t="s">
        <v>36</v>
      </c>
      <c r="AE2" s="28" t="s">
        <v>37</v>
      </c>
      <c r="AF2" s="28" t="s">
        <v>38</v>
      </c>
      <c r="AG2" s="28" t="s">
        <v>39</v>
      </c>
      <c r="AH2" s="28" t="s">
        <v>40</v>
      </c>
      <c r="AI2" s="28" t="s">
        <v>41</v>
      </c>
      <c r="AJ2" s="28" t="s">
        <v>42</v>
      </c>
      <c r="AK2" s="29" t="s">
        <v>43</v>
      </c>
    </row>
    <row r="3" spans="1:37" ht="15" thickTop="1" x14ac:dyDescent="0.3">
      <c r="A3" s="112" t="s">
        <v>112</v>
      </c>
      <c r="B3" s="24" t="s">
        <v>113</v>
      </c>
      <c r="C3" s="24" t="s">
        <v>283</v>
      </c>
      <c r="D3" s="113" t="s">
        <v>114</v>
      </c>
      <c r="E3" s="61"/>
      <c r="F3" s="31"/>
      <c r="G3" s="57" t="str">
        <f>Table_0[[#This Row],[Driver]]</f>
        <v>Max VerstappenRed Bull</v>
      </c>
      <c r="H3" s="58">
        <f>IFERROR(VALUE(_xlfn.XLOOKUP(G3,Table_0[Driver],Table_0[Pos])),"R")</f>
        <v>1</v>
      </c>
      <c r="I3" s="51" t="str">
        <f>_xlfn.XLOOKUP(Table_0[[#This Row],[Driver]],DriverNameMapping!$A$2:$A$23,DriverNameMapping!$B$2:$B$23)</f>
        <v>Max Verstappen</v>
      </c>
      <c r="J3" s="52" t="str">
        <f>_xlfn.XLOOKUP(G3,Table_0[Driver],Table_0[Time])</f>
        <v>1:34.923</v>
      </c>
      <c r="K3" s="52" t="str">
        <f>_xlfn.XLOOKUP(G3,Table_0[Driver],Table_0[Stops])</f>
        <v>2</v>
      </c>
      <c r="L3" s="60" cm="1">
        <f t="array" ref="L3">_xlfn.XLOOKUP(H3,VALUE(Table_0[Pos]),$E$3:$E$22,0)</f>
        <v>0</v>
      </c>
      <c r="N3" s="4">
        <v>1</v>
      </c>
      <c r="O3" t="s">
        <v>83</v>
      </c>
      <c r="P3" t="s">
        <v>91</v>
      </c>
      <c r="Q3" t="s">
        <v>83</v>
      </c>
      <c r="R3" t="s">
        <v>91</v>
      </c>
      <c r="S3" t="s">
        <v>83</v>
      </c>
      <c r="U3" t="s">
        <v>83</v>
      </c>
      <c r="V3" t="s">
        <v>83</v>
      </c>
      <c r="W3" t="s">
        <v>83</v>
      </c>
      <c r="X3" t="s">
        <v>83</v>
      </c>
      <c r="Y3" t="s">
        <v>83</v>
      </c>
      <c r="Z3" t="s">
        <v>83</v>
      </c>
      <c r="AA3" t="s">
        <v>83</v>
      </c>
      <c r="AB3" t="s">
        <v>83</v>
      </c>
      <c r="AC3" t="s">
        <v>83</v>
      </c>
      <c r="AD3" t="s">
        <v>87</v>
      </c>
      <c r="AE3" t="s">
        <v>83</v>
      </c>
      <c r="AF3" t="s">
        <v>83</v>
      </c>
      <c r="AG3" t="s">
        <v>83</v>
      </c>
      <c r="AH3" t="s">
        <v>83</v>
      </c>
      <c r="AI3" t="s">
        <v>83</v>
      </c>
      <c r="AJ3" t="s">
        <v>83</v>
      </c>
      <c r="AK3" t="s">
        <v>83</v>
      </c>
    </row>
    <row r="4" spans="1:37" x14ac:dyDescent="0.3">
      <c r="A4" s="112" t="s">
        <v>114</v>
      </c>
      <c r="B4" s="24" t="s">
        <v>123</v>
      </c>
      <c r="C4" s="24" t="s">
        <v>284</v>
      </c>
      <c r="D4" s="113" t="s">
        <v>114</v>
      </c>
      <c r="E4" s="61"/>
      <c r="F4" s="31"/>
      <c r="G4" s="57" t="str">
        <f>Table_0[[#This Row],[Driver]]</f>
        <v>Sergio PerezRed Bull</v>
      </c>
      <c r="H4" s="58">
        <f>IFERROR(VALUE(_xlfn.XLOOKUP(G4,Table_0[Driver],Table_0[Pos])),"R")</f>
        <v>2</v>
      </c>
      <c r="I4" s="51" t="str">
        <f>_xlfn.XLOOKUP(Table_0[[#This Row],[Driver]],DriverNameMapping!$A$2:$A$23,DriverNameMapping!$B$2:$B$23)</f>
        <v>Sergio Perez</v>
      </c>
      <c r="J4" s="52" t="str">
        <f>_xlfn.XLOOKUP(G4,Table_0[Driver],Table_0[Time])</f>
        <v>+ 22.457</v>
      </c>
      <c r="K4" s="52" t="str">
        <f>_xlfn.XLOOKUP(G4,Table_0[Driver],Table_0[Stops])</f>
        <v>2</v>
      </c>
      <c r="L4" s="60" cm="1">
        <f t="array" ref="L4">_xlfn.XLOOKUP(H4,VALUE(Table_0[Pos]),$E$3:$E$22,0)</f>
        <v>0</v>
      </c>
      <c r="N4" s="4">
        <v>2</v>
      </c>
      <c r="O4" t="s">
        <v>91</v>
      </c>
      <c r="P4" t="s">
        <v>83</v>
      </c>
      <c r="Q4" t="s">
        <v>89</v>
      </c>
      <c r="R4" t="s">
        <v>83</v>
      </c>
      <c r="S4" t="s">
        <v>91</v>
      </c>
      <c r="U4" t="s">
        <v>88</v>
      </c>
      <c r="V4" t="s">
        <v>89</v>
      </c>
      <c r="W4" t="s">
        <v>88</v>
      </c>
      <c r="X4" t="s">
        <v>93</v>
      </c>
      <c r="Y4" t="s">
        <v>86</v>
      </c>
      <c r="Z4" t="s">
        <v>86</v>
      </c>
      <c r="AA4" t="s">
        <v>91</v>
      </c>
      <c r="AB4" t="s">
        <v>88</v>
      </c>
      <c r="AC4" t="s">
        <v>91</v>
      </c>
      <c r="AD4" t="s">
        <v>86</v>
      </c>
      <c r="AE4" t="s">
        <v>86</v>
      </c>
      <c r="AF4" t="s">
        <v>78</v>
      </c>
      <c r="AG4" t="s">
        <v>86</v>
      </c>
      <c r="AH4" t="s">
        <v>89</v>
      </c>
      <c r="AI4" t="s">
        <v>86</v>
      </c>
      <c r="AJ4" t="s">
        <v>93</v>
      </c>
      <c r="AK4" t="s">
        <v>93</v>
      </c>
    </row>
    <row r="5" spans="1:37" x14ac:dyDescent="0.3">
      <c r="A5" s="112" t="s">
        <v>116</v>
      </c>
      <c r="B5" s="24" t="s">
        <v>121</v>
      </c>
      <c r="C5" s="24" t="s">
        <v>285</v>
      </c>
      <c r="D5" s="113" t="s">
        <v>114</v>
      </c>
      <c r="E5" s="61"/>
      <c r="F5" s="31"/>
      <c r="G5" s="57" t="str">
        <f>Table_0[[#This Row],[Driver]]</f>
        <v>Carlos SainzFerrari</v>
      </c>
      <c r="H5" s="58">
        <f>IFERROR(VALUE(_xlfn.XLOOKUP(G5,Table_0[Driver],Table_0[Pos])),"R")</f>
        <v>3</v>
      </c>
      <c r="I5" s="51" t="str">
        <f>_xlfn.XLOOKUP(Table_0[[#This Row],[Driver]],DriverNameMapping!$A$2:$A$23,DriverNameMapping!$B$2:$B$23)</f>
        <v>Carlos Sainz</v>
      </c>
      <c r="J5" s="52" t="str">
        <f>_xlfn.XLOOKUP(G5,Table_0[Driver],Table_0[Time])</f>
        <v>+ 25.110</v>
      </c>
      <c r="K5" s="52" t="str">
        <f>_xlfn.XLOOKUP(G5,Table_0[Driver],Table_0[Stops])</f>
        <v>2</v>
      </c>
      <c r="L5" s="60" cm="1">
        <f t="array" ref="L5">_xlfn.XLOOKUP(H5,VALUE(Table_0[Pos]),$E$3:$E$22,0)</f>
        <v>0</v>
      </c>
      <c r="N5" s="4">
        <v>3</v>
      </c>
      <c r="O5" t="s">
        <v>88</v>
      </c>
      <c r="P5" t="s">
        <v>88</v>
      </c>
      <c r="Q5" t="s">
        <v>88</v>
      </c>
      <c r="R5" t="s">
        <v>93</v>
      </c>
      <c r="S5" t="s">
        <v>88</v>
      </c>
      <c r="U5" t="s">
        <v>77</v>
      </c>
      <c r="V5" t="s">
        <v>76</v>
      </c>
      <c r="W5" t="s">
        <v>89</v>
      </c>
      <c r="X5" t="s">
        <v>91</v>
      </c>
      <c r="Y5" t="s">
        <v>89</v>
      </c>
      <c r="Z5" t="s">
        <v>91</v>
      </c>
      <c r="AA5" t="s">
        <v>93</v>
      </c>
      <c r="AB5" t="s">
        <v>85</v>
      </c>
      <c r="AC5" t="s">
        <v>87</v>
      </c>
      <c r="AD5" t="s">
        <v>89</v>
      </c>
      <c r="AE5" t="s">
        <v>78</v>
      </c>
      <c r="AF5" t="s">
        <v>86</v>
      </c>
      <c r="AG5" t="s">
        <v>87</v>
      </c>
      <c r="AH5" t="s">
        <v>93</v>
      </c>
      <c r="AI5" t="s">
        <v>88</v>
      </c>
      <c r="AJ5" t="s">
        <v>91</v>
      </c>
      <c r="AK5" t="s">
        <v>76</v>
      </c>
    </row>
    <row r="6" spans="1:37" x14ac:dyDescent="0.3">
      <c r="A6" s="112" t="s">
        <v>118</v>
      </c>
      <c r="B6" s="24" t="s">
        <v>119</v>
      </c>
      <c r="C6" s="24" t="s">
        <v>286</v>
      </c>
      <c r="D6" s="113" t="s">
        <v>114</v>
      </c>
      <c r="E6" s="61"/>
      <c r="F6" s="31"/>
      <c r="G6" s="57" t="str">
        <f>Table_0[[#This Row],[Driver]]</f>
        <v>Charles LeclercFerrari</v>
      </c>
      <c r="H6" s="58">
        <f>IFERROR(VALUE(_xlfn.XLOOKUP(G6,Table_0[Driver],Table_0[Pos])),"R")</f>
        <v>4</v>
      </c>
      <c r="I6" s="51" t="str">
        <f>_xlfn.XLOOKUP(Table_0[[#This Row],[Driver]],DriverNameMapping!$A$2:$A$23,DriverNameMapping!$B$2:$B$23)</f>
        <v>Charles Leclerc</v>
      </c>
      <c r="J6" s="52" t="str">
        <f>_xlfn.XLOOKUP(G6,Table_0[Driver],Table_0[Time])</f>
        <v>+ 39.669</v>
      </c>
      <c r="K6" s="52" t="str">
        <f>_xlfn.XLOOKUP(G6,Table_0[Driver],Table_0[Stops])</f>
        <v>2</v>
      </c>
      <c r="L6" s="60" cm="1">
        <f t="array" ref="L6">_xlfn.XLOOKUP(H6,VALUE(Table_0[Pos]),$E$3:$E$22,0)</f>
        <v>0</v>
      </c>
      <c r="N6" s="4">
        <v>4</v>
      </c>
      <c r="O6" t="s">
        <v>87</v>
      </c>
      <c r="P6" t="s">
        <v>76</v>
      </c>
      <c r="Q6" t="s">
        <v>82</v>
      </c>
      <c r="R6" t="s">
        <v>88</v>
      </c>
      <c r="S6" t="s">
        <v>76</v>
      </c>
      <c r="U6" t="s">
        <v>89</v>
      </c>
      <c r="V6" t="s">
        <v>91</v>
      </c>
      <c r="W6" t="s">
        <v>93</v>
      </c>
      <c r="X6" t="s">
        <v>86</v>
      </c>
      <c r="Y6" t="s">
        <v>78</v>
      </c>
      <c r="Z6" t="s">
        <v>89</v>
      </c>
      <c r="AA6" t="s">
        <v>89</v>
      </c>
      <c r="AB6" t="s">
        <v>91</v>
      </c>
      <c r="AC6" t="s">
        <v>93</v>
      </c>
      <c r="AD6" t="s">
        <v>93</v>
      </c>
      <c r="AE6" t="s">
        <v>93</v>
      </c>
      <c r="AF6" t="s">
        <v>76</v>
      </c>
      <c r="AG6" t="s">
        <v>91</v>
      </c>
      <c r="AH6" t="s">
        <v>87</v>
      </c>
      <c r="AI6" t="s">
        <v>91</v>
      </c>
      <c r="AJ6" t="s">
        <v>77</v>
      </c>
      <c r="AK6" t="s">
        <v>91</v>
      </c>
    </row>
    <row r="7" spans="1:37" x14ac:dyDescent="0.3">
      <c r="A7" s="112" t="s">
        <v>120</v>
      </c>
      <c r="B7" s="24" t="s">
        <v>142</v>
      </c>
      <c r="C7" s="24" t="s">
        <v>287</v>
      </c>
      <c r="D7" s="113" t="s">
        <v>114</v>
      </c>
      <c r="E7" s="62">
        <v>1</v>
      </c>
      <c r="F7" s="32"/>
      <c r="G7" s="57" t="str">
        <f>Table_0[[#This Row],[Driver]]</f>
        <v>George RussellMercedes</v>
      </c>
      <c r="H7" s="58">
        <f>IFERROR(VALUE(_xlfn.XLOOKUP(G7,Table_0[Driver],Table_0[Pos])),"R")</f>
        <v>5</v>
      </c>
      <c r="I7" s="51" t="str">
        <f>_xlfn.XLOOKUP(Table_0[[#This Row],[Driver]],DriverNameMapping!$A$2:$A$23,DriverNameMapping!$B$2:$B$23)</f>
        <v>George Russell</v>
      </c>
      <c r="J7" s="52" t="str">
        <f>_xlfn.XLOOKUP(G7,Table_0[Driver],Table_0[Time])</f>
        <v>+ 46.788</v>
      </c>
      <c r="K7" s="52" t="str">
        <f>_xlfn.XLOOKUP(G7,Table_0[Driver],Table_0[Stops])</f>
        <v>2</v>
      </c>
      <c r="L7" s="60" cm="1">
        <f t="array" ref="L7">_xlfn.XLOOKUP(H7,VALUE(Table_0[Pos]),$E$3:$E$22,0)</f>
        <v>1</v>
      </c>
      <c r="N7" s="4">
        <v>5</v>
      </c>
      <c r="O7" t="s">
        <v>89</v>
      </c>
      <c r="P7" t="s">
        <v>89</v>
      </c>
      <c r="Q7" t="s">
        <v>91</v>
      </c>
      <c r="R7" t="s">
        <v>87</v>
      </c>
      <c r="S7" t="s">
        <v>87</v>
      </c>
      <c r="U7" t="s">
        <v>76</v>
      </c>
      <c r="V7" t="s">
        <v>87</v>
      </c>
      <c r="W7" t="s">
        <v>87</v>
      </c>
      <c r="X7" t="s">
        <v>88</v>
      </c>
      <c r="Y7" t="s">
        <v>76</v>
      </c>
      <c r="Z7" t="s">
        <v>78</v>
      </c>
      <c r="AA7" t="s">
        <v>88</v>
      </c>
      <c r="AB7" t="s">
        <v>87</v>
      </c>
      <c r="AC7" t="s">
        <v>76</v>
      </c>
      <c r="AD7" t="s">
        <v>83</v>
      </c>
      <c r="AE7" t="s">
        <v>89</v>
      </c>
      <c r="AF7" t="s">
        <v>93</v>
      </c>
      <c r="AG7" t="s">
        <v>76</v>
      </c>
      <c r="AH7" t="s">
        <v>86</v>
      </c>
      <c r="AI7" t="s">
        <v>82</v>
      </c>
      <c r="AJ7" t="s">
        <v>82</v>
      </c>
      <c r="AK7" t="s">
        <v>86</v>
      </c>
    </row>
    <row r="8" spans="1:37" x14ac:dyDescent="0.3">
      <c r="A8" s="112" t="s">
        <v>122</v>
      </c>
      <c r="B8" s="24" t="s">
        <v>137</v>
      </c>
      <c r="C8" s="24" t="s">
        <v>288</v>
      </c>
      <c r="D8" s="113" t="s">
        <v>114</v>
      </c>
      <c r="E8" s="62">
        <v>4</v>
      </c>
      <c r="F8" s="32"/>
      <c r="G8" s="57" t="str">
        <f>Table_0[[#This Row],[Driver]]</f>
        <v>Lando NorrisMcLaren</v>
      </c>
      <c r="H8" s="58">
        <f>IFERROR(VALUE(_xlfn.XLOOKUP(G8,Table_0[Driver],Table_0[Pos])),"R")</f>
        <v>6</v>
      </c>
      <c r="I8" s="51" t="str">
        <f>_xlfn.XLOOKUP(Table_0[[#This Row],[Driver]],DriverNameMapping!$A$2:$A$23,DriverNameMapping!$B$2:$B$23)</f>
        <v>Lando Norris</v>
      </c>
      <c r="J8" s="52" t="str">
        <f>_xlfn.XLOOKUP(G8,Table_0[Driver],Table_0[Time])</f>
        <v>+ 48.458</v>
      </c>
      <c r="K8" s="52" t="str">
        <f>_xlfn.XLOOKUP(G8,Table_0[Driver],Table_0[Stops])</f>
        <v>2</v>
      </c>
      <c r="L8" s="60" cm="1">
        <f t="array" ref="L8">_xlfn.XLOOKUP(H8,VALUE(Table_0[Pos]),$E$3:$E$22,0)</f>
        <v>4</v>
      </c>
      <c r="N8" s="4">
        <v>6</v>
      </c>
      <c r="O8" t="s">
        <v>82</v>
      </c>
      <c r="P8" t="s">
        <v>87</v>
      </c>
      <c r="Q8" t="s">
        <v>86</v>
      </c>
      <c r="R8" t="s">
        <v>89</v>
      </c>
      <c r="S8" t="s">
        <v>89</v>
      </c>
      <c r="U8" t="s">
        <v>93</v>
      </c>
      <c r="V8" t="s">
        <v>82</v>
      </c>
      <c r="W8" t="s">
        <v>91</v>
      </c>
      <c r="X8" t="s">
        <v>87</v>
      </c>
      <c r="Y8" t="s">
        <v>91</v>
      </c>
      <c r="Z8" t="s">
        <v>76</v>
      </c>
      <c r="AA8" t="s">
        <v>76</v>
      </c>
      <c r="AB8" t="s">
        <v>89</v>
      </c>
      <c r="AC8" t="s">
        <v>89</v>
      </c>
      <c r="AD8" t="s">
        <v>85</v>
      </c>
      <c r="AE8" t="s">
        <v>87</v>
      </c>
      <c r="AF8" t="s">
        <v>88</v>
      </c>
      <c r="AG8" t="s">
        <v>85</v>
      </c>
      <c r="AH8" t="s">
        <v>76</v>
      </c>
      <c r="AI8" t="s">
        <v>87</v>
      </c>
      <c r="AJ8" t="s">
        <v>87</v>
      </c>
      <c r="AK8" t="s">
        <v>78</v>
      </c>
    </row>
    <row r="9" spans="1:37" x14ac:dyDescent="0.3">
      <c r="A9" s="112" t="s">
        <v>124</v>
      </c>
      <c r="B9" s="24" t="s">
        <v>117</v>
      </c>
      <c r="C9" s="24" t="s">
        <v>289</v>
      </c>
      <c r="D9" s="113" t="s">
        <v>114</v>
      </c>
      <c r="E9" s="62">
        <v>8</v>
      </c>
      <c r="F9" s="32"/>
      <c r="G9" s="57" t="str">
        <f>Table_0[[#This Row],[Driver]]</f>
        <v>Lewis HamiltonMercedes</v>
      </c>
      <c r="H9" s="58">
        <f>IFERROR(VALUE(_xlfn.XLOOKUP(G9,Table_0[Driver],Table_0[Pos])),"R")</f>
        <v>7</v>
      </c>
      <c r="I9" s="51" t="str">
        <f>_xlfn.XLOOKUP(Table_0[[#This Row],[Driver]],DriverNameMapping!$A$2:$A$23,DriverNameMapping!$B$2:$B$23)</f>
        <v>Lewis Hamilton</v>
      </c>
      <c r="J9" s="52" t="str">
        <f>_xlfn.XLOOKUP(G9,Table_0[Driver],Table_0[Time])</f>
        <v>+ 50.324</v>
      </c>
      <c r="K9" s="52" t="str">
        <f>_xlfn.XLOOKUP(G9,Table_0[Driver],Table_0[Stops])</f>
        <v>2</v>
      </c>
      <c r="L9" s="60" cm="1">
        <f t="array" ref="L9">_xlfn.XLOOKUP(H9,VALUE(Table_0[Pos]),$E$3:$E$22,0)</f>
        <v>8</v>
      </c>
      <c r="N9" s="4">
        <v>7</v>
      </c>
      <c r="O9" t="s">
        <v>76</v>
      </c>
      <c r="P9" t="s">
        <v>93</v>
      </c>
      <c r="Q9" t="s">
        <v>79</v>
      </c>
      <c r="R9" t="s">
        <v>82</v>
      </c>
      <c r="S9" t="s">
        <v>93</v>
      </c>
      <c r="U9" t="s">
        <v>85</v>
      </c>
      <c r="V9" t="s">
        <v>88</v>
      </c>
      <c r="W9" t="s">
        <v>75</v>
      </c>
      <c r="X9" t="s">
        <v>76</v>
      </c>
      <c r="Y9" t="s">
        <v>88</v>
      </c>
      <c r="Z9" t="s">
        <v>93</v>
      </c>
      <c r="AA9" t="s">
        <v>86</v>
      </c>
      <c r="AB9" t="s">
        <v>86</v>
      </c>
      <c r="AC9" t="s">
        <v>75</v>
      </c>
      <c r="AD9" t="s">
        <v>78</v>
      </c>
      <c r="AE9" t="s">
        <v>76</v>
      </c>
      <c r="AF9" t="s">
        <v>77</v>
      </c>
      <c r="AG9" t="s">
        <v>82</v>
      </c>
      <c r="AH9" t="s">
        <v>209</v>
      </c>
      <c r="AI9" t="s">
        <v>85</v>
      </c>
      <c r="AJ9" t="s">
        <v>89</v>
      </c>
      <c r="AK9" t="s">
        <v>88</v>
      </c>
    </row>
    <row r="10" spans="1:37" x14ac:dyDescent="0.3">
      <c r="A10" s="112" t="s">
        <v>126</v>
      </c>
      <c r="B10" s="24" t="s">
        <v>132</v>
      </c>
      <c r="C10" s="24" t="s">
        <v>290</v>
      </c>
      <c r="D10" s="113" t="s">
        <v>114</v>
      </c>
      <c r="E10" s="62">
        <v>12</v>
      </c>
      <c r="F10" s="32"/>
      <c r="G10" s="57" t="str">
        <f>Table_0[[#This Row],[Driver]]</f>
        <v>Oscar PiastriMcLaren</v>
      </c>
      <c r="H10" s="58">
        <f>IFERROR(VALUE(_xlfn.XLOOKUP(G10,Table_0[Driver],Table_0[Pos])),"R")</f>
        <v>8</v>
      </c>
      <c r="I10" s="51" t="str">
        <f>_xlfn.XLOOKUP(Table_0[[#This Row],[Driver]],DriverNameMapping!$A$2:$A$23,DriverNameMapping!$B$2:$B$23)</f>
        <v>Oscar Piastri</v>
      </c>
      <c r="J10" s="52" t="str">
        <f>_xlfn.XLOOKUP(G10,Table_0[Driver],Table_0[Time])</f>
        <v>+ 56.082</v>
      </c>
      <c r="K10" s="52" t="str">
        <f>_xlfn.XLOOKUP(G10,Table_0[Driver],Table_0[Stops])</f>
        <v>2</v>
      </c>
      <c r="L10" s="60" cm="1">
        <f t="array" ref="L10">_xlfn.XLOOKUP(H10,VALUE(Table_0[Pos]),$E$3:$E$22,0)</f>
        <v>12</v>
      </c>
      <c r="N10" s="4">
        <v>8</v>
      </c>
      <c r="O10" t="s">
        <v>80</v>
      </c>
      <c r="P10" t="s">
        <v>77</v>
      </c>
      <c r="Q10" t="s">
        <v>78</v>
      </c>
      <c r="R10" t="s">
        <v>76</v>
      </c>
      <c r="S10" t="s">
        <v>85</v>
      </c>
      <c r="U10" t="s">
        <v>87</v>
      </c>
      <c r="V10" t="s">
        <v>77</v>
      </c>
      <c r="W10" t="s">
        <v>77</v>
      </c>
      <c r="X10" t="s">
        <v>89</v>
      </c>
      <c r="Y10" t="s">
        <v>75</v>
      </c>
      <c r="Z10" t="s">
        <v>87</v>
      </c>
      <c r="AA10" t="s">
        <v>77</v>
      </c>
      <c r="AB10" t="s">
        <v>75</v>
      </c>
      <c r="AC10" t="s">
        <v>86</v>
      </c>
      <c r="AD10" t="s">
        <v>91</v>
      </c>
      <c r="AE10" t="s">
        <v>88</v>
      </c>
      <c r="AF10" t="s">
        <v>80</v>
      </c>
      <c r="AG10" t="s">
        <v>218</v>
      </c>
      <c r="AH10" t="s">
        <v>78</v>
      </c>
      <c r="AI10" t="s">
        <v>89</v>
      </c>
      <c r="AJ10" t="s">
        <v>76</v>
      </c>
      <c r="AK10" t="s">
        <v>218</v>
      </c>
    </row>
    <row r="11" spans="1:37" x14ac:dyDescent="0.3">
      <c r="A11" s="112" t="s">
        <v>128</v>
      </c>
      <c r="B11" s="24" t="s">
        <v>115</v>
      </c>
      <c r="C11" s="24" t="s">
        <v>291</v>
      </c>
      <c r="D11" s="113" t="s">
        <v>114</v>
      </c>
      <c r="E11" s="62">
        <v>18</v>
      </c>
      <c r="F11" s="32"/>
      <c r="G11" s="57" t="str">
        <f>Table_0[[#This Row],[Driver]]</f>
        <v>Fernando AlonsoAston Martin</v>
      </c>
      <c r="H11" s="58">
        <f>IFERROR(VALUE(_xlfn.XLOOKUP(G11,Table_0[Driver],Table_0[Pos])),"R")</f>
        <v>9</v>
      </c>
      <c r="I11" s="51" t="str">
        <f>_xlfn.XLOOKUP(Table_0[[#This Row],[Driver]],DriverNameMapping!$A$2:$A$23,DriverNameMapping!$B$2:$B$23)</f>
        <v>Fernando Alonso</v>
      </c>
      <c r="J11" s="52" t="str">
        <f>_xlfn.XLOOKUP(G11,Table_0[Driver],Table_0[Time])</f>
        <v>+ 74.887</v>
      </c>
      <c r="K11" s="52" t="str">
        <f>_xlfn.XLOOKUP(G11,Table_0[Driver],Table_0[Stops])</f>
        <v>2</v>
      </c>
      <c r="L11" s="60" cm="1">
        <f t="array" ref="L11">_xlfn.XLOOKUP(H11,VALUE(Table_0[Pos]),$E$3:$E$22,0)</f>
        <v>18</v>
      </c>
      <c r="N11" s="4">
        <v>9</v>
      </c>
      <c r="O11" t="s">
        <v>85</v>
      </c>
      <c r="P11" t="s">
        <v>85</v>
      </c>
      <c r="Q11" t="s">
        <v>84</v>
      </c>
      <c r="R11" t="s">
        <v>86</v>
      </c>
      <c r="S11" t="s">
        <v>77</v>
      </c>
      <c r="U11" t="s">
        <v>86</v>
      </c>
      <c r="V11" t="s">
        <v>84</v>
      </c>
      <c r="W11" t="s">
        <v>82</v>
      </c>
      <c r="X11" t="s">
        <v>82</v>
      </c>
      <c r="Y11" t="s">
        <v>93</v>
      </c>
      <c r="Z11" t="s">
        <v>88</v>
      </c>
      <c r="AA11" t="s">
        <v>82</v>
      </c>
      <c r="AB11" t="s">
        <v>78</v>
      </c>
      <c r="AC11" t="s">
        <v>88</v>
      </c>
      <c r="AD11" t="s">
        <v>215</v>
      </c>
      <c r="AE11" t="s">
        <v>85</v>
      </c>
      <c r="AF11" t="s">
        <v>84</v>
      </c>
      <c r="AG11" t="s">
        <v>75</v>
      </c>
      <c r="AH11" t="s">
        <v>75</v>
      </c>
      <c r="AI11" t="s">
        <v>218</v>
      </c>
      <c r="AJ11" t="s">
        <v>88</v>
      </c>
      <c r="AK11" t="s">
        <v>89</v>
      </c>
    </row>
    <row r="12" spans="1:37" x14ac:dyDescent="0.3">
      <c r="A12" s="112" t="s">
        <v>130</v>
      </c>
      <c r="B12" s="24" t="s">
        <v>129</v>
      </c>
      <c r="C12" s="24" t="s">
        <v>292</v>
      </c>
      <c r="D12" s="113" t="s">
        <v>114</v>
      </c>
      <c r="E12" s="62">
        <v>25</v>
      </c>
      <c r="F12" s="32"/>
      <c r="G12" s="57" t="str">
        <f>Table_0[[#This Row],[Driver]]</f>
        <v>Lance StrollAston Martin</v>
      </c>
      <c r="H12" s="58">
        <f>IFERROR(VALUE(_xlfn.XLOOKUP(G12,Table_0[Driver],Table_0[Pos])),"R")</f>
        <v>10</v>
      </c>
      <c r="I12" s="51" t="str">
        <f>_xlfn.XLOOKUP(Table_0[[#This Row],[Driver]],DriverNameMapping!$A$2:$A$23,DriverNameMapping!$B$2:$B$23)</f>
        <v>Lance Stroll</v>
      </c>
      <c r="J12" s="52" t="str">
        <f>_xlfn.XLOOKUP(G12,Table_0[Driver],Table_0[Time])</f>
        <v>+ 93.216</v>
      </c>
      <c r="K12" s="52" t="str">
        <f>_xlfn.XLOOKUP(G12,Table_0[Driver],Table_0[Stops])</f>
        <v>2</v>
      </c>
      <c r="L12" s="60" cm="1">
        <f t="array" ref="L12">_xlfn.XLOOKUP(H12,VALUE(Table_0[Pos]),$E$3:$E$22,0)</f>
        <v>25</v>
      </c>
      <c r="N12" s="4">
        <v>10</v>
      </c>
      <c r="O12" t="s">
        <v>75</v>
      </c>
      <c r="P12" t="s">
        <v>90</v>
      </c>
      <c r="Q12" t="s">
        <v>81</v>
      </c>
      <c r="R12" t="s">
        <v>81</v>
      </c>
      <c r="S12" t="s">
        <v>90</v>
      </c>
      <c r="U12" t="s">
        <v>78</v>
      </c>
      <c r="V12" t="s">
        <v>85</v>
      </c>
      <c r="W12" t="s">
        <v>80</v>
      </c>
      <c r="X12" t="s">
        <v>85</v>
      </c>
      <c r="Y12" t="s">
        <v>87</v>
      </c>
      <c r="Z12" t="s">
        <v>82</v>
      </c>
      <c r="AA12" t="s">
        <v>81</v>
      </c>
      <c r="AB12" t="s">
        <v>77</v>
      </c>
      <c r="AC12" t="s">
        <v>80</v>
      </c>
      <c r="AD12" t="s">
        <v>90</v>
      </c>
      <c r="AE12" t="s">
        <v>77</v>
      </c>
      <c r="AF12" t="s">
        <v>91</v>
      </c>
      <c r="AG12" t="s">
        <v>135</v>
      </c>
      <c r="AH12" t="s">
        <v>77</v>
      </c>
      <c r="AI12" t="s">
        <v>77</v>
      </c>
      <c r="AJ12" t="s">
        <v>78</v>
      </c>
      <c r="AK12" t="s">
        <v>82</v>
      </c>
    </row>
    <row r="13" spans="1:37" x14ac:dyDescent="0.3">
      <c r="A13" s="112" t="s">
        <v>131</v>
      </c>
      <c r="B13" s="24" t="s">
        <v>278</v>
      </c>
      <c r="C13" s="24" t="s">
        <v>230</v>
      </c>
      <c r="D13" s="113" t="s">
        <v>114</v>
      </c>
      <c r="E13" s="62">
        <v>15</v>
      </c>
      <c r="F13" s="32"/>
      <c r="G13" s="57" t="str">
        <f>Table_0[[#This Row],[Driver]]</f>
        <v>Guanyu ZhouKick Sauber</v>
      </c>
      <c r="H13" s="58">
        <f>IFERROR(VALUE(_xlfn.XLOOKUP(G13,Table_0[Driver],Table_0[Pos])),"R")</f>
        <v>11</v>
      </c>
      <c r="I13" s="51" t="str">
        <f>_xlfn.XLOOKUP(Table_0[[#This Row],[Driver]],DriverNameMapping!$A$2:$A$23,DriverNameMapping!$B$2:$B$23)</f>
        <v>Guanyu Zhou</v>
      </c>
      <c r="J13" s="52" t="str">
        <f>_xlfn.XLOOKUP(G13,Table_0[Driver],Table_0[Time])</f>
        <v>+ 1 LAP</v>
      </c>
      <c r="K13" s="52" t="str">
        <f>_xlfn.XLOOKUP(G13,Table_0[Driver],Table_0[Stops])</f>
        <v>2</v>
      </c>
      <c r="L13" s="60" cm="1">
        <f t="array" ref="L13">_xlfn.XLOOKUP(H13,VALUE(Table_0[Pos]),$E$3:$E$22,0)</f>
        <v>15</v>
      </c>
      <c r="N13" s="4">
        <v>11</v>
      </c>
      <c r="O13" t="s">
        <v>81</v>
      </c>
      <c r="P13" t="s">
        <v>81</v>
      </c>
      <c r="Q13" t="s">
        <v>80</v>
      </c>
      <c r="R13" t="s">
        <v>78</v>
      </c>
      <c r="S13" t="s">
        <v>81</v>
      </c>
      <c r="U13" t="s">
        <v>80</v>
      </c>
      <c r="V13" t="s">
        <v>93</v>
      </c>
      <c r="W13" t="s">
        <v>78</v>
      </c>
      <c r="X13" t="s">
        <v>75</v>
      </c>
      <c r="Y13" t="s">
        <v>135</v>
      </c>
      <c r="Z13" t="s">
        <v>75</v>
      </c>
      <c r="AA13" t="s">
        <v>85</v>
      </c>
      <c r="AB13" t="s">
        <v>82</v>
      </c>
      <c r="AC13" t="s">
        <v>215</v>
      </c>
      <c r="AD13" t="s">
        <v>75</v>
      </c>
      <c r="AE13" t="s">
        <v>213</v>
      </c>
      <c r="AF13" t="s">
        <v>82</v>
      </c>
      <c r="AG13" t="s">
        <v>79</v>
      </c>
      <c r="AH13" t="s">
        <v>85</v>
      </c>
      <c r="AI13" t="s">
        <v>135</v>
      </c>
      <c r="AJ13" t="s">
        <v>85</v>
      </c>
      <c r="AK13" t="s">
        <v>209</v>
      </c>
    </row>
    <row r="14" spans="1:37" x14ac:dyDescent="0.3">
      <c r="A14" s="112" t="s">
        <v>133</v>
      </c>
      <c r="B14" s="24" t="s">
        <v>140</v>
      </c>
      <c r="C14" s="24" t="s">
        <v>230</v>
      </c>
      <c r="D14" s="113" t="s">
        <v>114</v>
      </c>
      <c r="E14" s="62">
        <v>10</v>
      </c>
      <c r="F14" s="32"/>
      <c r="G14" s="57" t="str">
        <f>Table_0[[#This Row],[Driver]]</f>
        <v>Kevin MagnussenHaas</v>
      </c>
      <c r="H14" s="58">
        <f>IFERROR(VALUE(_xlfn.XLOOKUP(G14,Table_0[Driver],Table_0[Pos])),"R")</f>
        <v>12</v>
      </c>
      <c r="I14" s="51" t="str">
        <f>_xlfn.XLOOKUP(Table_0[[#This Row],[Driver]],DriverNameMapping!$A$2:$A$23,DriverNameMapping!$B$2:$B$23)</f>
        <v>Kevin Magnussen</v>
      </c>
      <c r="J14" s="52" t="str">
        <f>_xlfn.XLOOKUP(G14,Table_0[Driver],Table_0[Time])</f>
        <v>+ 1 LAP</v>
      </c>
      <c r="K14" s="52" t="str">
        <f>_xlfn.XLOOKUP(G14,Table_0[Driver],Table_0[Stops])</f>
        <v>2</v>
      </c>
      <c r="L14" s="60" cm="1">
        <f t="array" ref="L14">_xlfn.XLOOKUP(H14,VALUE(Table_0[Pos]),$E$3:$E$22,0)</f>
        <v>10</v>
      </c>
      <c r="N14" s="4">
        <v>12</v>
      </c>
      <c r="O14" t="s">
        <v>135</v>
      </c>
      <c r="P14" t="s">
        <v>79</v>
      </c>
      <c r="Q14" t="s">
        <v>87</v>
      </c>
      <c r="R14" t="s">
        <v>75</v>
      </c>
      <c r="S14" t="s">
        <v>82</v>
      </c>
      <c r="U14" t="s">
        <v>92</v>
      </c>
      <c r="V14" t="s">
        <v>81</v>
      </c>
      <c r="W14" t="s">
        <v>85</v>
      </c>
      <c r="X14" t="s">
        <v>84</v>
      </c>
      <c r="Y14" t="s">
        <v>80</v>
      </c>
      <c r="Z14" t="s">
        <v>80</v>
      </c>
      <c r="AA14" t="s">
        <v>80</v>
      </c>
      <c r="AB14" t="s">
        <v>79</v>
      </c>
      <c r="AC14" t="s">
        <v>78</v>
      </c>
      <c r="AD14" t="s">
        <v>84</v>
      </c>
      <c r="AE14" t="s">
        <v>218</v>
      </c>
      <c r="AF14" t="s">
        <v>85</v>
      </c>
      <c r="AG14" t="s">
        <v>80</v>
      </c>
      <c r="AH14" t="s">
        <v>218</v>
      </c>
      <c r="AI14" t="s">
        <v>79</v>
      </c>
      <c r="AJ14" t="s">
        <v>75</v>
      </c>
      <c r="AK14" t="s">
        <v>77</v>
      </c>
    </row>
    <row r="15" spans="1:37" x14ac:dyDescent="0.3">
      <c r="A15" s="112" t="s">
        <v>136</v>
      </c>
      <c r="B15" s="24" t="s">
        <v>280</v>
      </c>
      <c r="C15" s="24" t="s">
        <v>230</v>
      </c>
      <c r="D15" s="113" t="s">
        <v>114</v>
      </c>
      <c r="E15" s="62">
        <v>6</v>
      </c>
      <c r="F15" s="32"/>
      <c r="G15" s="57" t="str">
        <f>Table_0[[#This Row],[Driver]]</f>
        <v>Daniel RicciardoTeam RB</v>
      </c>
      <c r="H15" s="58">
        <f>IFERROR(VALUE(_xlfn.XLOOKUP(G15,Table_0[Driver],Table_0[Pos])),"R")</f>
        <v>13</v>
      </c>
      <c r="I15" s="51" t="str">
        <f>_xlfn.XLOOKUP(Table_0[[#This Row],[Driver]],DriverNameMapping!$A$2:$A$23,DriverNameMapping!$B$2:$B$23)</f>
        <v>Daniel Ricciardo</v>
      </c>
      <c r="J15" s="52" t="str">
        <f>_xlfn.XLOOKUP(G15,Table_0[Driver],Table_0[Time])</f>
        <v>+ 1 LAP</v>
      </c>
      <c r="K15" s="52" t="str">
        <f>_xlfn.XLOOKUP(G15,Table_0[Driver],Table_0[Stops])</f>
        <v>2</v>
      </c>
      <c r="L15" s="60" cm="1">
        <f t="array" ref="L15">_xlfn.XLOOKUP(H15,VALUE(Table_0[Pos]),$E$3:$E$22,0)</f>
        <v>6</v>
      </c>
      <c r="N15" s="4">
        <v>13</v>
      </c>
      <c r="O15" t="s">
        <v>90</v>
      </c>
      <c r="P15" t="s">
        <v>84</v>
      </c>
      <c r="Q15" t="s">
        <v>92</v>
      </c>
      <c r="R15" t="s">
        <v>90</v>
      </c>
      <c r="S15" t="s">
        <v>80</v>
      </c>
      <c r="U15" t="s">
        <v>84</v>
      </c>
      <c r="V15" t="s">
        <v>78</v>
      </c>
      <c r="W15" t="s">
        <v>86</v>
      </c>
      <c r="X15" t="s">
        <v>135</v>
      </c>
      <c r="Y15" t="s">
        <v>79</v>
      </c>
      <c r="Z15" t="s">
        <v>209</v>
      </c>
      <c r="AA15" t="s">
        <v>84</v>
      </c>
      <c r="AB15" t="s">
        <v>213</v>
      </c>
      <c r="AC15" t="s">
        <v>135</v>
      </c>
      <c r="AD15" t="s">
        <v>79</v>
      </c>
      <c r="AE15" t="s">
        <v>84</v>
      </c>
      <c r="AF15" t="s">
        <v>75</v>
      </c>
      <c r="AG15" t="s">
        <v>84</v>
      </c>
      <c r="AH15" t="s">
        <v>79</v>
      </c>
      <c r="AI15" t="s">
        <v>209</v>
      </c>
      <c r="AJ15" t="s">
        <v>90</v>
      </c>
      <c r="AK15" t="s">
        <v>85</v>
      </c>
    </row>
    <row r="16" spans="1:37" x14ac:dyDescent="0.3">
      <c r="A16" s="112" t="s">
        <v>138</v>
      </c>
      <c r="B16" s="24" t="s">
        <v>279</v>
      </c>
      <c r="C16" s="24" t="s">
        <v>230</v>
      </c>
      <c r="D16" s="113" t="s">
        <v>114</v>
      </c>
      <c r="E16" s="62">
        <v>2</v>
      </c>
      <c r="F16" s="32"/>
      <c r="G16" s="57" t="str">
        <f>Table_0[[#This Row],[Driver]]</f>
        <v>Yuki TsunodaTeam RB</v>
      </c>
      <c r="H16" s="58">
        <f>IFERROR(VALUE(_xlfn.XLOOKUP(G16,Table_0[Driver],Table_0[Pos])),"R")</f>
        <v>14</v>
      </c>
      <c r="I16" s="51" t="str">
        <f>_xlfn.XLOOKUP(Table_0[[#This Row],[Driver]],DriverNameMapping!$A$2:$A$23,DriverNameMapping!$B$2:$B$23)</f>
        <v>Yuki Tsunoda</v>
      </c>
      <c r="J16" s="52" t="str">
        <f>_xlfn.XLOOKUP(G16,Table_0[Driver],Table_0[Time])</f>
        <v>+ 1 LAP</v>
      </c>
      <c r="K16" s="52" t="str">
        <f>_xlfn.XLOOKUP(G16,Table_0[Driver],Table_0[Stops])</f>
        <v>2</v>
      </c>
      <c r="L16" s="60" cm="1">
        <f t="array" ref="L16">_xlfn.XLOOKUP(H16,VALUE(Table_0[Pos]),$E$3:$E$22,0)</f>
        <v>2</v>
      </c>
      <c r="N16" s="4">
        <v>14</v>
      </c>
      <c r="O16" t="s">
        <v>92</v>
      </c>
      <c r="P16" t="s">
        <v>92</v>
      </c>
      <c r="Q16" t="s">
        <v>85</v>
      </c>
      <c r="R16" t="s">
        <v>85</v>
      </c>
      <c r="S16" t="s">
        <v>75</v>
      </c>
      <c r="U16" t="s">
        <v>75</v>
      </c>
      <c r="V16" t="s">
        <v>92</v>
      </c>
      <c r="W16" t="s">
        <v>81</v>
      </c>
      <c r="X16" t="s">
        <v>77</v>
      </c>
      <c r="Y16" t="s">
        <v>82</v>
      </c>
      <c r="Z16" t="s">
        <v>79</v>
      </c>
      <c r="AA16" t="s">
        <v>75</v>
      </c>
      <c r="AB16" t="s">
        <v>90</v>
      </c>
      <c r="AC16" t="s">
        <v>84</v>
      </c>
      <c r="AD16" t="s">
        <v>135</v>
      </c>
      <c r="AE16" t="s">
        <v>79</v>
      </c>
      <c r="AF16" t="s">
        <v>90</v>
      </c>
      <c r="AG16" t="s">
        <v>90</v>
      </c>
      <c r="AH16" t="s">
        <v>84</v>
      </c>
      <c r="AI16" t="s">
        <v>78</v>
      </c>
      <c r="AJ16" t="s">
        <v>209</v>
      </c>
      <c r="AK16" t="s">
        <v>75</v>
      </c>
    </row>
    <row r="17" spans="1:37" x14ac:dyDescent="0.3">
      <c r="A17" s="112" t="s">
        <v>226</v>
      </c>
      <c r="B17" s="24" t="s">
        <v>125</v>
      </c>
      <c r="C17" s="24" t="s">
        <v>230</v>
      </c>
      <c r="D17" s="113" t="s">
        <v>114</v>
      </c>
      <c r="E17" s="62">
        <v>0.5</v>
      </c>
      <c r="F17" s="32"/>
      <c r="G17" s="57" t="str">
        <f>Table_0[[#This Row],[Driver]]</f>
        <v>Alex AlbonWilliams</v>
      </c>
      <c r="H17" s="58">
        <f>IFERROR(VALUE(_xlfn.XLOOKUP(G17,Table_0[Driver],Table_0[Pos])),"R")</f>
        <v>15</v>
      </c>
      <c r="I17" s="51" t="str">
        <f>_xlfn.XLOOKUP(Table_0[[#This Row],[Driver]],DriverNameMapping!$A$2:$A$23,DriverNameMapping!$B$2:$B$23)</f>
        <v>Alex Albon</v>
      </c>
      <c r="J17" s="52" t="str">
        <f>_xlfn.XLOOKUP(G17,Table_0[Driver],Table_0[Time])</f>
        <v>+ 1 LAP</v>
      </c>
      <c r="K17" s="52" t="str">
        <f>_xlfn.XLOOKUP(G17,Table_0[Driver],Table_0[Stops])</f>
        <v>2</v>
      </c>
      <c r="L17" s="60" cm="1">
        <f t="array" ref="L17">_xlfn.XLOOKUP(H17,VALUE(Table_0[Pos]),$E$3:$E$22,0)</f>
        <v>0.5</v>
      </c>
      <c r="N17" s="4">
        <v>15</v>
      </c>
      <c r="O17" t="s">
        <v>79</v>
      </c>
      <c r="P17" t="s">
        <v>78</v>
      </c>
      <c r="Q17" t="s">
        <v>77</v>
      </c>
      <c r="R17" t="s">
        <v>77</v>
      </c>
      <c r="S17" t="s">
        <v>79</v>
      </c>
      <c r="U17" t="s">
        <v>81</v>
      </c>
      <c r="V17" t="s">
        <v>79</v>
      </c>
      <c r="W17" t="s">
        <v>79</v>
      </c>
      <c r="X17" t="s">
        <v>80</v>
      </c>
      <c r="Y17" t="s">
        <v>84</v>
      </c>
      <c r="Z17" t="s">
        <v>81</v>
      </c>
      <c r="AA17" t="s">
        <v>90</v>
      </c>
      <c r="AB17" t="s">
        <v>80</v>
      </c>
      <c r="AC17" t="s">
        <v>85</v>
      </c>
      <c r="AD17" t="s">
        <v>88</v>
      </c>
      <c r="AE17" t="s">
        <v>90</v>
      </c>
      <c r="AF17" t="s">
        <v>218</v>
      </c>
      <c r="AG17" t="s">
        <v>209</v>
      </c>
      <c r="AH17" t="s">
        <v>135</v>
      </c>
      <c r="AI17" t="s">
        <v>93</v>
      </c>
      <c r="AJ17" t="s">
        <v>84</v>
      </c>
      <c r="AK17" t="s">
        <v>79</v>
      </c>
    </row>
    <row r="18" spans="1:37" x14ac:dyDescent="0.3">
      <c r="A18" s="112" t="s">
        <v>227</v>
      </c>
      <c r="B18" s="24" t="s">
        <v>139</v>
      </c>
      <c r="C18" s="24" t="s">
        <v>230</v>
      </c>
      <c r="D18" s="113" t="s">
        <v>116</v>
      </c>
      <c r="E18" s="61"/>
      <c r="F18" s="31"/>
      <c r="G18" s="57" t="str">
        <f>Table_0[[#This Row],[Driver]]</f>
        <v>Nico HulkenbergHaas</v>
      </c>
      <c r="H18" s="58">
        <f>IFERROR(VALUE(_xlfn.XLOOKUP(G18,Table_0[Driver],Table_0[Pos])),"R")</f>
        <v>16</v>
      </c>
      <c r="I18" s="51" t="str">
        <f>_xlfn.XLOOKUP(Table_0[[#This Row],[Driver]],DriverNameMapping!$A$2:$A$23,DriverNameMapping!$B$2:$B$23)</f>
        <v>Nico Hulkenberg</v>
      </c>
      <c r="J18" s="52" t="str">
        <f>_xlfn.XLOOKUP(G18,Table_0[Driver],Table_0[Time])</f>
        <v>+ 1 LAP</v>
      </c>
      <c r="K18" s="52" t="str">
        <f>_xlfn.XLOOKUP(G18,Table_0[Driver],Table_0[Stops])</f>
        <v>3</v>
      </c>
      <c r="L18" s="60" cm="1">
        <f t="array" ref="L18">_xlfn.XLOOKUP(H18,VALUE(Table_0[Pos]),$E$3:$E$22,0)</f>
        <v>0</v>
      </c>
      <c r="N18" s="4">
        <v>16</v>
      </c>
      <c r="O18" t="s">
        <v>84</v>
      </c>
      <c r="P18" t="s">
        <v>135</v>
      </c>
      <c r="Q18" t="s">
        <v>93</v>
      </c>
      <c r="R18" t="s">
        <v>135</v>
      </c>
      <c r="S18" t="s">
        <v>84</v>
      </c>
      <c r="U18" t="s">
        <v>79</v>
      </c>
      <c r="V18" t="s">
        <v>75</v>
      </c>
      <c r="W18" t="s">
        <v>84</v>
      </c>
      <c r="X18" t="s">
        <v>78</v>
      </c>
      <c r="Y18" t="s">
        <v>81</v>
      </c>
      <c r="Z18" t="s">
        <v>84</v>
      </c>
      <c r="AA18" t="s">
        <v>209</v>
      </c>
      <c r="AB18" t="s">
        <v>81</v>
      </c>
      <c r="AC18" t="s">
        <v>82</v>
      </c>
      <c r="AD18" t="s">
        <v>76</v>
      </c>
      <c r="AE18" t="s">
        <v>75</v>
      </c>
      <c r="AF18" t="s">
        <v>79</v>
      </c>
      <c r="AG18" t="s">
        <v>93</v>
      </c>
      <c r="AH18" t="s">
        <v>80</v>
      </c>
      <c r="AI18" t="s">
        <v>90</v>
      </c>
      <c r="AJ18" t="s">
        <v>135</v>
      </c>
      <c r="AK18" t="s">
        <v>135</v>
      </c>
    </row>
    <row r="19" spans="1:37" x14ac:dyDescent="0.3">
      <c r="A19" s="112" t="s">
        <v>228</v>
      </c>
      <c r="B19" s="24" t="s">
        <v>127</v>
      </c>
      <c r="C19" s="24" t="s">
        <v>230</v>
      </c>
      <c r="D19" s="113" t="s">
        <v>114</v>
      </c>
      <c r="E19" s="61"/>
      <c r="F19" s="31"/>
      <c r="G19" s="57" t="str">
        <f>Table_0[[#This Row],[Driver]]</f>
        <v>Esteban OconAlpine</v>
      </c>
      <c r="H19" s="58">
        <f>IFERROR(VALUE(_xlfn.XLOOKUP(G19,Table_0[Driver],Table_0[Pos])),"R")</f>
        <v>17</v>
      </c>
      <c r="I19" s="51" t="str">
        <f>_xlfn.XLOOKUP(Table_0[[#This Row],[Driver]],DriverNameMapping!$A$2:$A$23,DriverNameMapping!$B$2:$B$23)</f>
        <v>Esteban Ocon</v>
      </c>
      <c r="J19" s="52" t="str">
        <f>_xlfn.XLOOKUP(G19,Table_0[Driver],Table_0[Time])</f>
        <v>+ 1 LAP</v>
      </c>
      <c r="K19" s="52" t="str">
        <f>_xlfn.XLOOKUP(G19,Table_0[Driver],Table_0[Stops])</f>
        <v>2</v>
      </c>
      <c r="L19" s="60" cm="1">
        <f t="array" ref="L19">_xlfn.XLOOKUP(H19,VALUE(Table_0[Pos]),$E$3:$E$22,0)</f>
        <v>0</v>
      </c>
      <c r="N19" s="4">
        <v>17</v>
      </c>
      <c r="O19" t="s">
        <v>86</v>
      </c>
      <c r="P19" t="s">
        <v>86</v>
      </c>
      <c r="Q19" t="s">
        <v>90</v>
      </c>
      <c r="R19" t="s">
        <v>79</v>
      </c>
      <c r="S19" t="s">
        <v>86</v>
      </c>
      <c r="U19" t="s">
        <v>91</v>
      </c>
      <c r="V19" t="s">
        <v>86</v>
      </c>
      <c r="W19" t="s">
        <v>90</v>
      </c>
      <c r="X19" t="s">
        <v>92</v>
      </c>
      <c r="Y19" t="s">
        <v>92</v>
      </c>
      <c r="Z19" t="s">
        <v>90</v>
      </c>
      <c r="AA19" t="s">
        <v>79</v>
      </c>
      <c r="AB19" t="s">
        <v>76</v>
      </c>
      <c r="AC19" t="s">
        <v>79</v>
      </c>
      <c r="AD19" t="s">
        <v>80</v>
      </c>
      <c r="AE19" t="s">
        <v>80</v>
      </c>
      <c r="AF19" t="s">
        <v>213</v>
      </c>
      <c r="AG19" t="s">
        <v>89</v>
      </c>
      <c r="AH19" t="s">
        <v>82</v>
      </c>
      <c r="AI19" t="s">
        <v>75</v>
      </c>
      <c r="AJ19" t="s">
        <v>80</v>
      </c>
      <c r="AK19" t="s">
        <v>84</v>
      </c>
    </row>
    <row r="20" spans="1:37" x14ac:dyDescent="0.3">
      <c r="A20" s="112" t="s">
        <v>282</v>
      </c>
      <c r="B20" s="24" t="s">
        <v>134</v>
      </c>
      <c r="C20" s="24" t="s">
        <v>230</v>
      </c>
      <c r="D20" s="113" t="s">
        <v>116</v>
      </c>
      <c r="E20" s="61"/>
      <c r="F20" s="31"/>
      <c r="G20" s="57" t="str">
        <f>Table_0[[#This Row],[Driver]]</f>
        <v>Pierre GaslyAlpine</v>
      </c>
      <c r="H20" s="58">
        <f>IFERROR(VALUE(_xlfn.XLOOKUP(G20,Table_0[Driver],Table_0[Pos])),"R")</f>
        <v>18</v>
      </c>
      <c r="I20" s="51" t="str">
        <f>_xlfn.XLOOKUP(Table_0[[#This Row],[Driver]],DriverNameMapping!$A$2:$A$23,DriverNameMapping!$B$2:$B$23)</f>
        <v>Pierre Gasly</v>
      </c>
      <c r="J20" s="52" t="str">
        <f>_xlfn.XLOOKUP(G20,Table_0[Driver],Table_0[Time])</f>
        <v>+ 1 LAP</v>
      </c>
      <c r="K20" s="52" t="str">
        <f>_xlfn.XLOOKUP(G20,Table_0[Driver],Table_0[Stops])</f>
        <v>3</v>
      </c>
      <c r="L20" s="60" cm="1">
        <f t="array" ref="L20">_xlfn.XLOOKUP(H20,VALUE(Table_0[Pos]),$E$3:$E$22,0)</f>
        <v>0</v>
      </c>
      <c r="N20" s="4">
        <v>18</v>
      </c>
      <c r="O20" t="s">
        <v>77</v>
      </c>
      <c r="P20" t="s">
        <v>80</v>
      </c>
      <c r="Q20" t="s">
        <v>76</v>
      </c>
      <c r="R20" t="s">
        <v>80</v>
      </c>
      <c r="S20" t="s">
        <v>92</v>
      </c>
      <c r="U20" t="s">
        <v>135</v>
      </c>
      <c r="V20" t="s">
        <v>90</v>
      </c>
      <c r="W20" t="s">
        <v>92</v>
      </c>
      <c r="X20" t="s">
        <v>90</v>
      </c>
      <c r="Y20" t="s">
        <v>85</v>
      </c>
      <c r="Z20" t="s">
        <v>77</v>
      </c>
      <c r="AA20" t="s">
        <v>135</v>
      </c>
      <c r="AB20" t="s">
        <v>93</v>
      </c>
      <c r="AC20" t="s">
        <v>90</v>
      </c>
      <c r="AD20" t="s">
        <v>77</v>
      </c>
      <c r="AE20" t="s">
        <v>82</v>
      </c>
      <c r="AF20" t="s">
        <v>89</v>
      </c>
      <c r="AG20" t="s">
        <v>77</v>
      </c>
      <c r="AH20" t="s">
        <v>88</v>
      </c>
      <c r="AI20" t="s">
        <v>80</v>
      </c>
      <c r="AJ20" t="s">
        <v>218</v>
      </c>
      <c r="AK20" t="s">
        <v>80</v>
      </c>
    </row>
    <row r="21" spans="1:37" x14ac:dyDescent="0.3">
      <c r="A21" s="112" t="s">
        <v>223</v>
      </c>
      <c r="B21" s="24" t="s">
        <v>281</v>
      </c>
      <c r="C21" s="24" t="s">
        <v>230</v>
      </c>
      <c r="D21" s="113" t="s">
        <v>114</v>
      </c>
      <c r="E21" s="61"/>
      <c r="F21" s="31"/>
      <c r="G21" s="57" t="str">
        <f>Table_0[[#This Row],[Driver]]</f>
        <v>Valtteri BottasKick Sauber</v>
      </c>
      <c r="H21" s="58">
        <f>IFERROR(VALUE(_xlfn.XLOOKUP(G21,Table_0[Driver],Table_0[Pos])),"R")</f>
        <v>19</v>
      </c>
      <c r="I21" s="51" t="str">
        <f>_xlfn.XLOOKUP(Table_0[[#This Row],[Driver]],DriverNameMapping!$A$2:$A$23,DriverNameMapping!$B$2:$B$23)</f>
        <v>Valtteri Bottas</v>
      </c>
      <c r="J21" s="52" t="str">
        <f>_xlfn.XLOOKUP(G21,Table_0[Driver],Table_0[Time])</f>
        <v>+ 1 LAP</v>
      </c>
      <c r="K21" s="52" t="str">
        <f>_xlfn.XLOOKUP(G21,Table_0[Driver],Table_0[Stops])</f>
        <v>2</v>
      </c>
      <c r="L21" s="60" cm="1">
        <f t="array" ref="L21">_xlfn.XLOOKUP(H21,VALUE(Table_0[Pos]),$E$3:$E$22,0)</f>
        <v>0</v>
      </c>
      <c r="N21" s="4">
        <v>19</v>
      </c>
      <c r="O21" t="s">
        <v>93</v>
      </c>
      <c r="P21" t="s">
        <v>75</v>
      </c>
      <c r="Q21" t="s">
        <v>75</v>
      </c>
      <c r="R21" t="s">
        <v>84</v>
      </c>
      <c r="S21" t="s">
        <v>78</v>
      </c>
      <c r="U21" t="s">
        <v>82</v>
      </c>
      <c r="V21" t="s">
        <v>80</v>
      </c>
      <c r="W21" t="s">
        <v>76</v>
      </c>
      <c r="X21" t="s">
        <v>81</v>
      </c>
      <c r="Y21" t="s">
        <v>77</v>
      </c>
      <c r="Z21" t="s">
        <v>85</v>
      </c>
      <c r="AA21" t="s">
        <v>78</v>
      </c>
      <c r="AB21" t="s">
        <v>135</v>
      </c>
      <c r="AC21" t="s">
        <v>77</v>
      </c>
      <c r="AD21" t="s">
        <v>81</v>
      </c>
      <c r="AE21" t="s">
        <v>135</v>
      </c>
      <c r="AF21" t="s">
        <v>87</v>
      </c>
      <c r="AG21" t="s">
        <v>78</v>
      </c>
      <c r="AH21" t="s">
        <v>90</v>
      </c>
      <c r="AI21" t="s">
        <v>84</v>
      </c>
      <c r="AJ21" t="s">
        <v>79</v>
      </c>
      <c r="AK21" t="s">
        <v>90</v>
      </c>
    </row>
    <row r="22" spans="1:37" x14ac:dyDescent="0.3">
      <c r="A22" s="112" t="s">
        <v>224</v>
      </c>
      <c r="B22" s="24" t="s">
        <v>143</v>
      </c>
      <c r="C22" s="24" t="s">
        <v>293</v>
      </c>
      <c r="D22" s="113" t="s">
        <v>116</v>
      </c>
      <c r="E22" s="61"/>
      <c r="F22" s="31"/>
      <c r="G22" s="57" t="str">
        <f>Table_0[[#This Row],[Driver]]</f>
        <v>Logan SargeantWilliams</v>
      </c>
      <c r="H22" s="58">
        <f>IFERROR(VALUE(_xlfn.XLOOKUP(G22,Table_0[Driver],Table_0[Pos])),"R")</f>
        <v>20</v>
      </c>
      <c r="I22" s="51" t="str">
        <f>_xlfn.XLOOKUP(Table_0[[#This Row],[Driver]],DriverNameMapping!$A$2:$A$23,DriverNameMapping!$B$2:$B$23)</f>
        <v>Logan Sargeant</v>
      </c>
      <c r="J22" s="52" t="str">
        <f>_xlfn.XLOOKUP(G22,Table_0[Driver],Table_0[Time])</f>
        <v>+ 2 LAPS</v>
      </c>
      <c r="K22" s="52" t="str">
        <f>_xlfn.XLOOKUP(G22,Table_0[Driver],Table_0[Stops])</f>
        <v>3</v>
      </c>
      <c r="L22" s="60" cm="1">
        <f t="array" ref="L22">_xlfn.XLOOKUP(H22,VALUE(Table_0[Pos]),$E$3:$E$22,0)</f>
        <v>0</v>
      </c>
      <c r="N22" s="4">
        <v>20</v>
      </c>
      <c r="O22" t="s">
        <v>78</v>
      </c>
      <c r="P22" t="s">
        <v>82</v>
      </c>
      <c r="Q22" t="s">
        <v>135</v>
      </c>
      <c r="R22" t="s">
        <v>92</v>
      </c>
      <c r="S22" t="s">
        <v>135</v>
      </c>
      <c r="U22" t="s">
        <v>90</v>
      </c>
      <c r="V22" t="s">
        <v>135</v>
      </c>
      <c r="W22" t="s">
        <v>135</v>
      </c>
      <c r="X22" t="s">
        <v>79</v>
      </c>
      <c r="Y22" t="s">
        <v>90</v>
      </c>
      <c r="Z22" t="s">
        <v>135</v>
      </c>
      <c r="AA22" t="s">
        <v>87</v>
      </c>
      <c r="AB22" t="s">
        <v>84</v>
      </c>
      <c r="AC22" t="s">
        <v>81</v>
      </c>
      <c r="AD22" t="s">
        <v>82</v>
      </c>
      <c r="AE22" t="s">
        <v>91</v>
      </c>
      <c r="AF22" t="s">
        <v>135</v>
      </c>
      <c r="AG22" t="s">
        <v>88</v>
      </c>
      <c r="AH22" t="s">
        <v>91</v>
      </c>
      <c r="AI22" t="s">
        <v>76</v>
      </c>
      <c r="AJ22" t="s">
        <v>86</v>
      </c>
      <c r="AK22" t="s">
        <v>87</v>
      </c>
    </row>
    <row r="24" spans="1:37" ht="18" x14ac:dyDescent="0.35">
      <c r="E24" s="31"/>
      <c r="G24" s="86"/>
      <c r="J24" s="13"/>
    </row>
    <row r="25" spans="1:37" x14ac:dyDescent="0.3">
      <c r="E25" s="31"/>
      <c r="J25" s="13"/>
      <c r="O25" s="46"/>
      <c r="P25" s="46"/>
      <c r="Q25" s="46"/>
      <c r="R25" s="46"/>
    </row>
    <row r="26" spans="1:37" x14ac:dyDescent="0.3">
      <c r="E26" s="31"/>
      <c r="J26" s="13"/>
      <c r="O26" s="46"/>
      <c r="P26" s="46"/>
      <c r="Q26" s="46"/>
      <c r="R26" s="46"/>
    </row>
    <row r="27" spans="1:37" x14ac:dyDescent="0.3">
      <c r="E27" s="31"/>
      <c r="J27" s="13"/>
      <c r="O27" s="46"/>
      <c r="P27" s="46"/>
      <c r="Q27" s="46"/>
      <c r="R27" s="46"/>
    </row>
    <row r="28" spans="1:37" x14ac:dyDescent="0.3">
      <c r="E28" s="32"/>
      <c r="J28" s="13"/>
      <c r="O28" s="46"/>
      <c r="P28" s="46"/>
      <c r="Q28" s="46"/>
      <c r="R28" s="46"/>
    </row>
    <row r="29" spans="1:37" x14ac:dyDescent="0.3">
      <c r="E29" s="32"/>
      <c r="J29" s="13"/>
      <c r="O29" s="46"/>
      <c r="P29" s="46"/>
      <c r="Q29" s="46"/>
      <c r="R29" s="46"/>
    </row>
    <row r="30" spans="1:37" x14ac:dyDescent="0.3">
      <c r="E30" s="32"/>
      <c r="J30" s="13"/>
      <c r="O30" s="46"/>
      <c r="P30" s="46"/>
      <c r="Q30" s="46"/>
      <c r="R30" s="46"/>
    </row>
    <row r="31" spans="1:37" x14ac:dyDescent="0.3">
      <c r="E31" s="32"/>
      <c r="J31" s="13"/>
      <c r="O31" s="46"/>
      <c r="P31" s="46"/>
      <c r="Q31" s="46"/>
      <c r="R31" s="46"/>
    </row>
    <row r="32" spans="1:37" x14ac:dyDescent="0.3">
      <c r="E32" s="32"/>
      <c r="J32" s="13"/>
      <c r="O32" s="46"/>
      <c r="P32" s="46"/>
      <c r="Q32" s="46"/>
      <c r="R32" s="46"/>
    </row>
    <row r="33" spans="5:18" x14ac:dyDescent="0.3">
      <c r="E33" s="32"/>
      <c r="J33" s="13"/>
      <c r="O33" s="46"/>
      <c r="P33" s="46"/>
      <c r="Q33" s="46"/>
      <c r="R33" s="46"/>
    </row>
    <row r="34" spans="5:18" x14ac:dyDescent="0.3">
      <c r="E34" s="32"/>
      <c r="J34" s="13"/>
      <c r="O34" s="46"/>
      <c r="P34" s="46"/>
      <c r="Q34" s="46"/>
      <c r="R34" s="46"/>
    </row>
    <row r="35" spans="5:18" x14ac:dyDescent="0.3">
      <c r="E35" s="32"/>
      <c r="J35" s="13"/>
      <c r="O35" s="46"/>
      <c r="P35" s="46"/>
      <c r="Q35" s="46"/>
      <c r="R35" s="46"/>
    </row>
    <row r="36" spans="5:18" x14ac:dyDescent="0.3">
      <c r="E36" s="32"/>
      <c r="J36" s="13"/>
      <c r="O36" s="46"/>
      <c r="P36" s="46"/>
      <c r="Q36" s="46"/>
      <c r="R36" s="46"/>
    </row>
    <row r="37" spans="5:18" x14ac:dyDescent="0.3">
      <c r="E37" s="32"/>
      <c r="J37" s="13"/>
      <c r="O37" s="46"/>
      <c r="P37" s="46"/>
      <c r="Q37" s="46"/>
      <c r="R37" s="46"/>
    </row>
    <row r="38" spans="5:18" x14ac:dyDescent="0.3">
      <c r="E38" s="32"/>
      <c r="J38" s="13"/>
      <c r="O38" s="46"/>
      <c r="P38" s="46"/>
      <c r="Q38" s="46"/>
      <c r="R38" s="46"/>
    </row>
    <row r="39" spans="5:18" x14ac:dyDescent="0.3">
      <c r="E39" s="31"/>
      <c r="J39" s="13"/>
      <c r="O39" s="46"/>
      <c r="P39" s="46"/>
      <c r="Q39" s="46"/>
      <c r="R39" s="46"/>
    </row>
    <row r="40" spans="5:18" x14ac:dyDescent="0.3">
      <c r="E40" s="31"/>
      <c r="J40" s="13"/>
      <c r="O40" s="46"/>
      <c r="P40" s="46"/>
      <c r="Q40" s="46"/>
      <c r="R40" s="46"/>
    </row>
    <row r="41" spans="5:18" x14ac:dyDescent="0.3">
      <c r="E41" s="31"/>
      <c r="J41" s="13"/>
      <c r="O41" s="46"/>
      <c r="P41" s="46"/>
      <c r="Q41" s="46"/>
      <c r="R41" s="46"/>
    </row>
    <row r="42" spans="5:18" x14ac:dyDescent="0.3">
      <c r="E42" s="31"/>
      <c r="J42" s="13"/>
      <c r="O42" s="46"/>
      <c r="P42" s="46"/>
      <c r="Q42" s="46"/>
      <c r="R42" s="46"/>
    </row>
    <row r="43" spans="5:18" x14ac:dyDescent="0.3">
      <c r="E43" s="31"/>
      <c r="J43" s="13"/>
      <c r="O43" s="46"/>
      <c r="P43" s="46"/>
      <c r="Q43" s="46"/>
      <c r="R43" s="46"/>
    </row>
    <row r="44" spans="5:18" x14ac:dyDescent="0.3">
      <c r="J44" s="13"/>
      <c r="O44" s="46"/>
      <c r="P44" s="46"/>
      <c r="Q44" s="46"/>
      <c r="R44" s="46"/>
    </row>
  </sheetData>
  <conditionalFormatting sqref="E3:G22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{766D1F58-81A9-4123-A621-CCD43B487173}</x14:id>
        </ext>
      </extLst>
    </cfRule>
  </conditionalFormatting>
  <conditionalFormatting sqref="L3:L2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{7D095C95-A787-4C2F-ADB7-8F1D1841AD2F}</x14:id>
        </ext>
      </extLst>
    </cfRule>
  </conditionalFormatting>
  <conditionalFormatting sqref="J25:J44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{FC453E05-C02F-48BE-9573-45EB2B5CB7D8}</x14:id>
        </ext>
      </extLst>
    </cfRule>
  </conditionalFormatting>
  <conditionalFormatting sqref="E24:E43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{A905B99E-B2FB-4F20-9452-A4A634E39C8A}</x14:id>
        </ext>
      </extLst>
    </cfRule>
  </conditionalFormatting>
  <conditionalFormatting sqref="L25:L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{C4FCB392-9AE7-4F22-AE15-9BB39996A67F}</x14:id>
        </ext>
      </extLst>
    </cfRule>
  </conditionalFormatting>
  <conditionalFormatting sqref="J24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{394FD8A5-89CD-4DCD-8945-42F21E96D324}</x14:id>
        </ext>
      </extLst>
    </cfRule>
  </conditionalFormatting>
  <conditionalFormatting sqref="L2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{A9AF8F63-F7D8-42FA-BE0C-F15CB8D55AE0}</x14:id>
        </ext>
      </extLst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D1F58-81A9-4123-A621-CCD43B4871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E3:G22</xm:sqref>
        </x14:conditionalFormatting>
        <x14:conditionalFormatting xmlns:xm="http://schemas.microsoft.com/office/excel/2006/main">
          <x14:cfRule type="dataBar" id="{7D095C95-A787-4C2F-ADB7-8F1D1841AD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L3:L22</xm:sqref>
        </x14:conditionalFormatting>
        <x14:conditionalFormatting xmlns:xm="http://schemas.microsoft.com/office/excel/2006/main">
          <x14:cfRule type="dataBar" id="{FC453E05-C02F-48BE-9573-45EB2B5CB7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J25:J44</xm:sqref>
        </x14:conditionalFormatting>
        <x14:conditionalFormatting xmlns:xm="http://schemas.microsoft.com/office/excel/2006/main">
          <x14:cfRule type="dataBar" id="{A905B99E-B2FB-4F20-9452-A4A634E39C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E24:E43</xm:sqref>
        </x14:conditionalFormatting>
        <x14:conditionalFormatting xmlns:xm="http://schemas.microsoft.com/office/excel/2006/main">
          <x14:cfRule type="dataBar" id="{C4FCB392-9AE7-4F22-AE15-9BB39996A6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L25:L44</xm:sqref>
        </x14:conditionalFormatting>
        <x14:conditionalFormatting xmlns:xm="http://schemas.microsoft.com/office/excel/2006/main">
          <x14:cfRule type="dataBar" id="{394FD8A5-89CD-4DCD-8945-42F21E96D3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J24</xm:sqref>
        </x14:conditionalFormatting>
        <x14:conditionalFormatting xmlns:xm="http://schemas.microsoft.com/office/excel/2006/main">
          <x14:cfRule type="dataBar" id="{A9AF8F63-F7D8-42FA-BE0C-F15CB8D55A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8E665-F700-4A07-A048-E54F711C3DFB}">
  <dimension ref="A1:B23"/>
  <sheetViews>
    <sheetView workbookViewId="0">
      <selection activeCell="A19" sqref="A19"/>
    </sheetView>
  </sheetViews>
  <sheetFormatPr defaultRowHeight="14.4" x14ac:dyDescent="0.3"/>
  <cols>
    <col min="1" max="3" width="29.33203125" customWidth="1"/>
    <col min="4" max="4" width="15" bestFit="1" customWidth="1"/>
  </cols>
  <sheetData>
    <row r="1" spans="1:2" x14ac:dyDescent="0.3">
      <c r="A1" s="109" t="s">
        <v>231</v>
      </c>
      <c r="B1" s="109">
        <v>2023</v>
      </c>
    </row>
    <row r="2" spans="1:2" x14ac:dyDescent="0.3">
      <c r="A2" t="s">
        <v>123</v>
      </c>
      <c r="B2" t="s">
        <v>266</v>
      </c>
    </row>
    <row r="3" spans="1:2" x14ac:dyDescent="0.3">
      <c r="A3" t="s">
        <v>113</v>
      </c>
      <c r="B3" t="s">
        <v>265</v>
      </c>
    </row>
    <row r="4" spans="1:2" x14ac:dyDescent="0.3">
      <c r="A4" t="s">
        <v>119</v>
      </c>
      <c r="B4" t="s">
        <v>267</v>
      </c>
    </row>
    <row r="5" spans="1:2" x14ac:dyDescent="0.3">
      <c r="A5" t="s">
        <v>115</v>
      </c>
      <c r="B5" t="s">
        <v>253</v>
      </c>
    </row>
    <row r="6" spans="1:2" x14ac:dyDescent="0.3">
      <c r="A6" t="s">
        <v>121</v>
      </c>
      <c r="B6" t="s">
        <v>268</v>
      </c>
    </row>
    <row r="7" spans="1:2" x14ac:dyDescent="0.3">
      <c r="A7" t="s">
        <v>117</v>
      </c>
      <c r="B7" t="s">
        <v>257</v>
      </c>
    </row>
    <row r="8" spans="1:2" x14ac:dyDescent="0.3">
      <c r="A8" t="s">
        <v>129</v>
      </c>
      <c r="B8" t="s">
        <v>234</v>
      </c>
    </row>
    <row r="9" spans="1:2" x14ac:dyDescent="0.3">
      <c r="A9" t="s">
        <v>142</v>
      </c>
      <c r="B9" t="s">
        <v>269</v>
      </c>
    </row>
    <row r="10" spans="1:2" x14ac:dyDescent="0.3">
      <c r="A10" t="s">
        <v>137</v>
      </c>
      <c r="B10" t="s">
        <v>255</v>
      </c>
    </row>
    <row r="11" spans="1:2" x14ac:dyDescent="0.3">
      <c r="A11" s="24" t="s">
        <v>279</v>
      </c>
      <c r="B11" t="s">
        <v>232</v>
      </c>
    </row>
    <row r="12" spans="1:2" x14ac:dyDescent="0.3">
      <c r="A12" t="s">
        <v>132</v>
      </c>
      <c r="B12" t="s">
        <v>249</v>
      </c>
    </row>
    <row r="13" spans="1:2" x14ac:dyDescent="0.3">
      <c r="A13" t="s">
        <v>125</v>
      </c>
      <c r="B13" t="s">
        <v>233</v>
      </c>
    </row>
    <row r="14" spans="1:2" x14ac:dyDescent="0.3">
      <c r="A14" t="s">
        <v>140</v>
      </c>
      <c r="B14" t="s">
        <v>246</v>
      </c>
    </row>
    <row r="15" spans="1:2" x14ac:dyDescent="0.3">
      <c r="A15" t="s">
        <v>134</v>
      </c>
      <c r="B15" t="s">
        <v>240</v>
      </c>
    </row>
    <row r="16" spans="1:2" x14ac:dyDescent="0.3">
      <c r="A16" t="s">
        <v>127</v>
      </c>
      <c r="B16" t="s">
        <v>247</v>
      </c>
    </row>
    <row r="17" spans="1:2" x14ac:dyDescent="0.3">
      <c r="A17" t="s">
        <v>143</v>
      </c>
      <c r="B17" t="s">
        <v>270</v>
      </c>
    </row>
    <row r="18" spans="1:2" x14ac:dyDescent="0.3">
      <c r="A18" t="s">
        <v>139</v>
      </c>
      <c r="B18" t="s">
        <v>244</v>
      </c>
    </row>
    <row r="19" spans="1:2" x14ac:dyDescent="0.3">
      <c r="A19" s="24" t="s">
        <v>281</v>
      </c>
      <c r="B19" t="s">
        <v>237</v>
      </c>
    </row>
    <row r="20" spans="1:2" x14ac:dyDescent="0.3">
      <c r="A20" s="24" t="s">
        <v>278</v>
      </c>
      <c r="B20" t="s">
        <v>271</v>
      </c>
    </row>
    <row r="21" spans="1:2" x14ac:dyDescent="0.3">
      <c r="A21" t="s">
        <v>141</v>
      </c>
      <c r="B21" t="s">
        <v>272</v>
      </c>
    </row>
    <row r="22" spans="1:2" x14ac:dyDescent="0.3">
      <c r="A22" s="24" t="s">
        <v>280</v>
      </c>
      <c r="B22" t="s">
        <v>235</v>
      </c>
    </row>
    <row r="23" spans="1:2" x14ac:dyDescent="0.3">
      <c r="A23" t="s">
        <v>212</v>
      </c>
      <c r="B23" t="s">
        <v>273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64CE7-00E3-4643-8E37-588857539559}">
  <sheetPr codeName="Sheet5"/>
  <dimension ref="A1:AL139"/>
  <sheetViews>
    <sheetView showGridLines="0" zoomScale="72" zoomScaleNormal="100" workbookViewId="0">
      <selection activeCell="H15" sqref="H15"/>
    </sheetView>
  </sheetViews>
  <sheetFormatPr defaultRowHeight="14.4" x14ac:dyDescent="0.3"/>
  <cols>
    <col min="1" max="1" width="7.44140625" style="3" customWidth="1"/>
    <col min="2" max="5" width="13.44140625" customWidth="1"/>
    <col min="6" max="6" width="7.5546875" style="4" customWidth="1"/>
    <col min="7" max="7" width="21.21875" style="5" customWidth="1"/>
    <col min="8" max="29" width="11.21875" style="9" customWidth="1"/>
  </cols>
  <sheetData>
    <row r="1" spans="1:29" s="38" customFormat="1" ht="29.1" customHeight="1" x14ac:dyDescent="0.3">
      <c r="A1" s="65"/>
      <c r="B1" s="38" t="s">
        <v>20</v>
      </c>
      <c r="C1" s="38" t="s">
        <v>198</v>
      </c>
      <c r="D1" s="38" t="s">
        <v>199</v>
      </c>
      <c r="E1" s="38" t="s">
        <v>200</v>
      </c>
      <c r="F1" s="93" t="s">
        <v>196</v>
      </c>
      <c r="G1" s="39" t="s">
        <v>21</v>
      </c>
      <c r="H1" s="39" t="s">
        <v>22</v>
      </c>
      <c r="I1" s="39" t="s">
        <v>23</v>
      </c>
      <c r="J1" s="39" t="s">
        <v>24</v>
      </c>
      <c r="K1" s="39" t="s">
        <v>25</v>
      </c>
      <c r="L1" s="39" t="s">
        <v>26</v>
      </c>
      <c r="M1" s="39" t="s">
        <v>27</v>
      </c>
      <c r="N1" s="39" t="s">
        <v>28</v>
      </c>
      <c r="O1" s="39" t="s">
        <v>29</v>
      </c>
      <c r="P1" s="39" t="s">
        <v>30</v>
      </c>
      <c r="Q1" s="39" t="s">
        <v>31</v>
      </c>
      <c r="R1" s="39" t="s">
        <v>208</v>
      </c>
      <c r="S1" s="39" t="s">
        <v>210</v>
      </c>
      <c r="T1" s="39" t="s">
        <v>211</v>
      </c>
      <c r="U1" s="39" t="s">
        <v>214</v>
      </c>
      <c r="V1" s="39" t="s">
        <v>216</v>
      </c>
      <c r="W1" s="39" t="s">
        <v>217</v>
      </c>
      <c r="X1" s="39" t="s">
        <v>219</v>
      </c>
      <c r="Y1" s="39" t="s">
        <v>220</v>
      </c>
      <c r="Z1" s="39" t="s">
        <v>221</v>
      </c>
      <c r="AA1" s="39" t="s">
        <v>222</v>
      </c>
      <c r="AB1" s="39" t="s">
        <v>225</v>
      </c>
      <c r="AC1" s="39" t="s">
        <v>229</v>
      </c>
    </row>
    <row r="2" spans="1:29" ht="15.6" x14ac:dyDescent="0.3">
      <c r="A2" s="4">
        <v>1</v>
      </c>
      <c r="B2" t="s">
        <v>50</v>
      </c>
      <c r="C2" cm="1">
        <f t="array" ref="C2">Table15[[#This Row],[Total]]-_xlfn.XLOOKUP($G$35,$H$36:$AC$36,Table15[[#This Row],[Saudi Arabia - 19 March]:[Abu Dhabi - 26 November]])</f>
        <v>0</v>
      </c>
      <c r="D2" cm="1">
        <f t="array" ref="D2">_xlfn.XLOOKUP(B2,_xlfn.SORTBY(Table15[Name],Table15[Previous Race Total],-1),$A$2:$A$27)</f>
        <v>1</v>
      </c>
      <c r="E2" cm="1">
        <f t="array" ref="E2">_xlfn.XLOOKUP(B2,_xlfn.SORTBY(Table15[Name],Table15[Total],-1),$A$2:$A$27)</f>
        <v>1</v>
      </c>
      <c r="F2" s="94">
        <f>Table15[[#This Row],[Previous race Ranking]]-Table15[[#This Row],[Current ranking]]</f>
        <v>0</v>
      </c>
      <c r="G2" s="85">
        <f t="shared" ref="G2:G27" si="0">SUM(H2:AC2)</f>
        <v>0</v>
      </c>
      <c r="H2" s="9" cm="1">
        <f t="array" ref="H2">IFERROR(_xlfn.XLOOKUP(1,(Table15[[#This Row],[Brazil - 5 November]]=Points!$B:$B)*(Table15[[#Headers],[Saudi Arabia - 19 March]]=Points!$C:$C),Points!$F:$F,0,0,-1),0)</f>
        <v>0</v>
      </c>
      <c r="I2" s="9" cm="1">
        <f t="array" ref="I2">IFERROR(_xlfn.XLOOKUP(1,(Table15[[#This Row],[Las Vegas - 18 November]]=Points!$B:$B)*(Table15[[#Headers],[Australia - 2 April]]=Points!$C:$C),Points!$F:$F,0,0,-1),0)</f>
        <v>0</v>
      </c>
      <c r="J2" s="9" cm="1">
        <f t="array" ref="J2">IFERROR(_xlfn.XLOOKUP(1,(Table15[[#This Row],[Abu Dhabi - 26 November]]=Points!$B:$B)*(Table15[[#Headers],[Azerbaijan - 30 April]]=Points!$C:$C),Points!$F:$F,0,0,-1),0)</f>
        <v>0</v>
      </c>
      <c r="K2" s="9" cm="1">
        <f t="array" ref="K2">IFERROR(_xlfn.XLOOKUP(1,(Table15[[#This Row],[Name]]=Points!$B:$B)*(Table15[[#Headers],[Miami - 7 May]]=Points!$C:$C),Points!$F:$F,0,0,-1),0)</f>
        <v>0</v>
      </c>
      <c r="L2" s="9" cm="1">
        <f t="array" ref="L2">IFERROR(_xlfn.XLOOKUP(1,(Table15[[#This Row],[Name]]=Points!$B:$B)*(Table15[[#Headers],[Italy - 21 May]]=Points!$C:$C),Points!$F:$F,0,0,-1),0)</f>
        <v>0</v>
      </c>
      <c r="M2" s="9" cm="1">
        <f t="array" ref="M2">IFERROR(_xlfn.XLOOKUP(1,(Table15[[#This Row],[Name]]=Points!$B:$B)*(Table15[[#Headers],[Monaco - 28 May]]=Points!$C:$C),Points!$F:$F,0,0,-1),0)</f>
        <v>0</v>
      </c>
      <c r="N2" s="9" cm="1">
        <f t="array" ref="N2">IFERROR(_xlfn.XLOOKUP(1,(Table15[[#This Row],[Name]]=Points!$B:$B)*(Table15[[#Headers],[Spain - 4 June]]=Points!$C:$C),Points!$F:$F,0,0,-1),0)</f>
        <v>0</v>
      </c>
      <c r="O2" s="9" cm="1">
        <f t="array" ref="O2">IFERROR(_xlfn.XLOOKUP(1,(Table15[[#This Row],[Name]]=Points!$B:$B)*(Table15[[#Headers],[Canada - 18 June]]=Points!$C:$C),Points!$F:$F,0,0,-1),0)</f>
        <v>0</v>
      </c>
      <c r="P2" s="9" cm="1">
        <f t="array" ref="P2">IFERROR(_xlfn.XLOOKUP(1,(Table15[[#This Row],[Name]]=Points!$B:$B)*(Table15[[#Headers],[Austria - 2 July]]=Points!$C:$C),Points!$F:$F,0,0,-1),0)</f>
        <v>0</v>
      </c>
      <c r="Q2" s="9" cm="1">
        <f t="array" ref="Q2">IFERROR(_xlfn.XLOOKUP(1,(Table15[[#This Row],[Name]]=Points!$B:$B)*(Table15[[#Headers],[Great Britain - 9 July]]=Points!$C:$C),Points!$F:$F,0,0,-1),0)</f>
        <v>0</v>
      </c>
      <c r="R2" s="9" cm="1">
        <f t="array" ref="R2">IFERROR(_xlfn.XLOOKUP(1,(Table15[[#This Row],[Name]]=Points!$B:$B)*(Table15[[#Headers],[Hungary - 23 July]]=Points!$C:$C),Points!$F:$F,0,0,-1),0)</f>
        <v>0</v>
      </c>
      <c r="S2" s="9" cm="1">
        <f t="array" ref="S2">IFERROR(_xlfn.XLOOKUP(1,(Table15[[#This Row],[Name]]=Points!$B:$B)*(Table15[[#Headers],[Belgium - 30 July]]=Points!$C:$C),Points!$F:$F,0,0,-1),0)</f>
        <v>0</v>
      </c>
      <c r="T2" s="9" cm="1">
        <f t="array" ref="T2">IFERROR(_xlfn.XLOOKUP(1,(Table15[[#This Row],[Name]]=Points!$B:$B)*(Table15[[#Headers],[Netherlands - 27 August]]=Points!$C:$C),Points!$F:$F,0,0,-1),0)</f>
        <v>0</v>
      </c>
      <c r="U2" s="9" cm="1">
        <f t="array" ref="U2">IFERROR(_xlfn.XLOOKUP(1,(Table15[[#This Row],[Name]]=Points!$B:$B)*(Table15[[#Headers],[Italy - 3 September]]=Points!$C:$C),Points!$F:$F,0,0,-1),0)</f>
        <v>0</v>
      </c>
      <c r="V2" s="9" cm="1">
        <f t="array" ref="V2">IFERROR(_xlfn.XLOOKUP(1,(Table15[[#This Row],[Name]]=Points!$B:$B)*(Table15[[#Headers],[Singapore - 17 September]]=Points!$C:$C),Points!$F:$F,0,0,-1),0)</f>
        <v>0</v>
      </c>
      <c r="W2" s="9" cm="1">
        <f t="array" ref="W2">IFERROR(_xlfn.XLOOKUP(1,(Table15[[#This Row],[Name]]=Points!$B:$B)*(Table15[[#Headers],[Japan - 24 September]]=Points!$C:$C),Points!$F:$F,0,0,-1),0)</f>
        <v>0</v>
      </c>
      <c r="X2" s="9" cm="1">
        <f t="array" ref="X2">IFERROR(_xlfn.XLOOKUP(1,(Table15[[#This Row],[Name]]=Points!$B:$B)*(Table15[[#Headers],[Qatar - 8 October]]=Points!$C:$C),Points!$F:$F,0,0,-1),0)</f>
        <v>0</v>
      </c>
      <c r="Y2" s="9" cm="1">
        <f t="array" ref="Y2">IFERROR(_xlfn.XLOOKUP(1,(Table15[[#This Row],[Name]]=Points!$B:$B)*(Table15[[#Headers],[United States - 22 October]]=Points!$C:$C),Points!$F:$F,0,0,-1),0)</f>
        <v>0</v>
      </c>
      <c r="Z2" s="9" cm="1">
        <f t="array" ref="Z2">IFERROR(_xlfn.XLOOKUP(1,(Table15[[#This Row],[Name]]=Points!$B:$B)*(Table15[[#Headers],[Mexico - 29 October]]=Points!$C:$C),Points!$F:$F,0,0,-1),0)</f>
        <v>0</v>
      </c>
      <c r="AA2" s="9" cm="1">
        <f t="array" ref="AA2">IFERROR(_xlfn.XLOOKUP(1,(Table15[[#This Row],[Name]]=Points!$B:$B)*(Table15[[#Headers],[Brazil - 5 November]]=Points!$C:$C),Points!$F:$F,0,0,-1),0)</f>
        <v>0</v>
      </c>
      <c r="AB2" s="9" cm="1">
        <f t="array" ref="AB2">IFERROR(_xlfn.XLOOKUP(1,(Table15[[#This Row],[Name]]=Points!$B:$B)*(Table15[[#Headers],[Las Vegas - 18 November]]=Points!$C:$C),Points!$F:$F,0,0,-1),0)</f>
        <v>0</v>
      </c>
      <c r="AC2" s="9" cm="1">
        <f t="array" ref="AC2">IFERROR(_xlfn.XLOOKUP(1,(Table15[[#This Row],[Name]]=Points!$B:$B)*(Table15[[#Headers],[Abu Dhabi - 26 November]]=Points!$C:$C),Points!$F:$F,0,0,-1),0)</f>
        <v>0</v>
      </c>
    </row>
    <row r="3" spans="1:29" ht="15.6" x14ac:dyDescent="0.3">
      <c r="A3" s="4">
        <v>2</v>
      </c>
      <c r="B3" t="s">
        <v>48</v>
      </c>
      <c r="C3" s="90" cm="1">
        <f t="array" ref="C3">Table15[[#This Row],[Total]]-_xlfn.XLOOKUP($G$35,$H$36:$AC$36,Table15[[#This Row],[Saudi Arabia - 19 March]:[Abu Dhabi - 26 November]])</f>
        <v>0</v>
      </c>
      <c r="D3" cm="1">
        <f t="array" ref="D3">_xlfn.XLOOKUP(B3,_xlfn.SORTBY(Table15[Name],Table15[Previous Race Total],-1),$A$2:$A$27)</f>
        <v>2</v>
      </c>
      <c r="E3" cm="1">
        <f t="array" ref="E3">_xlfn.XLOOKUP(B3,_xlfn.SORTBY(Table15[Name],Table15[Total],-1),$A$2:$A$27)</f>
        <v>2</v>
      </c>
      <c r="F3" s="94">
        <f>Table15[[#This Row],[Previous race Ranking]]-Table15[[#This Row],[Current ranking]]</f>
        <v>0</v>
      </c>
      <c r="G3" s="85">
        <f t="shared" si="0"/>
        <v>0</v>
      </c>
      <c r="H3" s="9" cm="1">
        <f t="array" ref="H3">IFERROR(_xlfn.XLOOKUP(1,(Table15[[#This Row],[Brazil - 5 November]]=Points!$B:$B)*(Table15[[#Headers],[Saudi Arabia - 19 March]]=Points!$C:$C),Points!$F:$F,0,0,-1),0)</f>
        <v>0</v>
      </c>
      <c r="I3" s="9" cm="1">
        <f t="array" ref="I3">IFERROR(_xlfn.XLOOKUP(1,(Table15[[#This Row],[Las Vegas - 18 November]]=Points!$B:$B)*(Table15[[#Headers],[Australia - 2 April]]=Points!$C:$C),Points!$F:$F,0,0,-1),0)</f>
        <v>0</v>
      </c>
      <c r="J3" s="9" cm="1">
        <f t="array" ref="J3">IFERROR(_xlfn.XLOOKUP(1,(Table15[[#This Row],[Abu Dhabi - 26 November]]=Points!$B:$B)*(Table15[[#Headers],[Azerbaijan - 30 April]]=Points!$C:$C),Points!$F:$F,0,0,-1),0)</f>
        <v>0</v>
      </c>
      <c r="K3" s="9" cm="1">
        <f t="array" ref="K3">IFERROR(_xlfn.XLOOKUP(1,(Table15[[#This Row],[Name]]=Points!$B:$B)*(Table15[[#Headers],[Miami - 7 May]]=Points!$C:$C),Points!$F:$F,0,0,-1),0)</f>
        <v>0</v>
      </c>
      <c r="L3" s="9" cm="1">
        <f t="array" ref="L3">IFERROR(_xlfn.XLOOKUP(1,(Table15[[#This Row],[Name]]=Points!$B:$B)*(Table15[[#Headers],[Italy - 21 May]]=Points!$C:$C),Points!$F:$F,0,0,-1),0)</f>
        <v>0</v>
      </c>
      <c r="M3" s="9" cm="1">
        <f t="array" ref="M3">IFERROR(_xlfn.XLOOKUP(1,(Table15[[#This Row],[Name]]=Points!$B:$B)*(Table15[[#Headers],[Monaco - 28 May]]=Points!$C:$C),Points!$F:$F,0,0,-1),0)</f>
        <v>0</v>
      </c>
      <c r="N3" s="9" cm="1">
        <f t="array" ref="N3">IFERROR(_xlfn.XLOOKUP(1,(Table15[[#This Row],[Name]]=Points!$B:$B)*(Table15[[#Headers],[Spain - 4 June]]=Points!$C:$C),Points!$F:$F,0,0,-1),0)</f>
        <v>0</v>
      </c>
      <c r="O3" s="9" cm="1">
        <f t="array" ref="O3">IFERROR(_xlfn.XLOOKUP(1,(Table15[[#This Row],[Name]]=Points!$B:$B)*(Table15[[#Headers],[Canada - 18 June]]=Points!$C:$C),Points!$F:$F,0,0,-1),0)</f>
        <v>0</v>
      </c>
      <c r="P3" s="9" cm="1">
        <f t="array" ref="P3">IFERROR(_xlfn.XLOOKUP(1,(Table15[[#This Row],[Name]]=Points!$B:$B)*(Table15[[#Headers],[Austria - 2 July]]=Points!$C:$C),Points!$F:$F,0,0,-1),0)</f>
        <v>0</v>
      </c>
      <c r="Q3" s="9" cm="1">
        <f t="array" ref="Q3">IFERROR(_xlfn.XLOOKUP(1,(Table15[[#This Row],[Name]]=Points!$B:$B)*(Table15[[#Headers],[Great Britain - 9 July]]=Points!$C:$C),Points!$F:$F,0,0,-1),0)</f>
        <v>0</v>
      </c>
      <c r="R3" s="9" cm="1">
        <f t="array" ref="R3">IFERROR(_xlfn.XLOOKUP(1,(Table15[[#This Row],[Name]]=Points!$B:$B)*(Table15[[#Headers],[Hungary - 23 July]]=Points!$C:$C),Points!$F:$F,0,0,-1),0)</f>
        <v>0</v>
      </c>
      <c r="S3" s="9" cm="1">
        <f t="array" ref="S3">IFERROR(_xlfn.XLOOKUP(1,(Table15[[#This Row],[Name]]=Points!$B:$B)*(Table15[[#Headers],[Belgium - 30 July]]=Points!$C:$C),Points!$F:$F,0,0,-1),0)</f>
        <v>0</v>
      </c>
      <c r="T3" s="9" cm="1">
        <f t="array" ref="T3">IFERROR(_xlfn.XLOOKUP(1,(Table15[[#This Row],[Name]]=Points!$B:$B)*(Table15[[#Headers],[Netherlands - 27 August]]=Points!$C:$C),Points!$F:$F,0,0,-1),0)</f>
        <v>0</v>
      </c>
      <c r="U3" s="9" cm="1">
        <f t="array" ref="U3">IFERROR(_xlfn.XLOOKUP(1,(Table15[[#This Row],[Name]]=Points!$B:$B)*(Table15[[#Headers],[Italy - 3 September]]=Points!$C:$C),Points!$F:$F,0,0,-1),0)</f>
        <v>0</v>
      </c>
      <c r="V3" s="9" cm="1">
        <f t="array" ref="V3">IFERROR(_xlfn.XLOOKUP(1,(Table15[[#This Row],[Name]]=Points!$B:$B)*(Table15[[#Headers],[Singapore - 17 September]]=Points!$C:$C),Points!$F:$F,0,0,-1),0)</f>
        <v>0</v>
      </c>
      <c r="W3" s="9" cm="1">
        <f t="array" ref="W3">IFERROR(_xlfn.XLOOKUP(1,(Table15[[#This Row],[Name]]=Points!$B:$B)*(Table15[[#Headers],[Japan - 24 September]]=Points!$C:$C),Points!$F:$F,0,0,-1),0)</f>
        <v>0</v>
      </c>
      <c r="X3" s="9" cm="1">
        <f t="array" ref="X3">IFERROR(_xlfn.XLOOKUP(1,(Table15[[#This Row],[Name]]=Points!$B:$B)*(Table15[[#Headers],[Qatar - 8 October]]=Points!$C:$C),Points!$F:$F,0,0,-1),0)</f>
        <v>0</v>
      </c>
      <c r="Y3" s="9" cm="1">
        <f t="array" ref="Y3">IFERROR(_xlfn.XLOOKUP(1,(Table15[[#This Row],[Name]]=Points!$B:$B)*(Table15[[#Headers],[United States - 22 October]]=Points!$C:$C),Points!$F:$F,0,0,-1),0)</f>
        <v>0</v>
      </c>
      <c r="Z3" s="9" cm="1">
        <f t="array" ref="Z3">IFERROR(_xlfn.XLOOKUP(1,(Table15[[#This Row],[Name]]=Points!$B:$B)*(Table15[[#Headers],[Mexico - 29 October]]=Points!$C:$C),Points!$F:$F,0,0,-1),0)</f>
        <v>0</v>
      </c>
      <c r="AA3" s="9" cm="1">
        <f t="array" ref="AA3">IFERROR(_xlfn.XLOOKUP(1,(Table15[[#This Row],[Name]]=Points!$B:$B)*(Table15[[#Headers],[Brazil - 5 November]]=Points!$C:$C),Points!$F:$F,0,0,-1),0)</f>
        <v>0</v>
      </c>
      <c r="AB3" s="9" cm="1">
        <f t="array" ref="AB3">IFERROR(_xlfn.XLOOKUP(1,(Table15[[#This Row],[Name]]=Points!$B:$B)*(Table15[[#Headers],[Las Vegas - 18 November]]=Points!$C:$C),Points!$F:$F,0,0,-1),0)</f>
        <v>0</v>
      </c>
      <c r="AC3" s="9" cm="1">
        <f t="array" ref="AC3">IFERROR(_xlfn.XLOOKUP(1,(Table15[[#This Row],[Name]]=Points!$B:$B)*(Table15[[#Headers],[Abu Dhabi - 26 November]]=Points!$C:$C),Points!$F:$F,0,0,-1),0)</f>
        <v>0</v>
      </c>
    </row>
    <row r="4" spans="1:29" ht="15.6" x14ac:dyDescent="0.3">
      <c r="A4" s="4">
        <v>3</v>
      </c>
      <c r="B4" t="s">
        <v>44</v>
      </c>
      <c r="C4" cm="1">
        <f t="array" ref="C4">Table15[[#This Row],[Total]]-_xlfn.XLOOKUP($G$35,$H$36:$AC$36,Table15[[#This Row],[Saudi Arabia - 19 March]:[Abu Dhabi - 26 November]])</f>
        <v>0</v>
      </c>
      <c r="D4" cm="1">
        <f t="array" ref="D4">_xlfn.XLOOKUP(B4,_xlfn.SORTBY(Table15[Name],Table15[Previous Race Total],-1),$A$2:$A$27)</f>
        <v>3</v>
      </c>
      <c r="E4" cm="1">
        <f t="array" ref="E4">_xlfn.XLOOKUP(B4,_xlfn.SORTBY(Table15[Name],Table15[Total],-1),$A$2:$A$27)</f>
        <v>3</v>
      </c>
      <c r="F4" s="94">
        <f>Table15[[#This Row],[Previous race Ranking]]-Table15[[#This Row],[Current ranking]]</f>
        <v>0</v>
      </c>
      <c r="G4" s="85">
        <f t="shared" si="0"/>
        <v>0</v>
      </c>
      <c r="H4" s="9" cm="1">
        <f t="array" ref="H4">IFERROR(_xlfn.XLOOKUP(1,(Table15[[#This Row],[Brazil - 5 November]]=Points!$B:$B)*(Table15[[#Headers],[Saudi Arabia - 19 March]]=Points!$C:$C),Points!$F:$F,0,0,-1),0)</f>
        <v>0</v>
      </c>
      <c r="I4" s="9" cm="1">
        <f t="array" ref="I4">IFERROR(_xlfn.XLOOKUP(1,(Table15[[#This Row],[Las Vegas - 18 November]]=Points!$B:$B)*(Table15[[#Headers],[Australia - 2 April]]=Points!$C:$C),Points!$F:$F,0,0,-1),0)</f>
        <v>0</v>
      </c>
      <c r="J4" s="9" cm="1">
        <f t="array" ref="J4">IFERROR(_xlfn.XLOOKUP(1,(Table15[[#This Row],[Abu Dhabi - 26 November]]=Points!$B:$B)*(Table15[[#Headers],[Azerbaijan - 30 April]]=Points!$C:$C),Points!$F:$F,0,0,-1),0)</f>
        <v>0</v>
      </c>
      <c r="K4" s="9" cm="1">
        <f t="array" ref="K4">IFERROR(_xlfn.XLOOKUP(1,(Table15[[#This Row],[Name]]=Points!$B:$B)*(Table15[[#Headers],[Miami - 7 May]]=Points!$C:$C),Points!$F:$F,0,0,-1),0)</f>
        <v>0</v>
      </c>
      <c r="L4" s="9" cm="1">
        <f t="array" ref="L4">IFERROR(_xlfn.XLOOKUP(1,(Table15[[#This Row],[Name]]=Points!$B:$B)*(Table15[[#Headers],[Italy - 21 May]]=Points!$C:$C),Points!$F:$F,0,0,-1),0)</f>
        <v>0</v>
      </c>
      <c r="M4" s="9" cm="1">
        <f t="array" ref="M4">IFERROR(_xlfn.XLOOKUP(1,(Table15[[#This Row],[Name]]=Points!$B:$B)*(Table15[[#Headers],[Monaco - 28 May]]=Points!$C:$C),Points!$F:$F,0,0,-1),0)</f>
        <v>0</v>
      </c>
      <c r="N4" s="9" cm="1">
        <f t="array" ref="N4">IFERROR(_xlfn.XLOOKUP(1,(Table15[[#This Row],[Name]]=Points!$B:$B)*(Table15[[#Headers],[Spain - 4 June]]=Points!$C:$C),Points!$F:$F,0,0,-1),0)</f>
        <v>0</v>
      </c>
      <c r="O4" s="9" cm="1">
        <f t="array" ref="O4">IFERROR(_xlfn.XLOOKUP(1,(Table15[[#This Row],[Name]]=Points!$B:$B)*(Table15[[#Headers],[Canada - 18 June]]=Points!$C:$C),Points!$F:$F,0,0,-1),0)</f>
        <v>0</v>
      </c>
      <c r="P4" s="9" cm="1">
        <f t="array" ref="P4">IFERROR(_xlfn.XLOOKUP(1,(Table15[[#This Row],[Name]]=Points!$B:$B)*(Table15[[#Headers],[Austria - 2 July]]=Points!$C:$C),Points!$F:$F,0,0,-1),0)</f>
        <v>0</v>
      </c>
      <c r="Q4" s="9" cm="1">
        <f t="array" ref="Q4">IFERROR(_xlfn.XLOOKUP(1,(Table15[[#This Row],[Name]]=Points!$B:$B)*(Table15[[#Headers],[Great Britain - 9 July]]=Points!$C:$C),Points!$F:$F,0,0,-1),0)</f>
        <v>0</v>
      </c>
      <c r="R4" s="9" cm="1">
        <f t="array" ref="R4">IFERROR(_xlfn.XLOOKUP(1,(Table15[[#This Row],[Name]]=Points!$B:$B)*(Table15[[#Headers],[Hungary - 23 July]]=Points!$C:$C),Points!$F:$F,0,0,-1),0)</f>
        <v>0</v>
      </c>
      <c r="S4" s="9" cm="1">
        <f t="array" ref="S4">IFERROR(_xlfn.XLOOKUP(1,(Table15[[#This Row],[Name]]=Points!$B:$B)*(Table15[[#Headers],[Belgium - 30 July]]=Points!$C:$C),Points!$F:$F,0,0,-1),0)</f>
        <v>0</v>
      </c>
      <c r="T4" s="9" cm="1">
        <f t="array" ref="T4">IFERROR(_xlfn.XLOOKUP(1,(Table15[[#This Row],[Name]]=Points!$B:$B)*(Table15[[#Headers],[Netherlands - 27 August]]=Points!$C:$C),Points!$F:$F,0,0,-1),0)</f>
        <v>0</v>
      </c>
      <c r="U4" s="9" cm="1">
        <f t="array" ref="U4">IFERROR(_xlfn.XLOOKUP(1,(Table15[[#This Row],[Name]]=Points!$B:$B)*(Table15[[#Headers],[Italy - 3 September]]=Points!$C:$C),Points!$F:$F,0,0,-1),0)</f>
        <v>0</v>
      </c>
      <c r="V4" s="9" cm="1">
        <f t="array" ref="V4">IFERROR(_xlfn.XLOOKUP(1,(Table15[[#This Row],[Name]]=Points!$B:$B)*(Table15[[#Headers],[Singapore - 17 September]]=Points!$C:$C),Points!$F:$F,0,0,-1),0)</f>
        <v>0</v>
      </c>
      <c r="W4" s="9" cm="1">
        <f t="array" ref="W4">IFERROR(_xlfn.XLOOKUP(1,(Table15[[#This Row],[Name]]=Points!$B:$B)*(Table15[[#Headers],[Japan - 24 September]]=Points!$C:$C),Points!$F:$F,0,0,-1),0)</f>
        <v>0</v>
      </c>
      <c r="X4" s="9" cm="1">
        <f t="array" ref="X4">IFERROR(_xlfn.XLOOKUP(1,(Table15[[#This Row],[Name]]=Points!$B:$B)*(Table15[[#Headers],[Qatar - 8 October]]=Points!$C:$C),Points!$F:$F,0,0,-1),0)</f>
        <v>0</v>
      </c>
      <c r="Y4" s="9" cm="1">
        <f t="array" ref="Y4">IFERROR(_xlfn.XLOOKUP(1,(Table15[[#This Row],[Name]]=Points!$B:$B)*(Table15[[#Headers],[United States - 22 October]]=Points!$C:$C),Points!$F:$F,0,0,-1),0)</f>
        <v>0</v>
      </c>
      <c r="Z4" s="9" cm="1">
        <f t="array" ref="Z4">IFERROR(_xlfn.XLOOKUP(1,(Table15[[#This Row],[Name]]=Points!$B:$B)*(Table15[[#Headers],[Mexico - 29 October]]=Points!$C:$C),Points!$F:$F,0,0,-1),0)</f>
        <v>0</v>
      </c>
      <c r="AA4" s="9" cm="1">
        <f t="array" ref="AA4">IFERROR(_xlfn.XLOOKUP(1,(Table15[[#This Row],[Name]]=Points!$B:$B)*(Table15[[#Headers],[Brazil - 5 November]]=Points!$C:$C),Points!$F:$F,0,0,-1),0)</f>
        <v>0</v>
      </c>
      <c r="AB4" s="9" cm="1">
        <f t="array" ref="AB4">IFERROR(_xlfn.XLOOKUP(1,(Table15[[#This Row],[Name]]=Points!$B:$B)*(Table15[[#Headers],[Las Vegas - 18 November]]=Points!$C:$C),Points!$F:$F,0,0,-1),0)</f>
        <v>0</v>
      </c>
      <c r="AC4" s="9" cm="1">
        <f t="array" ref="AC4">IFERROR(_xlfn.XLOOKUP(1,(Table15[[#This Row],[Name]]=Points!$B:$B)*(Table15[[#Headers],[Abu Dhabi - 26 November]]=Points!$C:$C),Points!$F:$F,0,0,-1),0)</f>
        <v>0</v>
      </c>
    </row>
    <row r="5" spans="1:29" ht="15.6" x14ac:dyDescent="0.3">
      <c r="A5" s="4">
        <v>4</v>
      </c>
      <c r="B5" t="s">
        <v>45</v>
      </c>
      <c r="C5" cm="1">
        <f t="array" ref="C5">Table15[[#This Row],[Total]]-_xlfn.XLOOKUP($G$35,$H$36:$AC$36,Table15[[#This Row],[Saudi Arabia - 19 March]:[Abu Dhabi - 26 November]])</f>
        <v>0</v>
      </c>
      <c r="D5" cm="1">
        <f t="array" ref="D5">_xlfn.XLOOKUP(B5,_xlfn.SORTBY(Table15[Name],Table15[Previous Race Total],-1),$A$2:$A$27)</f>
        <v>4</v>
      </c>
      <c r="E5" cm="1">
        <f t="array" ref="E5">_xlfn.XLOOKUP(B5,_xlfn.SORTBY(Table15[Name],Table15[Total],-1),$A$2:$A$27)</f>
        <v>4</v>
      </c>
      <c r="F5" s="94">
        <f>Table15[[#This Row],[Previous race Ranking]]-Table15[[#This Row],[Current ranking]]</f>
        <v>0</v>
      </c>
      <c r="G5" s="85">
        <f t="shared" si="0"/>
        <v>0</v>
      </c>
      <c r="H5" s="9" cm="1">
        <f t="array" ref="H5">IFERROR(_xlfn.XLOOKUP(1,(Table15[[#This Row],[Brazil - 5 November]]=Points!$B:$B)*(Table15[[#Headers],[Saudi Arabia - 19 March]]=Points!$C:$C),Points!$F:$F,0,0,-1),0)</f>
        <v>0</v>
      </c>
      <c r="I5" s="9" cm="1">
        <f t="array" ref="I5">IFERROR(_xlfn.XLOOKUP(1,(Table15[[#This Row],[Las Vegas - 18 November]]=Points!$B:$B)*(Table15[[#Headers],[Australia - 2 April]]=Points!$C:$C),Points!$F:$F,0,0,-1),0)</f>
        <v>0</v>
      </c>
      <c r="J5" s="9" cm="1">
        <f t="array" ref="J5">IFERROR(_xlfn.XLOOKUP(1,(Table15[[#This Row],[Abu Dhabi - 26 November]]=Points!$B:$B)*(Table15[[#Headers],[Azerbaijan - 30 April]]=Points!$C:$C),Points!$F:$F,0,0,-1),0)</f>
        <v>0</v>
      </c>
      <c r="K5" s="9" cm="1">
        <f t="array" ref="K5">IFERROR(_xlfn.XLOOKUP(1,(Table15[[#This Row],[Name]]=Points!$B:$B)*(Table15[[#Headers],[Miami - 7 May]]=Points!$C:$C),Points!$F:$F,0,0,-1),0)</f>
        <v>0</v>
      </c>
      <c r="L5" s="9" cm="1">
        <f t="array" ref="L5">IFERROR(_xlfn.XLOOKUP(1,(Table15[[#This Row],[Name]]=Points!$B:$B)*(Table15[[#Headers],[Italy - 21 May]]=Points!$C:$C),Points!$F:$F,0,0,-1),0)</f>
        <v>0</v>
      </c>
      <c r="M5" s="9" cm="1">
        <f t="array" ref="M5">IFERROR(_xlfn.XLOOKUP(1,(Table15[[#This Row],[Name]]=Points!$B:$B)*(Table15[[#Headers],[Monaco - 28 May]]=Points!$C:$C),Points!$F:$F,0,0,-1),0)</f>
        <v>0</v>
      </c>
      <c r="N5" s="9" cm="1">
        <f t="array" ref="N5">IFERROR(_xlfn.XLOOKUP(1,(Table15[[#This Row],[Name]]=Points!$B:$B)*(Table15[[#Headers],[Spain - 4 June]]=Points!$C:$C),Points!$F:$F,0,0,-1),0)</f>
        <v>0</v>
      </c>
      <c r="O5" s="9" cm="1">
        <f t="array" ref="O5">IFERROR(_xlfn.XLOOKUP(1,(Table15[[#This Row],[Name]]=Points!$B:$B)*(Table15[[#Headers],[Canada - 18 June]]=Points!$C:$C),Points!$F:$F,0,0,-1),0)</f>
        <v>0</v>
      </c>
      <c r="P5" s="9" cm="1">
        <f t="array" ref="P5">IFERROR(_xlfn.XLOOKUP(1,(Table15[[#This Row],[Name]]=Points!$B:$B)*(Table15[[#Headers],[Austria - 2 July]]=Points!$C:$C),Points!$F:$F,0,0,-1),0)</f>
        <v>0</v>
      </c>
      <c r="Q5" s="9" cm="1">
        <f t="array" ref="Q5">IFERROR(_xlfn.XLOOKUP(1,(Table15[[#This Row],[Name]]=Points!$B:$B)*(Table15[[#Headers],[Great Britain - 9 July]]=Points!$C:$C),Points!$F:$F,0,0,-1),0)</f>
        <v>0</v>
      </c>
      <c r="R5" s="9" cm="1">
        <f t="array" ref="R5">IFERROR(_xlfn.XLOOKUP(1,(Table15[[#This Row],[Name]]=Points!$B:$B)*(Table15[[#Headers],[Hungary - 23 July]]=Points!$C:$C),Points!$F:$F,0,0,-1),0)</f>
        <v>0</v>
      </c>
      <c r="S5" s="9" cm="1">
        <f t="array" ref="S5">IFERROR(_xlfn.XLOOKUP(1,(Table15[[#This Row],[Name]]=Points!$B:$B)*(Table15[[#Headers],[Belgium - 30 July]]=Points!$C:$C),Points!$F:$F,0,0,-1),0)</f>
        <v>0</v>
      </c>
      <c r="T5" s="9" cm="1">
        <f t="array" ref="T5">IFERROR(_xlfn.XLOOKUP(1,(Table15[[#This Row],[Name]]=Points!$B:$B)*(Table15[[#Headers],[Netherlands - 27 August]]=Points!$C:$C),Points!$F:$F,0,0,-1),0)</f>
        <v>0</v>
      </c>
      <c r="U5" s="9" cm="1">
        <f t="array" ref="U5">IFERROR(_xlfn.XLOOKUP(1,(Table15[[#This Row],[Name]]=Points!$B:$B)*(Table15[[#Headers],[Italy - 3 September]]=Points!$C:$C),Points!$F:$F,0,0,-1),0)</f>
        <v>0</v>
      </c>
      <c r="V5" s="9" cm="1">
        <f t="array" ref="V5">IFERROR(_xlfn.XLOOKUP(1,(Table15[[#This Row],[Name]]=Points!$B:$B)*(Table15[[#Headers],[Singapore - 17 September]]=Points!$C:$C),Points!$F:$F,0,0,-1),0)</f>
        <v>0</v>
      </c>
      <c r="W5" s="9" cm="1">
        <f t="array" ref="W5">IFERROR(_xlfn.XLOOKUP(1,(Table15[[#This Row],[Name]]=Points!$B:$B)*(Table15[[#Headers],[Japan - 24 September]]=Points!$C:$C),Points!$F:$F,0,0,-1),0)</f>
        <v>0</v>
      </c>
      <c r="X5" s="9" cm="1">
        <f t="array" ref="X5">IFERROR(_xlfn.XLOOKUP(1,(Table15[[#This Row],[Name]]=Points!$B:$B)*(Table15[[#Headers],[Qatar - 8 October]]=Points!$C:$C),Points!$F:$F,0,0,-1),0)</f>
        <v>0</v>
      </c>
      <c r="Y5" s="9" cm="1">
        <f t="array" ref="Y5">IFERROR(_xlfn.XLOOKUP(1,(Table15[[#This Row],[Name]]=Points!$B:$B)*(Table15[[#Headers],[United States - 22 October]]=Points!$C:$C),Points!$F:$F,0,0,-1),0)</f>
        <v>0</v>
      </c>
      <c r="Z5" s="9" cm="1">
        <f t="array" ref="Z5">IFERROR(_xlfn.XLOOKUP(1,(Table15[[#This Row],[Name]]=Points!$B:$B)*(Table15[[#Headers],[Mexico - 29 October]]=Points!$C:$C),Points!$F:$F,0,0,-1),0)</f>
        <v>0</v>
      </c>
      <c r="AA5" s="9" cm="1">
        <f t="array" ref="AA5">IFERROR(_xlfn.XLOOKUP(1,(Table15[[#This Row],[Name]]=Points!$B:$B)*(Table15[[#Headers],[Brazil - 5 November]]=Points!$C:$C),Points!$F:$F,0,0,-1),0)</f>
        <v>0</v>
      </c>
      <c r="AB5" s="9" cm="1">
        <f t="array" ref="AB5">IFERROR(_xlfn.XLOOKUP(1,(Table15[[#This Row],[Name]]=Points!$B:$B)*(Table15[[#Headers],[Las Vegas - 18 November]]=Points!$C:$C),Points!$F:$F,0,0,-1),0)</f>
        <v>0</v>
      </c>
      <c r="AC5" s="9" cm="1">
        <f t="array" ref="AC5">IFERROR(_xlfn.XLOOKUP(1,(Table15[[#This Row],[Name]]=Points!$B:$B)*(Table15[[#Headers],[Abu Dhabi - 26 November]]=Points!$C:$C),Points!$F:$F,0,0,-1),0)</f>
        <v>0</v>
      </c>
    </row>
    <row r="6" spans="1:29" ht="15.6" x14ac:dyDescent="0.3">
      <c r="A6" s="4">
        <v>5</v>
      </c>
      <c r="B6" t="s">
        <v>52</v>
      </c>
      <c r="C6" cm="1">
        <f t="array" ref="C6">Table15[[#This Row],[Total]]-_xlfn.XLOOKUP($G$35,$H$36:$AC$36,Table15[[#This Row],[Saudi Arabia - 19 March]:[Abu Dhabi - 26 November]])</f>
        <v>0</v>
      </c>
      <c r="D6" cm="1">
        <f t="array" ref="D6">_xlfn.XLOOKUP(B6,_xlfn.SORTBY(Table15[Name],Table15[Previous Race Total],-1),$A$2:$A$27)</f>
        <v>5</v>
      </c>
      <c r="E6" cm="1">
        <f t="array" ref="E6">_xlfn.XLOOKUP(B6,_xlfn.SORTBY(Table15[Name],Table15[Total],-1),$A$2:$A$27)</f>
        <v>5</v>
      </c>
      <c r="F6" s="94">
        <f>Table15[[#This Row],[Previous race Ranking]]-Table15[[#This Row],[Current ranking]]</f>
        <v>0</v>
      </c>
      <c r="G6" s="85">
        <f t="shared" si="0"/>
        <v>0</v>
      </c>
      <c r="H6" s="9" cm="1">
        <f t="array" ref="H6">IFERROR(_xlfn.XLOOKUP(1,(Table15[[#This Row],[Brazil - 5 November]]=Points!$B:$B)*(Table15[[#Headers],[Saudi Arabia - 19 March]]=Points!$C:$C),Points!$F:$F,0,0,-1),0)</f>
        <v>0</v>
      </c>
      <c r="I6" s="9" cm="1">
        <f t="array" ref="I6">IFERROR(_xlfn.XLOOKUP(1,(Table15[[#This Row],[Las Vegas - 18 November]]=Points!$B:$B)*(Table15[[#Headers],[Australia - 2 April]]=Points!$C:$C),Points!$F:$F,0,0,-1),0)</f>
        <v>0</v>
      </c>
      <c r="J6" s="9" cm="1">
        <f t="array" ref="J6">IFERROR(_xlfn.XLOOKUP(1,(Table15[[#This Row],[Abu Dhabi - 26 November]]=Points!$B:$B)*(Table15[[#Headers],[Azerbaijan - 30 April]]=Points!$C:$C),Points!$F:$F,0,0,-1),0)</f>
        <v>0</v>
      </c>
      <c r="K6" s="9" cm="1">
        <f t="array" ref="K6">IFERROR(_xlfn.XLOOKUP(1,(Table15[[#This Row],[Name]]=Points!$B:$B)*(Table15[[#Headers],[Miami - 7 May]]=Points!$C:$C),Points!$F:$F,0,0,-1),0)</f>
        <v>0</v>
      </c>
      <c r="L6" s="9" cm="1">
        <f t="array" ref="L6">IFERROR(_xlfn.XLOOKUP(1,(Table15[[#This Row],[Name]]=Points!$B:$B)*(Table15[[#Headers],[Italy - 21 May]]=Points!$C:$C),Points!$F:$F,0,0,-1),0)</f>
        <v>0</v>
      </c>
      <c r="M6" s="9" cm="1">
        <f t="array" ref="M6">IFERROR(_xlfn.XLOOKUP(1,(Table15[[#This Row],[Name]]=Points!$B:$B)*(Table15[[#Headers],[Monaco - 28 May]]=Points!$C:$C),Points!$F:$F,0,0,-1),0)</f>
        <v>0</v>
      </c>
      <c r="N6" s="9" cm="1">
        <f t="array" ref="N6">IFERROR(_xlfn.XLOOKUP(1,(Table15[[#This Row],[Name]]=Points!$B:$B)*(Table15[[#Headers],[Spain - 4 June]]=Points!$C:$C),Points!$F:$F,0,0,-1),0)</f>
        <v>0</v>
      </c>
      <c r="O6" s="9" cm="1">
        <f t="array" ref="O6">IFERROR(_xlfn.XLOOKUP(1,(Table15[[#This Row],[Name]]=Points!$B:$B)*(Table15[[#Headers],[Canada - 18 June]]=Points!$C:$C),Points!$F:$F,0,0,-1),0)</f>
        <v>0</v>
      </c>
      <c r="P6" s="9" cm="1">
        <f t="array" ref="P6">IFERROR(_xlfn.XLOOKUP(1,(Table15[[#This Row],[Name]]=Points!$B:$B)*(Table15[[#Headers],[Austria - 2 July]]=Points!$C:$C),Points!$F:$F,0,0,-1),0)</f>
        <v>0</v>
      </c>
      <c r="Q6" s="9" cm="1">
        <f t="array" ref="Q6">IFERROR(_xlfn.XLOOKUP(1,(Table15[[#This Row],[Name]]=Points!$B:$B)*(Table15[[#Headers],[Great Britain - 9 July]]=Points!$C:$C),Points!$F:$F,0,0,-1),0)</f>
        <v>0</v>
      </c>
      <c r="R6" s="9" cm="1">
        <f t="array" ref="R6">IFERROR(_xlfn.XLOOKUP(1,(Table15[[#This Row],[Name]]=Points!$B:$B)*(Table15[[#Headers],[Hungary - 23 July]]=Points!$C:$C),Points!$F:$F,0,0,-1),0)</f>
        <v>0</v>
      </c>
      <c r="S6" s="9" cm="1">
        <f t="array" ref="S6">IFERROR(_xlfn.XLOOKUP(1,(Table15[[#This Row],[Name]]=Points!$B:$B)*(Table15[[#Headers],[Belgium - 30 July]]=Points!$C:$C),Points!$F:$F,0,0,-1),0)</f>
        <v>0</v>
      </c>
      <c r="T6" s="9" cm="1">
        <f t="array" ref="T6">IFERROR(_xlfn.XLOOKUP(1,(Table15[[#This Row],[Name]]=Points!$B:$B)*(Table15[[#Headers],[Netherlands - 27 August]]=Points!$C:$C),Points!$F:$F,0,0,-1),0)</f>
        <v>0</v>
      </c>
      <c r="U6" s="9" cm="1">
        <f t="array" ref="U6">IFERROR(_xlfn.XLOOKUP(1,(Table15[[#This Row],[Name]]=Points!$B:$B)*(Table15[[#Headers],[Italy - 3 September]]=Points!$C:$C),Points!$F:$F,0,0,-1),0)</f>
        <v>0</v>
      </c>
      <c r="V6" s="9" cm="1">
        <f t="array" ref="V6">IFERROR(_xlfn.XLOOKUP(1,(Table15[[#This Row],[Name]]=Points!$B:$B)*(Table15[[#Headers],[Singapore - 17 September]]=Points!$C:$C),Points!$F:$F,0,0,-1),0)</f>
        <v>0</v>
      </c>
      <c r="W6" s="9" cm="1">
        <f t="array" ref="W6">IFERROR(_xlfn.XLOOKUP(1,(Table15[[#This Row],[Name]]=Points!$B:$B)*(Table15[[#Headers],[Japan - 24 September]]=Points!$C:$C),Points!$F:$F,0,0,-1),0)</f>
        <v>0</v>
      </c>
      <c r="X6" s="9" cm="1">
        <f t="array" ref="X6">IFERROR(_xlfn.XLOOKUP(1,(Table15[[#This Row],[Name]]=Points!$B:$B)*(Table15[[#Headers],[Qatar - 8 October]]=Points!$C:$C),Points!$F:$F,0,0,-1),0)</f>
        <v>0</v>
      </c>
      <c r="Y6" s="9" cm="1">
        <f t="array" ref="Y6">IFERROR(_xlfn.XLOOKUP(1,(Table15[[#This Row],[Name]]=Points!$B:$B)*(Table15[[#Headers],[United States - 22 October]]=Points!$C:$C),Points!$F:$F,0,0,-1),0)</f>
        <v>0</v>
      </c>
      <c r="Z6" s="9" cm="1">
        <f t="array" ref="Z6">IFERROR(_xlfn.XLOOKUP(1,(Table15[[#This Row],[Name]]=Points!$B:$B)*(Table15[[#Headers],[Mexico - 29 October]]=Points!$C:$C),Points!$F:$F,0,0,-1),0)</f>
        <v>0</v>
      </c>
      <c r="AA6" s="9" cm="1">
        <f t="array" ref="AA6">IFERROR(_xlfn.XLOOKUP(1,(Table15[[#This Row],[Name]]=Points!$B:$B)*(Table15[[#Headers],[Brazil - 5 November]]=Points!$C:$C),Points!$F:$F,0,0,-1),0)</f>
        <v>0</v>
      </c>
      <c r="AB6" s="9" cm="1">
        <f t="array" ref="AB6">IFERROR(_xlfn.XLOOKUP(1,(Table15[[#This Row],[Name]]=Points!$B:$B)*(Table15[[#Headers],[Las Vegas - 18 November]]=Points!$C:$C),Points!$F:$F,0,0,-1),0)</f>
        <v>0</v>
      </c>
      <c r="AC6" s="9" cm="1">
        <f t="array" ref="AC6">IFERROR(_xlfn.XLOOKUP(1,(Table15[[#This Row],[Name]]=Points!$B:$B)*(Table15[[#Headers],[Abu Dhabi - 26 November]]=Points!$C:$C),Points!$F:$F,0,0,-1),0)</f>
        <v>0</v>
      </c>
    </row>
    <row r="7" spans="1:29" ht="15.6" x14ac:dyDescent="0.3">
      <c r="A7" s="4">
        <v>6</v>
      </c>
      <c r="B7" t="s">
        <v>53</v>
      </c>
      <c r="C7" cm="1">
        <f t="array" ref="C7">Table15[[#This Row],[Total]]-_xlfn.XLOOKUP($G$35,$H$36:$AC$36,Table15[[#This Row],[Saudi Arabia - 19 March]:[Abu Dhabi - 26 November]])</f>
        <v>0</v>
      </c>
      <c r="D7" cm="1">
        <f t="array" ref="D7">_xlfn.XLOOKUP(B7,_xlfn.SORTBY(Table15[Name],Table15[Previous Race Total],-1),$A$2:$A$27)</f>
        <v>6</v>
      </c>
      <c r="E7" cm="1">
        <f t="array" ref="E7">_xlfn.XLOOKUP(B7,_xlfn.SORTBY(Table15[Name],Table15[Total],-1),$A$2:$A$27)</f>
        <v>6</v>
      </c>
      <c r="F7" s="94">
        <f>Table15[[#This Row],[Previous race Ranking]]-Table15[[#This Row],[Current ranking]]</f>
        <v>0</v>
      </c>
      <c r="G7" s="85">
        <f t="shared" si="0"/>
        <v>0</v>
      </c>
      <c r="H7" s="9" cm="1">
        <f t="array" ref="H7">IFERROR(_xlfn.XLOOKUP(1,(Table15[[#This Row],[Brazil - 5 November]]=Points!$B:$B)*(Table15[[#Headers],[Saudi Arabia - 19 March]]=Points!$C:$C),Points!$F:$F,0,0,-1),0)</f>
        <v>0</v>
      </c>
      <c r="I7" s="9" cm="1">
        <f t="array" ref="I7">IFERROR(_xlfn.XLOOKUP(1,(Table15[[#This Row],[Las Vegas - 18 November]]=Points!$B:$B)*(Table15[[#Headers],[Australia - 2 April]]=Points!$C:$C),Points!$F:$F,0,0,-1),0)</f>
        <v>0</v>
      </c>
      <c r="J7" s="9" cm="1">
        <f t="array" ref="J7">IFERROR(_xlfn.XLOOKUP(1,(Table15[[#This Row],[Abu Dhabi - 26 November]]=Points!$B:$B)*(Table15[[#Headers],[Azerbaijan - 30 April]]=Points!$C:$C),Points!$F:$F,0,0,-1),0)</f>
        <v>0</v>
      </c>
      <c r="K7" s="9" cm="1">
        <f t="array" ref="K7">IFERROR(_xlfn.XLOOKUP(1,(Table15[[#This Row],[Name]]=Points!$B:$B)*(Table15[[#Headers],[Miami - 7 May]]=Points!$C:$C),Points!$F:$F,0,0,-1),0)</f>
        <v>0</v>
      </c>
      <c r="L7" s="9" cm="1">
        <f t="array" ref="L7">IFERROR(_xlfn.XLOOKUP(1,(Table15[[#This Row],[Name]]=Points!$B:$B)*(Table15[[#Headers],[Italy - 21 May]]=Points!$C:$C),Points!$F:$F,0,0,-1),0)</f>
        <v>0</v>
      </c>
      <c r="M7" s="9" cm="1">
        <f t="array" ref="M7">IFERROR(_xlfn.XLOOKUP(1,(Table15[[#This Row],[Name]]=Points!$B:$B)*(Table15[[#Headers],[Monaco - 28 May]]=Points!$C:$C),Points!$F:$F,0,0,-1),0)</f>
        <v>0</v>
      </c>
      <c r="N7" s="9" cm="1">
        <f t="array" ref="N7">IFERROR(_xlfn.XLOOKUP(1,(Table15[[#This Row],[Name]]=Points!$B:$B)*(Table15[[#Headers],[Spain - 4 June]]=Points!$C:$C),Points!$F:$F,0,0,-1),0)</f>
        <v>0</v>
      </c>
      <c r="O7" s="9" cm="1">
        <f t="array" ref="O7">IFERROR(_xlfn.XLOOKUP(1,(Table15[[#This Row],[Name]]=Points!$B:$B)*(Table15[[#Headers],[Canada - 18 June]]=Points!$C:$C),Points!$F:$F,0,0,-1),0)</f>
        <v>0</v>
      </c>
      <c r="P7" s="9" cm="1">
        <f t="array" ref="P7">IFERROR(_xlfn.XLOOKUP(1,(Table15[[#This Row],[Name]]=Points!$B:$B)*(Table15[[#Headers],[Austria - 2 July]]=Points!$C:$C),Points!$F:$F,0,0,-1),0)</f>
        <v>0</v>
      </c>
      <c r="Q7" s="9" cm="1">
        <f t="array" ref="Q7">IFERROR(_xlfn.XLOOKUP(1,(Table15[[#This Row],[Name]]=Points!$B:$B)*(Table15[[#Headers],[Great Britain - 9 July]]=Points!$C:$C),Points!$F:$F,0,0,-1),0)</f>
        <v>0</v>
      </c>
      <c r="R7" s="9" cm="1">
        <f t="array" ref="R7">IFERROR(_xlfn.XLOOKUP(1,(Table15[[#This Row],[Name]]=Points!$B:$B)*(Table15[[#Headers],[Hungary - 23 July]]=Points!$C:$C),Points!$F:$F,0,0,-1),0)</f>
        <v>0</v>
      </c>
      <c r="S7" s="9" cm="1">
        <f t="array" ref="S7">IFERROR(_xlfn.XLOOKUP(1,(Table15[[#This Row],[Name]]=Points!$B:$B)*(Table15[[#Headers],[Belgium - 30 July]]=Points!$C:$C),Points!$F:$F,0,0,-1),0)</f>
        <v>0</v>
      </c>
      <c r="T7" s="9" cm="1">
        <f t="array" ref="T7">IFERROR(_xlfn.XLOOKUP(1,(Table15[[#This Row],[Name]]=Points!$B:$B)*(Table15[[#Headers],[Netherlands - 27 August]]=Points!$C:$C),Points!$F:$F,0,0,-1),0)</f>
        <v>0</v>
      </c>
      <c r="U7" s="9" cm="1">
        <f t="array" ref="U7">IFERROR(_xlfn.XLOOKUP(1,(Table15[[#This Row],[Name]]=Points!$B:$B)*(Table15[[#Headers],[Italy - 3 September]]=Points!$C:$C),Points!$F:$F,0,0,-1),0)</f>
        <v>0</v>
      </c>
      <c r="V7" s="9" cm="1">
        <f t="array" ref="V7">IFERROR(_xlfn.XLOOKUP(1,(Table15[[#This Row],[Name]]=Points!$B:$B)*(Table15[[#Headers],[Singapore - 17 September]]=Points!$C:$C),Points!$F:$F,0,0,-1),0)</f>
        <v>0</v>
      </c>
      <c r="W7" s="9" cm="1">
        <f t="array" ref="W7">IFERROR(_xlfn.XLOOKUP(1,(Table15[[#This Row],[Name]]=Points!$B:$B)*(Table15[[#Headers],[Japan - 24 September]]=Points!$C:$C),Points!$F:$F,0,0,-1),0)</f>
        <v>0</v>
      </c>
      <c r="X7" s="9" cm="1">
        <f t="array" ref="X7">IFERROR(_xlfn.XLOOKUP(1,(Table15[[#This Row],[Name]]=Points!$B:$B)*(Table15[[#Headers],[Qatar - 8 October]]=Points!$C:$C),Points!$F:$F,0,0,-1),0)</f>
        <v>0</v>
      </c>
      <c r="Y7" s="9" cm="1">
        <f t="array" ref="Y7">IFERROR(_xlfn.XLOOKUP(1,(Table15[[#This Row],[Name]]=Points!$B:$B)*(Table15[[#Headers],[United States - 22 October]]=Points!$C:$C),Points!$F:$F,0,0,-1),0)</f>
        <v>0</v>
      </c>
      <c r="Z7" s="9" cm="1">
        <f t="array" ref="Z7">IFERROR(_xlfn.XLOOKUP(1,(Table15[[#This Row],[Name]]=Points!$B:$B)*(Table15[[#Headers],[Mexico - 29 October]]=Points!$C:$C),Points!$F:$F,0,0,-1),0)</f>
        <v>0</v>
      </c>
      <c r="AA7" s="9" cm="1">
        <f t="array" ref="AA7">IFERROR(_xlfn.XLOOKUP(1,(Table15[[#This Row],[Name]]=Points!$B:$B)*(Table15[[#Headers],[Brazil - 5 November]]=Points!$C:$C),Points!$F:$F,0,0,-1),0)</f>
        <v>0</v>
      </c>
      <c r="AB7" s="9" cm="1">
        <f t="array" ref="AB7">IFERROR(_xlfn.XLOOKUP(1,(Table15[[#This Row],[Name]]=Points!$B:$B)*(Table15[[#Headers],[Las Vegas - 18 November]]=Points!$C:$C),Points!$F:$F,0,0,-1),0)</f>
        <v>0</v>
      </c>
      <c r="AC7" s="9" cm="1">
        <f t="array" ref="AC7">IFERROR(_xlfn.XLOOKUP(1,(Table15[[#This Row],[Name]]=Points!$B:$B)*(Table15[[#Headers],[Abu Dhabi - 26 November]]=Points!$C:$C),Points!$F:$F,0,0,-1),0)</f>
        <v>0</v>
      </c>
    </row>
    <row r="8" spans="1:29" ht="15.6" x14ac:dyDescent="0.3">
      <c r="A8" s="4">
        <v>7</v>
      </c>
      <c r="B8" t="s">
        <v>51</v>
      </c>
      <c r="C8" cm="1">
        <f t="array" ref="C8">Table15[[#This Row],[Total]]-_xlfn.XLOOKUP($G$35,$H$36:$AC$36,Table15[[#This Row],[Saudi Arabia - 19 March]:[Abu Dhabi - 26 November]])</f>
        <v>0</v>
      </c>
      <c r="D8" cm="1">
        <f t="array" ref="D8">_xlfn.XLOOKUP(B8,_xlfn.SORTBY(Table15[Name],Table15[Previous Race Total],-1),$A$2:$A$27)</f>
        <v>7</v>
      </c>
      <c r="E8" cm="1">
        <f t="array" ref="E8">_xlfn.XLOOKUP(B8,_xlfn.SORTBY(Table15[Name],Table15[Total],-1),$A$2:$A$27)</f>
        <v>7</v>
      </c>
      <c r="F8" s="94">
        <f>Table15[[#This Row],[Previous race Ranking]]-Table15[[#This Row],[Current ranking]]</f>
        <v>0</v>
      </c>
      <c r="G8" s="85">
        <f t="shared" si="0"/>
        <v>0</v>
      </c>
      <c r="H8" s="9" cm="1">
        <f t="array" ref="H8">IFERROR(_xlfn.XLOOKUP(1,(Table15[[#This Row],[Brazil - 5 November]]=Points!$B:$B)*(Table15[[#Headers],[Saudi Arabia - 19 March]]=Points!$C:$C),Points!$F:$F,0,0,-1),0)</f>
        <v>0</v>
      </c>
      <c r="I8" s="9" cm="1">
        <f t="array" ref="I8">IFERROR(_xlfn.XLOOKUP(1,(Table15[[#This Row],[Las Vegas - 18 November]]=Points!$B:$B)*(Table15[[#Headers],[Australia - 2 April]]=Points!$C:$C),Points!$F:$F,0,0,-1),0)</f>
        <v>0</v>
      </c>
      <c r="J8" s="9" cm="1">
        <f t="array" ref="J8">IFERROR(_xlfn.XLOOKUP(1,(Table15[[#This Row],[Abu Dhabi - 26 November]]=Points!$B:$B)*(Table15[[#Headers],[Azerbaijan - 30 April]]=Points!$C:$C),Points!$F:$F,0,0,-1),0)</f>
        <v>0</v>
      </c>
      <c r="K8" s="9" cm="1">
        <f t="array" ref="K8">IFERROR(_xlfn.XLOOKUP(1,(Table15[[#This Row],[Name]]=Points!$B:$B)*(Table15[[#Headers],[Miami - 7 May]]=Points!$C:$C),Points!$F:$F,0,0,-1),0)</f>
        <v>0</v>
      </c>
      <c r="L8" s="9" cm="1">
        <f t="array" ref="L8">IFERROR(_xlfn.XLOOKUP(1,(Table15[[#This Row],[Name]]=Points!$B:$B)*(Table15[[#Headers],[Italy - 21 May]]=Points!$C:$C),Points!$F:$F,0,0,-1),0)</f>
        <v>0</v>
      </c>
      <c r="M8" s="9" cm="1">
        <f t="array" ref="M8">IFERROR(_xlfn.XLOOKUP(1,(Table15[[#This Row],[Name]]=Points!$B:$B)*(Table15[[#Headers],[Monaco - 28 May]]=Points!$C:$C),Points!$F:$F,0,0,-1),0)</f>
        <v>0</v>
      </c>
      <c r="N8" s="9" cm="1">
        <f t="array" ref="N8">IFERROR(_xlfn.XLOOKUP(1,(Table15[[#This Row],[Name]]=Points!$B:$B)*(Table15[[#Headers],[Spain - 4 June]]=Points!$C:$C),Points!$F:$F,0,0,-1),0)</f>
        <v>0</v>
      </c>
      <c r="O8" s="9" cm="1">
        <f t="array" ref="O8">IFERROR(_xlfn.XLOOKUP(1,(Table15[[#This Row],[Name]]=Points!$B:$B)*(Table15[[#Headers],[Canada - 18 June]]=Points!$C:$C),Points!$F:$F,0,0,-1),0)</f>
        <v>0</v>
      </c>
      <c r="P8" s="9" cm="1">
        <f t="array" ref="P8">IFERROR(_xlfn.XLOOKUP(1,(Table15[[#This Row],[Name]]=Points!$B:$B)*(Table15[[#Headers],[Austria - 2 July]]=Points!$C:$C),Points!$F:$F,0,0,-1),0)</f>
        <v>0</v>
      </c>
      <c r="Q8" s="9" cm="1">
        <f t="array" ref="Q8">IFERROR(_xlfn.XLOOKUP(1,(Table15[[#This Row],[Name]]=Points!$B:$B)*(Table15[[#Headers],[Great Britain - 9 July]]=Points!$C:$C),Points!$F:$F,0,0,-1),0)</f>
        <v>0</v>
      </c>
      <c r="R8" s="9" cm="1">
        <f t="array" ref="R8">IFERROR(_xlfn.XLOOKUP(1,(Table15[[#This Row],[Name]]=Points!$B:$B)*(Table15[[#Headers],[Hungary - 23 July]]=Points!$C:$C),Points!$F:$F,0,0,-1),0)</f>
        <v>0</v>
      </c>
      <c r="S8" s="9" cm="1">
        <f t="array" ref="S8">IFERROR(_xlfn.XLOOKUP(1,(Table15[[#This Row],[Name]]=Points!$B:$B)*(Table15[[#Headers],[Belgium - 30 July]]=Points!$C:$C),Points!$F:$F,0,0,-1),0)</f>
        <v>0</v>
      </c>
      <c r="T8" s="9" cm="1">
        <f t="array" ref="T8">IFERROR(_xlfn.XLOOKUP(1,(Table15[[#This Row],[Name]]=Points!$B:$B)*(Table15[[#Headers],[Netherlands - 27 August]]=Points!$C:$C),Points!$F:$F,0,0,-1),0)</f>
        <v>0</v>
      </c>
      <c r="U8" s="9" cm="1">
        <f t="array" ref="U8">IFERROR(_xlfn.XLOOKUP(1,(Table15[[#This Row],[Name]]=Points!$B:$B)*(Table15[[#Headers],[Italy - 3 September]]=Points!$C:$C),Points!$F:$F,0,0,-1),0)</f>
        <v>0</v>
      </c>
      <c r="V8" s="9" cm="1">
        <f t="array" ref="V8">IFERROR(_xlfn.XLOOKUP(1,(Table15[[#This Row],[Name]]=Points!$B:$B)*(Table15[[#Headers],[Singapore - 17 September]]=Points!$C:$C),Points!$F:$F,0,0,-1),0)</f>
        <v>0</v>
      </c>
      <c r="W8" s="9" cm="1">
        <f t="array" ref="W8">IFERROR(_xlfn.XLOOKUP(1,(Table15[[#This Row],[Name]]=Points!$B:$B)*(Table15[[#Headers],[Japan - 24 September]]=Points!$C:$C),Points!$F:$F,0,0,-1),0)</f>
        <v>0</v>
      </c>
      <c r="X8" s="9" cm="1">
        <f t="array" ref="X8">IFERROR(_xlfn.XLOOKUP(1,(Table15[[#This Row],[Name]]=Points!$B:$B)*(Table15[[#Headers],[Qatar - 8 October]]=Points!$C:$C),Points!$F:$F,0,0,-1),0)</f>
        <v>0</v>
      </c>
      <c r="Y8" s="9" cm="1">
        <f t="array" ref="Y8">IFERROR(_xlfn.XLOOKUP(1,(Table15[[#This Row],[Name]]=Points!$B:$B)*(Table15[[#Headers],[United States - 22 October]]=Points!$C:$C),Points!$F:$F,0,0,-1),0)</f>
        <v>0</v>
      </c>
      <c r="Z8" s="9" cm="1">
        <f t="array" ref="Z8">IFERROR(_xlfn.XLOOKUP(1,(Table15[[#This Row],[Name]]=Points!$B:$B)*(Table15[[#Headers],[Mexico - 29 October]]=Points!$C:$C),Points!$F:$F,0,0,-1),0)</f>
        <v>0</v>
      </c>
      <c r="AA8" s="9" cm="1">
        <f t="array" ref="AA8">IFERROR(_xlfn.XLOOKUP(1,(Table15[[#This Row],[Name]]=Points!$B:$B)*(Table15[[#Headers],[Brazil - 5 November]]=Points!$C:$C),Points!$F:$F,0,0,-1),0)</f>
        <v>0</v>
      </c>
      <c r="AB8" s="9" cm="1">
        <f t="array" ref="AB8">IFERROR(_xlfn.XLOOKUP(1,(Table15[[#This Row],[Name]]=Points!$B:$B)*(Table15[[#Headers],[Las Vegas - 18 November]]=Points!$C:$C),Points!$F:$F,0,0,-1),0)</f>
        <v>0</v>
      </c>
      <c r="AC8" s="9" cm="1">
        <f t="array" ref="AC8">IFERROR(_xlfn.XLOOKUP(1,(Table15[[#This Row],[Name]]=Points!$B:$B)*(Table15[[#Headers],[Abu Dhabi - 26 November]]=Points!$C:$C),Points!$F:$F,0,0,-1),0)</f>
        <v>0</v>
      </c>
    </row>
    <row r="9" spans="1:29" ht="15.6" x14ac:dyDescent="0.3">
      <c r="A9" s="4">
        <v>8</v>
      </c>
      <c r="B9" t="s">
        <v>49</v>
      </c>
      <c r="C9" cm="1">
        <f t="array" ref="C9">Table15[[#This Row],[Total]]-_xlfn.XLOOKUP($G$35,$H$36:$AC$36,Table15[[#This Row],[Saudi Arabia - 19 March]:[Abu Dhabi - 26 November]])</f>
        <v>0</v>
      </c>
      <c r="D9" cm="1">
        <f t="array" ref="D9">_xlfn.XLOOKUP(B9,_xlfn.SORTBY(Table15[Name],Table15[Previous Race Total],-1),$A$2:$A$27)</f>
        <v>8</v>
      </c>
      <c r="E9" cm="1">
        <f t="array" ref="E9">_xlfn.XLOOKUP(B9,_xlfn.SORTBY(Table15[Name],Table15[Total],-1),$A$2:$A$27)</f>
        <v>8</v>
      </c>
      <c r="F9" s="94">
        <f>Table15[[#This Row],[Previous race Ranking]]-Table15[[#This Row],[Current ranking]]</f>
        <v>0</v>
      </c>
      <c r="G9" s="85">
        <f t="shared" si="0"/>
        <v>0</v>
      </c>
      <c r="H9" s="9" cm="1">
        <f t="array" ref="H9">IFERROR(_xlfn.XLOOKUP(1,(Table15[[#This Row],[Brazil - 5 November]]=Points!$B:$B)*(Table15[[#Headers],[Saudi Arabia - 19 March]]=Points!$C:$C),Points!$F:$F,0,0,-1),0)</f>
        <v>0</v>
      </c>
      <c r="I9" s="9" cm="1">
        <f t="array" ref="I9">IFERROR(_xlfn.XLOOKUP(1,(Table15[[#This Row],[Las Vegas - 18 November]]=Points!$B:$B)*(Table15[[#Headers],[Australia - 2 April]]=Points!$C:$C),Points!$F:$F,0,0,-1),0)</f>
        <v>0</v>
      </c>
      <c r="J9" s="9" cm="1">
        <f t="array" ref="J9">IFERROR(_xlfn.XLOOKUP(1,(Table15[[#This Row],[Abu Dhabi - 26 November]]=Points!$B:$B)*(Table15[[#Headers],[Azerbaijan - 30 April]]=Points!$C:$C),Points!$F:$F,0,0,-1),0)</f>
        <v>0</v>
      </c>
      <c r="K9" s="9" cm="1">
        <f t="array" ref="K9">IFERROR(_xlfn.XLOOKUP(1,(Table15[[#This Row],[Name]]=Points!$B:$B)*(Table15[[#Headers],[Miami - 7 May]]=Points!$C:$C),Points!$F:$F,0,0,-1),0)</f>
        <v>0</v>
      </c>
      <c r="L9" s="9" cm="1">
        <f t="array" ref="L9">IFERROR(_xlfn.XLOOKUP(1,(Table15[[#This Row],[Name]]=Points!$B:$B)*(Table15[[#Headers],[Italy - 21 May]]=Points!$C:$C),Points!$F:$F,0,0,-1),0)</f>
        <v>0</v>
      </c>
      <c r="M9" s="9" cm="1">
        <f t="array" ref="M9">IFERROR(_xlfn.XLOOKUP(1,(Table15[[#This Row],[Name]]=Points!$B:$B)*(Table15[[#Headers],[Monaco - 28 May]]=Points!$C:$C),Points!$F:$F,0,0,-1),0)</f>
        <v>0</v>
      </c>
      <c r="N9" s="9" cm="1">
        <f t="array" ref="N9">IFERROR(_xlfn.XLOOKUP(1,(Table15[[#This Row],[Name]]=Points!$B:$B)*(Table15[[#Headers],[Spain - 4 June]]=Points!$C:$C),Points!$F:$F,0,0,-1),0)</f>
        <v>0</v>
      </c>
      <c r="O9" s="9" cm="1">
        <f t="array" ref="O9">IFERROR(_xlfn.XLOOKUP(1,(Table15[[#This Row],[Name]]=Points!$B:$B)*(Table15[[#Headers],[Canada - 18 June]]=Points!$C:$C),Points!$F:$F,0,0,-1),0)</f>
        <v>0</v>
      </c>
      <c r="P9" s="9" cm="1">
        <f t="array" ref="P9">IFERROR(_xlfn.XLOOKUP(1,(Table15[[#This Row],[Name]]=Points!$B:$B)*(Table15[[#Headers],[Austria - 2 July]]=Points!$C:$C),Points!$F:$F,0,0,-1),0)</f>
        <v>0</v>
      </c>
      <c r="Q9" s="9" cm="1">
        <f t="array" ref="Q9">IFERROR(_xlfn.XLOOKUP(1,(Table15[[#This Row],[Name]]=Points!$B:$B)*(Table15[[#Headers],[Great Britain - 9 July]]=Points!$C:$C),Points!$F:$F,0,0,-1),0)</f>
        <v>0</v>
      </c>
      <c r="R9" s="9" cm="1">
        <f t="array" ref="R9">IFERROR(_xlfn.XLOOKUP(1,(Table15[[#This Row],[Name]]=Points!$B:$B)*(Table15[[#Headers],[Hungary - 23 July]]=Points!$C:$C),Points!$F:$F,0,0,-1),0)</f>
        <v>0</v>
      </c>
      <c r="S9" s="9" cm="1">
        <f t="array" ref="S9">IFERROR(_xlfn.XLOOKUP(1,(Table15[[#This Row],[Name]]=Points!$B:$B)*(Table15[[#Headers],[Belgium - 30 July]]=Points!$C:$C),Points!$F:$F,0,0,-1),0)</f>
        <v>0</v>
      </c>
      <c r="T9" s="9" cm="1">
        <f t="array" ref="T9">IFERROR(_xlfn.XLOOKUP(1,(Table15[[#This Row],[Name]]=Points!$B:$B)*(Table15[[#Headers],[Netherlands - 27 August]]=Points!$C:$C),Points!$F:$F,0,0,-1),0)</f>
        <v>0</v>
      </c>
      <c r="U9" s="9" cm="1">
        <f t="array" ref="U9">IFERROR(_xlfn.XLOOKUP(1,(Table15[[#This Row],[Name]]=Points!$B:$B)*(Table15[[#Headers],[Italy - 3 September]]=Points!$C:$C),Points!$F:$F,0,0,-1),0)</f>
        <v>0</v>
      </c>
      <c r="V9" s="9" cm="1">
        <f t="array" ref="V9">IFERROR(_xlfn.XLOOKUP(1,(Table15[[#This Row],[Name]]=Points!$B:$B)*(Table15[[#Headers],[Singapore - 17 September]]=Points!$C:$C),Points!$F:$F,0,0,-1),0)</f>
        <v>0</v>
      </c>
      <c r="W9" s="9" cm="1">
        <f t="array" ref="W9">IFERROR(_xlfn.XLOOKUP(1,(Table15[[#This Row],[Name]]=Points!$B:$B)*(Table15[[#Headers],[Japan - 24 September]]=Points!$C:$C),Points!$F:$F,0,0,-1),0)</f>
        <v>0</v>
      </c>
      <c r="X9" s="9" cm="1">
        <f t="array" ref="X9">IFERROR(_xlfn.XLOOKUP(1,(Table15[[#This Row],[Name]]=Points!$B:$B)*(Table15[[#Headers],[Qatar - 8 October]]=Points!$C:$C),Points!$F:$F,0,0,-1),0)</f>
        <v>0</v>
      </c>
      <c r="Y9" s="9" cm="1">
        <f t="array" ref="Y9">IFERROR(_xlfn.XLOOKUP(1,(Table15[[#This Row],[Name]]=Points!$B:$B)*(Table15[[#Headers],[United States - 22 October]]=Points!$C:$C),Points!$F:$F,0,0,-1),0)</f>
        <v>0</v>
      </c>
      <c r="Z9" s="9" cm="1">
        <f t="array" ref="Z9">IFERROR(_xlfn.XLOOKUP(1,(Table15[[#This Row],[Name]]=Points!$B:$B)*(Table15[[#Headers],[Mexico - 29 October]]=Points!$C:$C),Points!$F:$F,0,0,-1),0)</f>
        <v>0</v>
      </c>
      <c r="AA9" s="9" cm="1">
        <f t="array" ref="AA9">IFERROR(_xlfn.XLOOKUP(1,(Table15[[#This Row],[Name]]=Points!$B:$B)*(Table15[[#Headers],[Brazil - 5 November]]=Points!$C:$C),Points!$F:$F,0,0,-1),0)</f>
        <v>0</v>
      </c>
      <c r="AB9" s="9" cm="1">
        <f t="array" ref="AB9">IFERROR(_xlfn.XLOOKUP(1,(Table15[[#This Row],[Name]]=Points!$B:$B)*(Table15[[#Headers],[Las Vegas - 18 November]]=Points!$C:$C),Points!$F:$F,0,0,-1),0)</f>
        <v>0</v>
      </c>
      <c r="AC9" s="9" cm="1">
        <f t="array" ref="AC9">IFERROR(_xlfn.XLOOKUP(1,(Table15[[#This Row],[Name]]=Points!$B:$B)*(Table15[[#Headers],[Abu Dhabi - 26 November]]=Points!$C:$C),Points!$F:$F,0,0,-1),0)</f>
        <v>0</v>
      </c>
    </row>
    <row r="10" spans="1:29" ht="15.6" x14ac:dyDescent="0.3">
      <c r="A10" s="4">
        <v>9</v>
      </c>
      <c r="B10" t="s">
        <v>65</v>
      </c>
      <c r="C10" cm="1">
        <f t="array" ref="C10">Table15[[#This Row],[Total]]-_xlfn.XLOOKUP($G$35,$H$36:$AC$36,Table15[[#This Row],[Saudi Arabia - 19 March]:[Abu Dhabi - 26 November]])</f>
        <v>0</v>
      </c>
      <c r="D10" cm="1">
        <f t="array" ref="D10">_xlfn.XLOOKUP(B10,_xlfn.SORTBY(Table15[Name],Table15[Previous Race Total],-1),$A$2:$A$27)</f>
        <v>9</v>
      </c>
      <c r="E10" cm="1">
        <f t="array" ref="E10">_xlfn.XLOOKUP(B10,_xlfn.SORTBY(Table15[Name],Table15[Total],-1),$A$2:$A$27)</f>
        <v>9</v>
      </c>
      <c r="F10" s="94">
        <f>Table15[[#This Row],[Previous race Ranking]]-Table15[[#This Row],[Current ranking]]</f>
        <v>0</v>
      </c>
      <c r="G10" s="85">
        <f t="shared" si="0"/>
        <v>0</v>
      </c>
      <c r="H10" s="9" cm="1">
        <f t="array" ref="H10">IFERROR(_xlfn.XLOOKUP(1,(Table15[[#This Row],[Brazil - 5 November]]=Points!$B:$B)*(Table15[[#Headers],[Saudi Arabia - 19 March]]=Points!$C:$C),Points!$F:$F,0,0,-1),0)</f>
        <v>0</v>
      </c>
      <c r="I10" s="9" cm="1">
        <f t="array" ref="I10">IFERROR(_xlfn.XLOOKUP(1,(Table15[[#This Row],[Las Vegas - 18 November]]=Points!$B:$B)*(Table15[[#Headers],[Australia - 2 April]]=Points!$C:$C),Points!$F:$F,0,0,-1),0)</f>
        <v>0</v>
      </c>
      <c r="J10" s="9" cm="1">
        <f t="array" ref="J10">IFERROR(_xlfn.XLOOKUP(1,(Table15[[#This Row],[Abu Dhabi - 26 November]]=Points!$B:$B)*(Table15[[#Headers],[Azerbaijan - 30 April]]=Points!$C:$C),Points!$F:$F,0,0,-1),0)</f>
        <v>0</v>
      </c>
      <c r="K10" s="9" cm="1">
        <f t="array" ref="K10">IFERROR(_xlfn.XLOOKUP(1,(Table15[[#This Row],[Name]]=Points!$B:$B)*(Table15[[#Headers],[Miami - 7 May]]=Points!$C:$C),Points!$F:$F,0,0,-1),0)</f>
        <v>0</v>
      </c>
      <c r="L10" s="9" cm="1">
        <f t="array" ref="L10">IFERROR(_xlfn.XLOOKUP(1,(Table15[[#This Row],[Name]]=Points!$B:$B)*(Table15[[#Headers],[Italy - 21 May]]=Points!$C:$C),Points!$F:$F,0,0,-1),0)</f>
        <v>0</v>
      </c>
      <c r="M10" s="9" cm="1">
        <f t="array" ref="M10">IFERROR(_xlfn.XLOOKUP(1,(Table15[[#This Row],[Name]]=Points!$B:$B)*(Table15[[#Headers],[Monaco - 28 May]]=Points!$C:$C),Points!$F:$F,0,0,-1),0)</f>
        <v>0</v>
      </c>
      <c r="N10" s="9" cm="1">
        <f t="array" ref="N10">IFERROR(_xlfn.XLOOKUP(1,(Table15[[#This Row],[Name]]=Points!$B:$B)*(Table15[[#Headers],[Spain - 4 June]]=Points!$C:$C),Points!$F:$F,0,0,-1),0)</f>
        <v>0</v>
      </c>
      <c r="O10" s="9" cm="1">
        <f t="array" ref="O10">IFERROR(_xlfn.XLOOKUP(1,(Table15[[#This Row],[Name]]=Points!$B:$B)*(Table15[[#Headers],[Canada - 18 June]]=Points!$C:$C),Points!$F:$F,0,0,-1),0)</f>
        <v>0</v>
      </c>
      <c r="P10" s="9" cm="1">
        <f t="array" ref="P10">IFERROR(_xlfn.XLOOKUP(1,(Table15[[#This Row],[Name]]=Points!$B:$B)*(Table15[[#Headers],[Austria - 2 July]]=Points!$C:$C),Points!$F:$F,0,0,-1),0)</f>
        <v>0</v>
      </c>
      <c r="Q10" s="9" cm="1">
        <f t="array" ref="Q10">IFERROR(_xlfn.XLOOKUP(1,(Table15[[#This Row],[Name]]=Points!$B:$B)*(Table15[[#Headers],[Great Britain - 9 July]]=Points!$C:$C),Points!$F:$F,0,0,-1),0)</f>
        <v>0</v>
      </c>
      <c r="R10" s="9" cm="1">
        <f t="array" ref="R10">IFERROR(_xlfn.XLOOKUP(1,(Table15[[#This Row],[Name]]=Points!$B:$B)*(Table15[[#Headers],[Hungary - 23 July]]=Points!$C:$C),Points!$F:$F,0,0,-1),0)</f>
        <v>0</v>
      </c>
      <c r="S10" s="9" cm="1">
        <f t="array" ref="S10">IFERROR(_xlfn.XLOOKUP(1,(Table15[[#This Row],[Name]]=Points!$B:$B)*(Table15[[#Headers],[Belgium - 30 July]]=Points!$C:$C),Points!$F:$F,0,0,-1),0)</f>
        <v>0</v>
      </c>
      <c r="T10" s="9" cm="1">
        <f t="array" ref="T10">IFERROR(_xlfn.XLOOKUP(1,(Table15[[#This Row],[Name]]=Points!$B:$B)*(Table15[[#Headers],[Netherlands - 27 August]]=Points!$C:$C),Points!$F:$F,0,0,-1),0)</f>
        <v>0</v>
      </c>
      <c r="U10" s="9" cm="1">
        <f t="array" ref="U10">IFERROR(_xlfn.XLOOKUP(1,(Table15[[#This Row],[Name]]=Points!$B:$B)*(Table15[[#Headers],[Italy - 3 September]]=Points!$C:$C),Points!$F:$F,0,0,-1),0)</f>
        <v>0</v>
      </c>
      <c r="V10" s="9" cm="1">
        <f t="array" ref="V10">IFERROR(_xlfn.XLOOKUP(1,(Table15[[#This Row],[Name]]=Points!$B:$B)*(Table15[[#Headers],[Singapore - 17 September]]=Points!$C:$C),Points!$F:$F,0,0,-1),0)</f>
        <v>0</v>
      </c>
      <c r="W10" s="9" cm="1">
        <f t="array" ref="W10">IFERROR(_xlfn.XLOOKUP(1,(Table15[[#This Row],[Name]]=Points!$B:$B)*(Table15[[#Headers],[Japan - 24 September]]=Points!$C:$C),Points!$F:$F,0,0,-1),0)</f>
        <v>0</v>
      </c>
      <c r="X10" s="9" cm="1">
        <f t="array" ref="X10">IFERROR(_xlfn.XLOOKUP(1,(Table15[[#This Row],[Name]]=Points!$B:$B)*(Table15[[#Headers],[Qatar - 8 October]]=Points!$C:$C),Points!$F:$F,0,0,-1),0)</f>
        <v>0</v>
      </c>
      <c r="Y10" s="9" cm="1">
        <f t="array" ref="Y10">IFERROR(_xlfn.XLOOKUP(1,(Table15[[#This Row],[Name]]=Points!$B:$B)*(Table15[[#Headers],[United States - 22 October]]=Points!$C:$C),Points!$F:$F,0,0,-1),0)</f>
        <v>0</v>
      </c>
      <c r="Z10" s="9" cm="1">
        <f t="array" ref="Z10">IFERROR(_xlfn.XLOOKUP(1,(Table15[[#This Row],[Name]]=Points!$B:$B)*(Table15[[#Headers],[Mexico - 29 October]]=Points!$C:$C),Points!$F:$F,0,0,-1),0)</f>
        <v>0</v>
      </c>
      <c r="AA10" s="9" cm="1">
        <f t="array" ref="AA10">IFERROR(_xlfn.XLOOKUP(1,(Table15[[#This Row],[Name]]=Points!$B:$B)*(Table15[[#Headers],[Brazil - 5 November]]=Points!$C:$C),Points!$F:$F,0,0,-1),0)</f>
        <v>0</v>
      </c>
      <c r="AB10" s="9" cm="1">
        <f t="array" ref="AB10">IFERROR(_xlfn.XLOOKUP(1,(Table15[[#This Row],[Name]]=Points!$B:$B)*(Table15[[#Headers],[Las Vegas - 18 November]]=Points!$C:$C),Points!$F:$F,0,0,-1),0)</f>
        <v>0</v>
      </c>
      <c r="AC10" s="9" cm="1">
        <f t="array" ref="AC10">IFERROR(_xlfn.XLOOKUP(1,(Table15[[#This Row],[Name]]=Points!$B:$B)*(Table15[[#Headers],[Abu Dhabi - 26 November]]=Points!$C:$C),Points!$F:$F,0,0,-1),0)</f>
        <v>0</v>
      </c>
    </row>
    <row r="11" spans="1:29" ht="15.6" x14ac:dyDescent="0.3">
      <c r="A11" s="107">
        <v>10</v>
      </c>
      <c r="B11" t="s">
        <v>56</v>
      </c>
      <c r="C11" cm="1">
        <f t="array" ref="C11">Table15[[#This Row],[Total]]-_xlfn.XLOOKUP($G$35,$H$36:$AC$36,Table15[[#This Row],[Saudi Arabia - 19 March]:[Abu Dhabi - 26 November]])</f>
        <v>0</v>
      </c>
      <c r="D11" cm="1">
        <f t="array" ref="D11">_xlfn.XLOOKUP(B11,_xlfn.SORTBY(Table15[Name],Table15[Previous Race Total],-1),$A$2:$A$27)</f>
        <v>10</v>
      </c>
      <c r="E11" cm="1">
        <f t="array" ref="E11">_xlfn.XLOOKUP(B11,_xlfn.SORTBY(Table15[Name],Table15[Total],-1),$A$2:$A$27)</f>
        <v>10</v>
      </c>
      <c r="F11" s="94">
        <f>Table15[[#This Row],[Previous race Ranking]]-Table15[[#This Row],[Current ranking]]</f>
        <v>0</v>
      </c>
      <c r="G11" s="85">
        <f t="shared" si="0"/>
        <v>0</v>
      </c>
      <c r="H11" s="9" cm="1">
        <f t="array" ref="H11">IFERROR(_xlfn.XLOOKUP(1,(Table15[[#This Row],[Brazil - 5 November]]=Points!$B:$B)*(Table15[[#Headers],[Saudi Arabia - 19 March]]=Points!$C:$C),Points!$F:$F,0,0,-1),0)</f>
        <v>0</v>
      </c>
      <c r="I11" s="9" cm="1">
        <f t="array" ref="I11">IFERROR(_xlfn.XLOOKUP(1,(Table15[[#This Row],[Las Vegas - 18 November]]=Points!$B:$B)*(Table15[[#Headers],[Australia - 2 April]]=Points!$C:$C),Points!$F:$F,0,0,-1),0)</f>
        <v>0</v>
      </c>
      <c r="J11" s="9" cm="1">
        <f t="array" ref="J11">IFERROR(_xlfn.XLOOKUP(1,(Table15[[#This Row],[Abu Dhabi - 26 November]]=Points!$B:$B)*(Table15[[#Headers],[Azerbaijan - 30 April]]=Points!$C:$C),Points!$F:$F,0,0,-1),0)</f>
        <v>0</v>
      </c>
      <c r="K11" s="9" cm="1">
        <f t="array" ref="K11">IFERROR(_xlfn.XLOOKUP(1,(Table15[[#This Row],[Name]]=Points!$B:$B)*(Table15[[#Headers],[Miami - 7 May]]=Points!$C:$C),Points!$F:$F,0,0,-1),0)</f>
        <v>0</v>
      </c>
      <c r="L11" s="9" cm="1">
        <f t="array" ref="L11">IFERROR(_xlfn.XLOOKUP(1,(Table15[[#This Row],[Name]]=Points!$B:$B)*(Table15[[#Headers],[Italy - 21 May]]=Points!$C:$C),Points!$F:$F,0,0,-1),0)</f>
        <v>0</v>
      </c>
      <c r="M11" s="9" cm="1">
        <f t="array" ref="M11">IFERROR(_xlfn.XLOOKUP(1,(Table15[[#This Row],[Name]]=Points!$B:$B)*(Table15[[#Headers],[Monaco - 28 May]]=Points!$C:$C),Points!$F:$F,0,0,-1),0)</f>
        <v>0</v>
      </c>
      <c r="N11" s="9" cm="1">
        <f t="array" ref="N11">IFERROR(_xlfn.XLOOKUP(1,(Table15[[#This Row],[Name]]=Points!$B:$B)*(Table15[[#Headers],[Spain - 4 June]]=Points!$C:$C),Points!$F:$F,0,0,-1),0)</f>
        <v>0</v>
      </c>
      <c r="O11" s="9" cm="1">
        <f t="array" ref="O11">IFERROR(_xlfn.XLOOKUP(1,(Table15[[#This Row],[Name]]=Points!$B:$B)*(Table15[[#Headers],[Canada - 18 June]]=Points!$C:$C),Points!$F:$F,0,0,-1),0)</f>
        <v>0</v>
      </c>
      <c r="P11" s="9" cm="1">
        <f t="array" ref="P11">IFERROR(_xlfn.XLOOKUP(1,(Table15[[#This Row],[Name]]=Points!$B:$B)*(Table15[[#Headers],[Austria - 2 July]]=Points!$C:$C),Points!$F:$F,0,0,-1),0)</f>
        <v>0</v>
      </c>
      <c r="Q11" s="9" cm="1">
        <f t="array" ref="Q11">IFERROR(_xlfn.XLOOKUP(1,(Table15[[#This Row],[Name]]=Points!$B:$B)*(Table15[[#Headers],[Great Britain - 9 July]]=Points!$C:$C),Points!$F:$F,0,0,-1),0)</f>
        <v>0</v>
      </c>
      <c r="R11" s="9" cm="1">
        <f t="array" ref="R11">IFERROR(_xlfn.XLOOKUP(1,(Table15[[#This Row],[Name]]=Points!$B:$B)*(Table15[[#Headers],[Hungary - 23 July]]=Points!$C:$C),Points!$F:$F,0,0,-1),0)</f>
        <v>0</v>
      </c>
      <c r="S11" s="9" cm="1">
        <f t="array" ref="S11">IFERROR(_xlfn.XLOOKUP(1,(Table15[[#This Row],[Name]]=Points!$B:$B)*(Table15[[#Headers],[Belgium - 30 July]]=Points!$C:$C),Points!$F:$F,0,0,-1),0)</f>
        <v>0</v>
      </c>
      <c r="T11" s="9" cm="1">
        <f t="array" ref="T11">IFERROR(_xlfn.XLOOKUP(1,(Table15[[#This Row],[Name]]=Points!$B:$B)*(Table15[[#Headers],[Netherlands - 27 August]]=Points!$C:$C),Points!$F:$F,0,0,-1),0)</f>
        <v>0</v>
      </c>
      <c r="U11" s="9" cm="1">
        <f t="array" ref="U11">IFERROR(_xlfn.XLOOKUP(1,(Table15[[#This Row],[Name]]=Points!$B:$B)*(Table15[[#Headers],[Italy - 3 September]]=Points!$C:$C),Points!$F:$F,0,0,-1),0)</f>
        <v>0</v>
      </c>
      <c r="V11" s="9" cm="1">
        <f t="array" ref="V11">IFERROR(_xlfn.XLOOKUP(1,(Table15[[#This Row],[Name]]=Points!$B:$B)*(Table15[[#Headers],[Singapore - 17 September]]=Points!$C:$C),Points!$F:$F,0,0,-1),0)</f>
        <v>0</v>
      </c>
      <c r="W11" s="9" cm="1">
        <f t="array" ref="W11">IFERROR(_xlfn.XLOOKUP(1,(Table15[[#This Row],[Name]]=Points!$B:$B)*(Table15[[#Headers],[Japan - 24 September]]=Points!$C:$C),Points!$F:$F,0,0,-1),0)</f>
        <v>0</v>
      </c>
      <c r="X11" s="9" cm="1">
        <f t="array" ref="X11">IFERROR(_xlfn.XLOOKUP(1,(Table15[[#This Row],[Name]]=Points!$B:$B)*(Table15[[#Headers],[Qatar - 8 October]]=Points!$C:$C),Points!$F:$F,0,0,-1),0)</f>
        <v>0</v>
      </c>
      <c r="Y11" s="9" cm="1">
        <f t="array" ref="Y11">IFERROR(_xlfn.XLOOKUP(1,(Table15[[#This Row],[Name]]=Points!$B:$B)*(Table15[[#Headers],[United States - 22 October]]=Points!$C:$C),Points!$F:$F,0,0,-1),0)</f>
        <v>0</v>
      </c>
      <c r="Z11" s="9" cm="1">
        <f t="array" ref="Z11">IFERROR(_xlfn.XLOOKUP(1,(Table15[[#This Row],[Name]]=Points!$B:$B)*(Table15[[#Headers],[Mexico - 29 October]]=Points!$C:$C),Points!$F:$F,0,0,-1),0)</f>
        <v>0</v>
      </c>
      <c r="AA11" s="9" cm="1">
        <f t="array" ref="AA11">IFERROR(_xlfn.XLOOKUP(1,(Table15[[#This Row],[Name]]=Points!$B:$B)*(Table15[[#Headers],[Brazil - 5 November]]=Points!$C:$C),Points!$F:$F,0,0,-1),0)</f>
        <v>0</v>
      </c>
      <c r="AB11" s="9" cm="1">
        <f t="array" ref="AB11">IFERROR(_xlfn.XLOOKUP(1,(Table15[[#This Row],[Name]]=Points!$B:$B)*(Table15[[#Headers],[Las Vegas - 18 November]]=Points!$C:$C),Points!$F:$F,0,0,-1),0)</f>
        <v>0</v>
      </c>
      <c r="AC11" s="9" cm="1">
        <f t="array" ref="AC11">IFERROR(_xlfn.XLOOKUP(1,(Table15[[#This Row],[Name]]=Points!$B:$B)*(Table15[[#Headers],[Abu Dhabi - 26 November]]=Points!$C:$C),Points!$F:$F,0,0,-1),0)</f>
        <v>0</v>
      </c>
    </row>
    <row r="12" spans="1:29" ht="15.6" x14ac:dyDescent="0.3">
      <c r="A12" s="4">
        <v>11</v>
      </c>
      <c r="B12" t="s">
        <v>57</v>
      </c>
      <c r="C12" cm="1">
        <f t="array" ref="C12">Table15[[#This Row],[Total]]-_xlfn.XLOOKUP($G$35,$H$36:$AC$36,Table15[[#This Row],[Saudi Arabia - 19 March]:[Abu Dhabi - 26 November]])</f>
        <v>0</v>
      </c>
      <c r="D12" cm="1">
        <f t="array" ref="D12">_xlfn.XLOOKUP(B12,_xlfn.SORTBY(Table15[Name],Table15[Previous Race Total],-1),$A$2:$A$27)</f>
        <v>11</v>
      </c>
      <c r="E12" cm="1">
        <f t="array" ref="E12">_xlfn.XLOOKUP(B12,_xlfn.SORTBY(Table15[Name],Table15[Total],-1),$A$2:$A$27)</f>
        <v>11</v>
      </c>
      <c r="F12" s="94">
        <f>Table15[[#This Row],[Previous race Ranking]]-Table15[[#This Row],[Current ranking]]</f>
        <v>0</v>
      </c>
      <c r="G12" s="85">
        <f t="shared" si="0"/>
        <v>0</v>
      </c>
      <c r="H12" s="9" cm="1">
        <f t="array" ref="H12">IFERROR(_xlfn.XLOOKUP(1,(Table15[[#This Row],[Brazil - 5 November]]=Points!$B:$B)*(Table15[[#Headers],[Saudi Arabia - 19 March]]=Points!$C:$C),Points!$F:$F,0,0,-1),0)</f>
        <v>0</v>
      </c>
      <c r="I12" s="9" cm="1">
        <f t="array" ref="I12">IFERROR(_xlfn.XLOOKUP(1,(Table15[[#This Row],[Las Vegas - 18 November]]=Points!$B:$B)*(Table15[[#Headers],[Australia - 2 April]]=Points!$C:$C),Points!$F:$F,0,0,-1),0)</f>
        <v>0</v>
      </c>
      <c r="J12" s="9" cm="1">
        <f t="array" ref="J12">IFERROR(_xlfn.XLOOKUP(1,(Table15[[#This Row],[Abu Dhabi - 26 November]]=Points!$B:$B)*(Table15[[#Headers],[Azerbaijan - 30 April]]=Points!$C:$C),Points!$F:$F,0,0,-1),0)</f>
        <v>0</v>
      </c>
      <c r="K12" s="9" cm="1">
        <f t="array" ref="K12">IFERROR(_xlfn.XLOOKUP(1,(Table15[[#This Row],[Name]]=Points!$B:$B)*(Table15[[#Headers],[Miami - 7 May]]=Points!$C:$C),Points!$F:$F,0,0,-1),0)</f>
        <v>0</v>
      </c>
      <c r="L12" s="9" cm="1">
        <f t="array" ref="L12">IFERROR(_xlfn.XLOOKUP(1,(Table15[[#This Row],[Name]]=Points!$B:$B)*(Table15[[#Headers],[Italy - 21 May]]=Points!$C:$C),Points!$F:$F,0,0,-1),0)</f>
        <v>0</v>
      </c>
      <c r="M12" s="9" cm="1">
        <f t="array" ref="M12">IFERROR(_xlfn.XLOOKUP(1,(Table15[[#This Row],[Name]]=Points!$B:$B)*(Table15[[#Headers],[Monaco - 28 May]]=Points!$C:$C),Points!$F:$F,0,0,-1),0)</f>
        <v>0</v>
      </c>
      <c r="N12" s="9" cm="1">
        <f t="array" ref="N12">IFERROR(_xlfn.XLOOKUP(1,(Table15[[#This Row],[Name]]=Points!$B:$B)*(Table15[[#Headers],[Spain - 4 June]]=Points!$C:$C),Points!$F:$F,0,0,-1),0)</f>
        <v>0</v>
      </c>
      <c r="O12" s="9" cm="1">
        <f t="array" ref="O12">IFERROR(_xlfn.XLOOKUP(1,(Table15[[#This Row],[Name]]=Points!$B:$B)*(Table15[[#Headers],[Canada - 18 June]]=Points!$C:$C),Points!$F:$F,0,0,-1),0)</f>
        <v>0</v>
      </c>
      <c r="P12" s="9" cm="1">
        <f t="array" ref="P12">IFERROR(_xlfn.XLOOKUP(1,(Table15[[#This Row],[Name]]=Points!$B:$B)*(Table15[[#Headers],[Austria - 2 July]]=Points!$C:$C),Points!$F:$F,0,0,-1),0)</f>
        <v>0</v>
      </c>
      <c r="Q12" s="9" cm="1">
        <f t="array" ref="Q12">IFERROR(_xlfn.XLOOKUP(1,(Table15[[#This Row],[Name]]=Points!$B:$B)*(Table15[[#Headers],[Great Britain - 9 July]]=Points!$C:$C),Points!$F:$F,0,0,-1),0)</f>
        <v>0</v>
      </c>
      <c r="R12" s="9" cm="1">
        <f t="array" ref="R12">IFERROR(_xlfn.XLOOKUP(1,(Table15[[#This Row],[Name]]=Points!$B:$B)*(Table15[[#Headers],[Hungary - 23 July]]=Points!$C:$C),Points!$F:$F,0,0,-1),0)</f>
        <v>0</v>
      </c>
      <c r="S12" s="9" cm="1">
        <f t="array" ref="S12">IFERROR(_xlfn.XLOOKUP(1,(Table15[[#This Row],[Name]]=Points!$B:$B)*(Table15[[#Headers],[Belgium - 30 July]]=Points!$C:$C),Points!$F:$F,0,0,-1),0)</f>
        <v>0</v>
      </c>
      <c r="T12" s="9" cm="1">
        <f t="array" ref="T12">IFERROR(_xlfn.XLOOKUP(1,(Table15[[#This Row],[Name]]=Points!$B:$B)*(Table15[[#Headers],[Netherlands - 27 August]]=Points!$C:$C),Points!$F:$F,0,0,-1),0)</f>
        <v>0</v>
      </c>
      <c r="U12" s="9" cm="1">
        <f t="array" ref="U12">IFERROR(_xlfn.XLOOKUP(1,(Table15[[#This Row],[Name]]=Points!$B:$B)*(Table15[[#Headers],[Italy - 3 September]]=Points!$C:$C),Points!$F:$F,0,0,-1),0)</f>
        <v>0</v>
      </c>
      <c r="V12" s="9" cm="1">
        <f t="array" ref="V12">IFERROR(_xlfn.XLOOKUP(1,(Table15[[#This Row],[Name]]=Points!$B:$B)*(Table15[[#Headers],[Singapore - 17 September]]=Points!$C:$C),Points!$F:$F,0,0,-1),0)</f>
        <v>0</v>
      </c>
      <c r="W12" s="9" cm="1">
        <f t="array" ref="W12">IFERROR(_xlfn.XLOOKUP(1,(Table15[[#This Row],[Name]]=Points!$B:$B)*(Table15[[#Headers],[Japan - 24 September]]=Points!$C:$C),Points!$F:$F,0,0,-1),0)</f>
        <v>0</v>
      </c>
      <c r="X12" s="9" cm="1">
        <f t="array" ref="X12">IFERROR(_xlfn.XLOOKUP(1,(Table15[[#This Row],[Name]]=Points!$B:$B)*(Table15[[#Headers],[Qatar - 8 October]]=Points!$C:$C),Points!$F:$F,0,0,-1),0)</f>
        <v>0</v>
      </c>
      <c r="Y12" s="9" cm="1">
        <f t="array" ref="Y12">IFERROR(_xlfn.XLOOKUP(1,(Table15[[#This Row],[Name]]=Points!$B:$B)*(Table15[[#Headers],[United States - 22 October]]=Points!$C:$C),Points!$F:$F,0,0,-1),0)</f>
        <v>0</v>
      </c>
      <c r="Z12" s="9" cm="1">
        <f t="array" ref="Z12">IFERROR(_xlfn.XLOOKUP(1,(Table15[[#This Row],[Name]]=Points!$B:$B)*(Table15[[#Headers],[Mexico - 29 October]]=Points!$C:$C),Points!$F:$F,0,0,-1),0)</f>
        <v>0</v>
      </c>
      <c r="AA12" s="9" cm="1">
        <f t="array" ref="AA12">IFERROR(_xlfn.XLOOKUP(1,(Table15[[#This Row],[Name]]=Points!$B:$B)*(Table15[[#Headers],[Brazil - 5 November]]=Points!$C:$C),Points!$F:$F,0,0,-1),0)</f>
        <v>0</v>
      </c>
      <c r="AB12" s="9" cm="1">
        <f t="array" ref="AB12">IFERROR(_xlfn.XLOOKUP(1,(Table15[[#This Row],[Name]]=Points!$B:$B)*(Table15[[#Headers],[Las Vegas - 18 November]]=Points!$C:$C),Points!$F:$F,0,0,-1),0)</f>
        <v>0</v>
      </c>
      <c r="AC12" s="9" cm="1">
        <f t="array" ref="AC12">IFERROR(_xlfn.XLOOKUP(1,(Table15[[#This Row],[Name]]=Points!$B:$B)*(Table15[[#Headers],[Abu Dhabi - 26 November]]=Points!$C:$C),Points!$F:$F,0,0,-1),0)</f>
        <v>0</v>
      </c>
    </row>
    <row r="13" spans="1:29" ht="15.6" x14ac:dyDescent="0.3">
      <c r="A13" s="4">
        <v>12</v>
      </c>
      <c r="B13" t="s">
        <v>46</v>
      </c>
      <c r="C13" s="90" cm="1">
        <f t="array" ref="C13">Table15[[#This Row],[Total]]-_xlfn.XLOOKUP($G$35,$H$36:$AC$36,Table15[[#This Row],[Saudi Arabia - 19 March]:[Abu Dhabi - 26 November]])</f>
        <v>0</v>
      </c>
      <c r="D13" s="90" cm="1">
        <f t="array" ref="D13">_xlfn.XLOOKUP(B13,_xlfn.SORTBY(Table15[Name],Table15[Previous Race Total],-1),$A$2:$A$27)</f>
        <v>12</v>
      </c>
      <c r="E13" s="90" cm="1">
        <f t="array" ref="E13">_xlfn.XLOOKUP(B13,_xlfn.SORTBY(Table15[Name],Table15[Total],-1),$A$2:$A$27)</f>
        <v>12</v>
      </c>
      <c r="F13" s="94">
        <f>Table15[[#This Row],[Previous race Ranking]]-Table15[[#This Row],[Current ranking]]</f>
        <v>0</v>
      </c>
      <c r="G13" s="85">
        <f t="shared" si="0"/>
        <v>0</v>
      </c>
      <c r="H13" s="9" cm="1">
        <f t="array" ref="H13">IFERROR(_xlfn.XLOOKUP(1,(Table15[[#This Row],[Brazil - 5 November]]=Points!$B:$B)*(Table15[[#Headers],[Saudi Arabia - 19 March]]=Points!$C:$C),Points!$F:$F,0,0,-1),0)</f>
        <v>0</v>
      </c>
      <c r="I13" s="9" cm="1">
        <f t="array" ref="I13">IFERROR(_xlfn.XLOOKUP(1,(Table15[[#This Row],[Las Vegas - 18 November]]=Points!$B:$B)*(Table15[[#Headers],[Australia - 2 April]]=Points!$C:$C),Points!$F:$F,0,0,-1),0)</f>
        <v>0</v>
      </c>
      <c r="J13" s="9" cm="1">
        <f t="array" ref="J13">IFERROR(_xlfn.XLOOKUP(1,(Table15[[#This Row],[Abu Dhabi - 26 November]]=Points!$B:$B)*(Table15[[#Headers],[Azerbaijan - 30 April]]=Points!$C:$C),Points!$F:$F,0,0,-1),0)</f>
        <v>0</v>
      </c>
      <c r="K13" s="9" cm="1">
        <f t="array" ref="K13">IFERROR(_xlfn.XLOOKUP(1,(Table15[[#This Row],[Name]]=Points!$B:$B)*(Table15[[#Headers],[Miami - 7 May]]=Points!$C:$C),Points!$F:$F,0,0,-1),0)</f>
        <v>0</v>
      </c>
      <c r="L13" s="9" cm="1">
        <f t="array" ref="L13">IFERROR(_xlfn.XLOOKUP(1,(Table15[[#This Row],[Name]]=Points!$B:$B)*(Table15[[#Headers],[Italy - 21 May]]=Points!$C:$C),Points!$F:$F,0,0,-1),0)</f>
        <v>0</v>
      </c>
      <c r="M13" s="9" cm="1">
        <f t="array" ref="M13">IFERROR(_xlfn.XLOOKUP(1,(Table15[[#This Row],[Name]]=Points!$B:$B)*(Table15[[#Headers],[Monaco - 28 May]]=Points!$C:$C),Points!$F:$F,0,0,-1),0)</f>
        <v>0</v>
      </c>
      <c r="N13" s="9" cm="1">
        <f t="array" ref="N13">IFERROR(_xlfn.XLOOKUP(1,(Table15[[#This Row],[Name]]=Points!$B:$B)*(Table15[[#Headers],[Spain - 4 June]]=Points!$C:$C),Points!$F:$F,0,0,-1),0)</f>
        <v>0</v>
      </c>
      <c r="O13" s="9" cm="1">
        <f t="array" ref="O13">IFERROR(_xlfn.XLOOKUP(1,(Table15[[#This Row],[Name]]=Points!$B:$B)*(Table15[[#Headers],[Canada - 18 June]]=Points!$C:$C),Points!$F:$F,0,0,-1),0)</f>
        <v>0</v>
      </c>
      <c r="P13" s="9" cm="1">
        <f t="array" ref="P13">IFERROR(_xlfn.XLOOKUP(1,(Table15[[#This Row],[Name]]=Points!$B:$B)*(Table15[[#Headers],[Austria - 2 July]]=Points!$C:$C),Points!$F:$F,0,0,-1),0)</f>
        <v>0</v>
      </c>
      <c r="Q13" s="9" cm="1">
        <f t="array" ref="Q13">IFERROR(_xlfn.XLOOKUP(1,(Table15[[#This Row],[Name]]=Points!$B:$B)*(Table15[[#Headers],[Great Britain - 9 July]]=Points!$C:$C),Points!$F:$F,0,0,-1),0)</f>
        <v>0</v>
      </c>
      <c r="R13" s="9" cm="1">
        <f t="array" ref="R13">IFERROR(_xlfn.XLOOKUP(1,(Table15[[#This Row],[Name]]=Points!$B:$B)*(Table15[[#Headers],[Hungary - 23 July]]=Points!$C:$C),Points!$F:$F,0,0,-1),0)</f>
        <v>0</v>
      </c>
      <c r="S13" s="9" cm="1">
        <f t="array" ref="S13">IFERROR(_xlfn.XLOOKUP(1,(Table15[[#This Row],[Name]]=Points!$B:$B)*(Table15[[#Headers],[Belgium - 30 July]]=Points!$C:$C),Points!$F:$F,0,0,-1),0)</f>
        <v>0</v>
      </c>
      <c r="T13" s="9" cm="1">
        <f t="array" ref="T13">IFERROR(_xlfn.XLOOKUP(1,(Table15[[#This Row],[Name]]=Points!$B:$B)*(Table15[[#Headers],[Netherlands - 27 August]]=Points!$C:$C),Points!$F:$F,0,0,-1),0)</f>
        <v>0</v>
      </c>
      <c r="U13" s="9" cm="1">
        <f t="array" ref="U13">IFERROR(_xlfn.XLOOKUP(1,(Table15[[#This Row],[Name]]=Points!$B:$B)*(Table15[[#Headers],[Italy - 3 September]]=Points!$C:$C),Points!$F:$F,0,0,-1),0)</f>
        <v>0</v>
      </c>
      <c r="V13" s="9" cm="1">
        <f t="array" ref="V13">IFERROR(_xlfn.XLOOKUP(1,(Table15[[#This Row],[Name]]=Points!$B:$B)*(Table15[[#Headers],[Singapore - 17 September]]=Points!$C:$C),Points!$F:$F,0,0,-1),0)</f>
        <v>0</v>
      </c>
      <c r="W13" s="9" cm="1">
        <f t="array" ref="W13">IFERROR(_xlfn.XLOOKUP(1,(Table15[[#This Row],[Name]]=Points!$B:$B)*(Table15[[#Headers],[Japan - 24 September]]=Points!$C:$C),Points!$F:$F,0,0,-1),0)</f>
        <v>0</v>
      </c>
      <c r="X13" s="9" cm="1">
        <f t="array" ref="X13">IFERROR(_xlfn.XLOOKUP(1,(Table15[[#This Row],[Name]]=Points!$B:$B)*(Table15[[#Headers],[Qatar - 8 October]]=Points!$C:$C),Points!$F:$F,0,0,-1),0)</f>
        <v>0</v>
      </c>
      <c r="Y13" s="9" cm="1">
        <f t="array" ref="Y13">IFERROR(_xlfn.XLOOKUP(1,(Table15[[#This Row],[Name]]=Points!$B:$B)*(Table15[[#Headers],[United States - 22 October]]=Points!$C:$C),Points!$F:$F,0,0,-1),0)</f>
        <v>0</v>
      </c>
      <c r="Z13" s="9" cm="1">
        <f t="array" ref="Z13">IFERROR(_xlfn.XLOOKUP(1,(Table15[[#This Row],[Name]]=Points!$B:$B)*(Table15[[#Headers],[Mexico - 29 October]]=Points!$C:$C),Points!$F:$F,0,0,-1),0)</f>
        <v>0</v>
      </c>
      <c r="AA13" s="9" cm="1">
        <f t="array" ref="AA13">IFERROR(_xlfn.XLOOKUP(1,(Table15[[#This Row],[Name]]=Points!$B:$B)*(Table15[[#Headers],[Brazil - 5 November]]=Points!$C:$C),Points!$F:$F,0,0,-1),0)</f>
        <v>0</v>
      </c>
      <c r="AB13" s="9" cm="1">
        <f t="array" ref="AB13">IFERROR(_xlfn.XLOOKUP(1,(Table15[[#This Row],[Name]]=Points!$B:$B)*(Table15[[#Headers],[Las Vegas - 18 November]]=Points!$C:$C),Points!$F:$F,0,0,-1),0)</f>
        <v>0</v>
      </c>
      <c r="AC13" s="9" cm="1">
        <f t="array" ref="AC13">IFERROR(_xlfn.XLOOKUP(1,(Table15[[#This Row],[Name]]=Points!$B:$B)*(Table15[[#Headers],[Abu Dhabi - 26 November]]=Points!$C:$C),Points!$F:$F,0,0,-1),0)</f>
        <v>0</v>
      </c>
    </row>
    <row r="14" spans="1:29" ht="15.6" x14ac:dyDescent="0.3">
      <c r="A14" s="4">
        <v>13</v>
      </c>
      <c r="B14" t="s">
        <v>47</v>
      </c>
      <c r="C14" cm="1">
        <f t="array" ref="C14">Table15[[#This Row],[Total]]-_xlfn.XLOOKUP($G$35,$H$36:$AC$36,Table15[[#This Row],[Saudi Arabia - 19 March]:[Abu Dhabi - 26 November]])</f>
        <v>0</v>
      </c>
      <c r="D14" cm="1">
        <f t="array" ref="D14">_xlfn.XLOOKUP(B14,_xlfn.SORTBY(Table15[Name],Table15[Previous Race Total],-1),$A$2:$A$27)</f>
        <v>13</v>
      </c>
      <c r="E14" cm="1">
        <f t="array" ref="E14">_xlfn.XLOOKUP(B14,_xlfn.SORTBY(Table15[Name],Table15[Total],-1),$A$2:$A$27)</f>
        <v>13</v>
      </c>
      <c r="F14" s="94">
        <f>Table15[[#This Row],[Previous race Ranking]]-Table15[[#This Row],[Current ranking]]</f>
        <v>0</v>
      </c>
      <c r="G14" s="85">
        <f t="shared" si="0"/>
        <v>0</v>
      </c>
      <c r="H14" s="9" cm="1">
        <f t="array" ref="H14">IFERROR(_xlfn.XLOOKUP(1,(Table15[[#This Row],[Brazil - 5 November]]=Points!$B:$B)*(Table15[[#Headers],[Saudi Arabia - 19 March]]=Points!$C:$C),Points!$F:$F,0,0,-1),0)</f>
        <v>0</v>
      </c>
      <c r="I14" s="9" cm="1">
        <f t="array" ref="I14">IFERROR(_xlfn.XLOOKUP(1,(Table15[[#This Row],[Las Vegas - 18 November]]=Points!$B:$B)*(Table15[[#Headers],[Australia - 2 April]]=Points!$C:$C),Points!$F:$F,0,0,-1),0)</f>
        <v>0</v>
      </c>
      <c r="J14" s="9" cm="1">
        <f t="array" ref="J14">IFERROR(_xlfn.XLOOKUP(1,(Table15[[#This Row],[Abu Dhabi - 26 November]]=Points!$B:$B)*(Table15[[#Headers],[Azerbaijan - 30 April]]=Points!$C:$C),Points!$F:$F,0,0,-1),0)</f>
        <v>0</v>
      </c>
      <c r="K14" s="9" cm="1">
        <f t="array" ref="K14">IFERROR(_xlfn.XLOOKUP(1,(Table15[[#This Row],[Name]]=Points!$B:$B)*(Table15[[#Headers],[Miami - 7 May]]=Points!$C:$C),Points!$F:$F,0,0,-1),0)</f>
        <v>0</v>
      </c>
      <c r="L14" s="9" cm="1">
        <f t="array" ref="L14">IFERROR(_xlfn.XLOOKUP(1,(Table15[[#This Row],[Name]]=Points!$B:$B)*(Table15[[#Headers],[Italy - 21 May]]=Points!$C:$C),Points!$F:$F,0,0,-1),0)</f>
        <v>0</v>
      </c>
      <c r="M14" s="9" cm="1">
        <f t="array" ref="M14">IFERROR(_xlfn.XLOOKUP(1,(Table15[[#This Row],[Name]]=Points!$B:$B)*(Table15[[#Headers],[Monaco - 28 May]]=Points!$C:$C),Points!$F:$F,0,0,-1),0)</f>
        <v>0</v>
      </c>
      <c r="N14" s="9" cm="1">
        <f t="array" ref="N14">IFERROR(_xlfn.XLOOKUP(1,(Table15[[#This Row],[Name]]=Points!$B:$B)*(Table15[[#Headers],[Spain - 4 June]]=Points!$C:$C),Points!$F:$F,0,0,-1),0)</f>
        <v>0</v>
      </c>
      <c r="O14" s="9" cm="1">
        <f t="array" ref="O14">IFERROR(_xlfn.XLOOKUP(1,(Table15[[#This Row],[Name]]=Points!$B:$B)*(Table15[[#Headers],[Canada - 18 June]]=Points!$C:$C),Points!$F:$F,0,0,-1),0)</f>
        <v>0</v>
      </c>
      <c r="P14" s="9" cm="1">
        <f t="array" ref="P14">IFERROR(_xlfn.XLOOKUP(1,(Table15[[#This Row],[Name]]=Points!$B:$B)*(Table15[[#Headers],[Austria - 2 July]]=Points!$C:$C),Points!$F:$F,0,0,-1),0)</f>
        <v>0</v>
      </c>
      <c r="Q14" s="9" cm="1">
        <f t="array" ref="Q14">IFERROR(_xlfn.XLOOKUP(1,(Table15[[#This Row],[Name]]=Points!$B:$B)*(Table15[[#Headers],[Great Britain - 9 July]]=Points!$C:$C),Points!$F:$F,0,0,-1),0)</f>
        <v>0</v>
      </c>
      <c r="R14" s="9" cm="1">
        <f t="array" ref="R14">IFERROR(_xlfn.XLOOKUP(1,(Table15[[#This Row],[Name]]=Points!$B:$B)*(Table15[[#Headers],[Hungary - 23 July]]=Points!$C:$C),Points!$F:$F,0,0,-1),0)</f>
        <v>0</v>
      </c>
      <c r="S14" s="66" cm="1">
        <f t="array" ref="S14">IFERROR(_xlfn.XLOOKUP(1,(Table15[[#This Row],[Name]]=Points!$B:$B)*(Table15[[#Headers],[Belgium - 30 July]]=Points!$C:$C),Points!$F:$F,0,0,-1),0)</f>
        <v>0</v>
      </c>
      <c r="T14" s="9" cm="1">
        <f t="array" ref="T14">IFERROR(_xlfn.XLOOKUP(1,(Table15[[#This Row],[Name]]=Points!$B:$B)*(Table15[[#Headers],[Netherlands - 27 August]]=Points!$C:$C),Points!$F:$F,0,0,-1),0)</f>
        <v>0</v>
      </c>
      <c r="U14" s="9" cm="1">
        <f t="array" ref="U14">IFERROR(_xlfn.XLOOKUP(1,(Table15[[#This Row],[Name]]=Points!$B:$B)*(Table15[[#Headers],[Italy - 3 September]]=Points!$C:$C),Points!$F:$F,0,0,-1),0)</f>
        <v>0</v>
      </c>
      <c r="V14" s="9" cm="1">
        <f t="array" ref="V14">IFERROR(_xlfn.XLOOKUP(1,(Table15[[#This Row],[Name]]=Points!$B:$B)*(Table15[[#Headers],[Singapore - 17 September]]=Points!$C:$C),Points!$F:$F,0,0,-1),0)</f>
        <v>0</v>
      </c>
      <c r="W14" s="9" cm="1">
        <f t="array" ref="W14">IFERROR(_xlfn.XLOOKUP(1,(Table15[[#This Row],[Name]]=Points!$B:$B)*(Table15[[#Headers],[Japan - 24 September]]=Points!$C:$C),Points!$F:$F,0,0,-1),0)</f>
        <v>0</v>
      </c>
      <c r="X14" s="9" cm="1">
        <f t="array" ref="X14">IFERROR(_xlfn.XLOOKUP(1,(Table15[[#This Row],[Name]]=Points!$B:$B)*(Table15[[#Headers],[Qatar - 8 October]]=Points!$C:$C),Points!$F:$F,0,0,-1),0)</f>
        <v>0</v>
      </c>
      <c r="Y14" s="9" cm="1">
        <f t="array" ref="Y14">IFERROR(_xlfn.XLOOKUP(1,(Table15[[#This Row],[Name]]=Points!$B:$B)*(Table15[[#Headers],[United States - 22 October]]=Points!$C:$C),Points!$F:$F,0,0,-1),0)</f>
        <v>0</v>
      </c>
      <c r="Z14" s="9" cm="1">
        <f t="array" ref="Z14">IFERROR(_xlfn.XLOOKUP(1,(Table15[[#This Row],[Name]]=Points!$B:$B)*(Table15[[#Headers],[Mexico - 29 October]]=Points!$C:$C),Points!$F:$F,0,0,-1),0)</f>
        <v>0</v>
      </c>
      <c r="AA14" s="9" cm="1">
        <f t="array" ref="AA14">IFERROR(_xlfn.XLOOKUP(1,(Table15[[#This Row],[Name]]=Points!$B:$B)*(Table15[[#Headers],[Brazil - 5 November]]=Points!$C:$C),Points!$F:$F,0,0,-1),0)</f>
        <v>0</v>
      </c>
      <c r="AB14" s="9" cm="1">
        <f t="array" ref="AB14">IFERROR(_xlfn.XLOOKUP(1,(Table15[[#This Row],[Name]]=Points!$B:$B)*(Table15[[#Headers],[Las Vegas - 18 November]]=Points!$C:$C),Points!$F:$F,0,0,-1),0)</f>
        <v>0</v>
      </c>
      <c r="AC14" s="9" cm="1">
        <f t="array" ref="AC14">IFERROR(_xlfn.XLOOKUP(1,(Table15[[#This Row],[Name]]=Points!$B:$B)*(Table15[[#Headers],[Abu Dhabi - 26 November]]=Points!$C:$C),Points!$F:$F,0,0,-1),0)</f>
        <v>0</v>
      </c>
    </row>
    <row r="15" spans="1:29" ht="15.6" x14ac:dyDescent="0.3">
      <c r="A15" s="4">
        <v>14</v>
      </c>
      <c r="B15" t="s">
        <v>60</v>
      </c>
      <c r="C15" cm="1">
        <f t="array" ref="C15">Table15[[#This Row],[Total]]-_xlfn.XLOOKUP($G$35,$H$36:$AC$36,Table15[[#This Row],[Saudi Arabia - 19 March]:[Abu Dhabi - 26 November]])</f>
        <v>0</v>
      </c>
      <c r="D15" cm="1">
        <f t="array" ref="D15">_xlfn.XLOOKUP(B15,_xlfn.SORTBY(Table15[Name],Table15[Previous Race Total],-1),$A$2:$A$27)</f>
        <v>14</v>
      </c>
      <c r="E15" cm="1">
        <f t="array" ref="E15">_xlfn.XLOOKUP(B15,_xlfn.SORTBY(Table15[Name],Table15[Total],-1),$A$2:$A$27)</f>
        <v>14</v>
      </c>
      <c r="F15" s="94">
        <f>Table15[[#This Row],[Previous race Ranking]]-Table15[[#This Row],[Current ranking]]</f>
        <v>0</v>
      </c>
      <c r="G15" s="85">
        <f t="shared" si="0"/>
        <v>0</v>
      </c>
      <c r="H15" s="9" cm="1">
        <f t="array" ref="H15">IFERROR(_xlfn.XLOOKUP(1,(Table15[[#This Row],[Brazil - 5 November]]=Points!$B:$B)*(Table15[[#Headers],[Saudi Arabia - 19 March]]=Points!$C:$C),Points!$F:$F,0,0,-1),0)</f>
        <v>0</v>
      </c>
      <c r="I15" s="9" cm="1">
        <f t="array" ref="I15">IFERROR(_xlfn.XLOOKUP(1,(Table15[[#This Row],[Las Vegas - 18 November]]=Points!$B:$B)*(Table15[[#Headers],[Australia - 2 April]]=Points!$C:$C),Points!$F:$F,0,0,-1),0)</f>
        <v>0</v>
      </c>
      <c r="J15" s="9" cm="1">
        <f t="array" ref="J15">IFERROR(_xlfn.XLOOKUP(1,(Table15[[#This Row],[Abu Dhabi - 26 November]]=Points!$B:$B)*(Table15[[#Headers],[Azerbaijan - 30 April]]=Points!$C:$C),Points!$F:$F,0,0,-1),0)</f>
        <v>0</v>
      </c>
      <c r="K15" s="9" cm="1">
        <f t="array" ref="K15">IFERROR(_xlfn.XLOOKUP(1,(Table15[[#This Row],[Name]]=Points!$B:$B)*(Table15[[#Headers],[Miami - 7 May]]=Points!$C:$C),Points!$F:$F,0,0,-1),0)</f>
        <v>0</v>
      </c>
      <c r="L15" s="9" cm="1">
        <f t="array" ref="L15">IFERROR(_xlfn.XLOOKUP(1,(Table15[[#This Row],[Name]]=Points!$B:$B)*(Table15[[#Headers],[Italy - 21 May]]=Points!$C:$C),Points!$F:$F,0,0,-1),0)</f>
        <v>0</v>
      </c>
      <c r="M15" s="9" cm="1">
        <f t="array" ref="M15">IFERROR(_xlfn.XLOOKUP(1,(Table15[[#This Row],[Name]]=Points!$B:$B)*(Table15[[#Headers],[Monaco - 28 May]]=Points!$C:$C),Points!$F:$F,0,0,-1),0)</f>
        <v>0</v>
      </c>
      <c r="N15" s="9" cm="1">
        <f t="array" ref="N15">IFERROR(_xlfn.XLOOKUP(1,(Table15[[#This Row],[Name]]=Points!$B:$B)*(Table15[[#Headers],[Spain - 4 June]]=Points!$C:$C),Points!$F:$F,0,0,-1),0)</f>
        <v>0</v>
      </c>
      <c r="O15" s="9" cm="1">
        <f t="array" ref="O15">IFERROR(_xlfn.XLOOKUP(1,(Table15[[#This Row],[Name]]=Points!$B:$B)*(Table15[[#Headers],[Canada - 18 June]]=Points!$C:$C),Points!$F:$F,0,0,-1),0)</f>
        <v>0</v>
      </c>
      <c r="P15" s="9" cm="1">
        <f t="array" ref="P15">IFERROR(_xlfn.XLOOKUP(1,(Table15[[#This Row],[Name]]=Points!$B:$B)*(Table15[[#Headers],[Austria - 2 July]]=Points!$C:$C),Points!$F:$F,0,0,-1),0)</f>
        <v>0</v>
      </c>
      <c r="Q15" s="9" cm="1">
        <f t="array" ref="Q15">IFERROR(_xlfn.XLOOKUP(1,(Table15[[#This Row],[Name]]=Points!$B:$B)*(Table15[[#Headers],[Great Britain - 9 July]]=Points!$C:$C),Points!$F:$F,0,0,-1),0)</f>
        <v>0</v>
      </c>
      <c r="R15" s="9" cm="1">
        <f t="array" ref="R15">IFERROR(_xlfn.XLOOKUP(1,(Table15[[#This Row],[Name]]=Points!$B:$B)*(Table15[[#Headers],[Hungary - 23 July]]=Points!$C:$C),Points!$F:$F,0,0,-1),0)</f>
        <v>0</v>
      </c>
      <c r="S15" s="9" cm="1">
        <f t="array" ref="S15">IFERROR(_xlfn.XLOOKUP(1,(Table15[[#This Row],[Name]]=Points!$B:$B)*(Table15[[#Headers],[Belgium - 30 July]]=Points!$C:$C),Points!$F:$F,0,0,-1),0)</f>
        <v>0</v>
      </c>
      <c r="T15" s="9" cm="1">
        <f t="array" ref="T15">IFERROR(_xlfn.XLOOKUP(1,(Table15[[#This Row],[Name]]=Points!$B:$B)*(Table15[[#Headers],[Netherlands - 27 August]]=Points!$C:$C),Points!$F:$F,0,0,-1),0)</f>
        <v>0</v>
      </c>
      <c r="U15" s="9" cm="1">
        <f t="array" ref="U15">IFERROR(_xlfn.XLOOKUP(1,(Table15[[#This Row],[Name]]=Points!$B:$B)*(Table15[[#Headers],[Italy - 3 September]]=Points!$C:$C),Points!$F:$F,0,0,-1),0)</f>
        <v>0</v>
      </c>
      <c r="V15" s="9" cm="1">
        <f t="array" ref="V15">IFERROR(_xlfn.XLOOKUP(1,(Table15[[#This Row],[Name]]=Points!$B:$B)*(Table15[[#Headers],[Singapore - 17 September]]=Points!$C:$C),Points!$F:$F,0,0,-1),0)</f>
        <v>0</v>
      </c>
      <c r="W15" s="9" cm="1">
        <f t="array" ref="W15">IFERROR(_xlfn.XLOOKUP(1,(Table15[[#This Row],[Name]]=Points!$B:$B)*(Table15[[#Headers],[Japan - 24 September]]=Points!$C:$C),Points!$F:$F,0,0,-1),0)</f>
        <v>0</v>
      </c>
      <c r="X15" s="9" cm="1">
        <f t="array" ref="X15">IFERROR(_xlfn.XLOOKUP(1,(Table15[[#This Row],[Name]]=Points!$B:$B)*(Table15[[#Headers],[Qatar - 8 October]]=Points!$C:$C),Points!$F:$F,0,0,-1),0)</f>
        <v>0</v>
      </c>
      <c r="Y15" s="9" cm="1">
        <f t="array" ref="Y15">IFERROR(_xlfn.XLOOKUP(1,(Table15[[#This Row],[Name]]=Points!$B:$B)*(Table15[[#Headers],[United States - 22 October]]=Points!$C:$C),Points!$F:$F,0,0,-1),0)</f>
        <v>0</v>
      </c>
      <c r="Z15" s="9" cm="1">
        <f t="array" ref="Z15">IFERROR(_xlfn.XLOOKUP(1,(Table15[[#This Row],[Name]]=Points!$B:$B)*(Table15[[#Headers],[Mexico - 29 October]]=Points!$C:$C),Points!$F:$F,0,0,-1),0)</f>
        <v>0</v>
      </c>
      <c r="AA15" s="9" cm="1">
        <f t="array" ref="AA15">IFERROR(_xlfn.XLOOKUP(1,(Table15[[#This Row],[Name]]=Points!$B:$B)*(Table15[[#Headers],[Brazil - 5 November]]=Points!$C:$C),Points!$F:$F,0,0,-1),0)</f>
        <v>0</v>
      </c>
      <c r="AB15" s="9" cm="1">
        <f t="array" ref="AB15">IFERROR(_xlfn.XLOOKUP(1,(Table15[[#This Row],[Name]]=Points!$B:$B)*(Table15[[#Headers],[Las Vegas - 18 November]]=Points!$C:$C),Points!$F:$F,0,0,-1),0)</f>
        <v>0</v>
      </c>
      <c r="AC15" s="9" cm="1">
        <f t="array" ref="AC15">IFERROR(_xlfn.XLOOKUP(1,(Table15[[#This Row],[Name]]=Points!$B:$B)*(Table15[[#Headers],[Abu Dhabi - 26 November]]=Points!$C:$C),Points!$F:$F,0,0,-1),0)</f>
        <v>0</v>
      </c>
    </row>
    <row r="16" spans="1:29" ht="15.6" x14ac:dyDescent="0.3">
      <c r="A16" s="4">
        <v>15</v>
      </c>
      <c r="B16" t="s">
        <v>54</v>
      </c>
      <c r="C16" cm="1">
        <f t="array" ref="C16">Table15[[#This Row],[Total]]-_xlfn.XLOOKUP($G$35,$H$36:$AC$36,Table15[[#This Row],[Saudi Arabia - 19 March]:[Abu Dhabi - 26 November]])</f>
        <v>0</v>
      </c>
      <c r="D16" cm="1">
        <f t="array" ref="D16">_xlfn.XLOOKUP(B16,_xlfn.SORTBY(Table15[Name],Table15[Previous Race Total],-1),$A$2:$A$27)</f>
        <v>15</v>
      </c>
      <c r="E16" cm="1">
        <f t="array" ref="E16">_xlfn.XLOOKUP(B16,_xlfn.SORTBY(Table15[Name],Table15[Total],-1),$A$2:$A$27)</f>
        <v>15</v>
      </c>
      <c r="F16" s="94">
        <f>Table15[[#This Row],[Previous race Ranking]]-Table15[[#This Row],[Current ranking]]</f>
        <v>0</v>
      </c>
      <c r="G16" s="85">
        <f t="shared" si="0"/>
        <v>0</v>
      </c>
      <c r="H16" s="9" cm="1">
        <f t="array" ref="H16">IFERROR(_xlfn.XLOOKUP(1,(Table15[[#This Row],[Brazil - 5 November]]=Points!$B:$B)*(Table15[[#Headers],[Saudi Arabia - 19 March]]=Points!$C:$C),Points!$F:$F,0,0,-1),0)</f>
        <v>0</v>
      </c>
      <c r="I16" s="9" cm="1">
        <f t="array" ref="I16">IFERROR(_xlfn.XLOOKUP(1,(Table15[[#This Row],[Las Vegas - 18 November]]=Points!$B:$B)*(Table15[[#Headers],[Australia - 2 April]]=Points!$C:$C),Points!$F:$F,0,0,-1),0)</f>
        <v>0</v>
      </c>
      <c r="J16" s="9" cm="1">
        <f t="array" ref="J16">IFERROR(_xlfn.XLOOKUP(1,(Table15[[#This Row],[Abu Dhabi - 26 November]]=Points!$B:$B)*(Table15[[#Headers],[Azerbaijan - 30 April]]=Points!$C:$C),Points!$F:$F,0,0,-1),0)</f>
        <v>0</v>
      </c>
      <c r="K16" s="9" cm="1">
        <f t="array" ref="K16">IFERROR(_xlfn.XLOOKUP(1,(Table15[[#This Row],[Name]]=Points!$B:$B)*(Table15[[#Headers],[Miami - 7 May]]=Points!$C:$C),Points!$F:$F,0,0,-1),0)</f>
        <v>0</v>
      </c>
      <c r="L16" s="9" cm="1">
        <f t="array" ref="L16">IFERROR(_xlfn.XLOOKUP(1,(Table15[[#This Row],[Name]]=Points!$B:$B)*(Table15[[#Headers],[Italy - 21 May]]=Points!$C:$C),Points!$F:$F,0,0,-1),0)</f>
        <v>0</v>
      </c>
      <c r="M16" s="9" cm="1">
        <f t="array" ref="M16">IFERROR(_xlfn.XLOOKUP(1,(Table15[[#This Row],[Name]]=Points!$B:$B)*(Table15[[#Headers],[Monaco - 28 May]]=Points!$C:$C),Points!$F:$F,0,0,-1),0)</f>
        <v>0</v>
      </c>
      <c r="N16" s="9" cm="1">
        <f t="array" ref="N16">IFERROR(_xlfn.XLOOKUP(1,(Table15[[#This Row],[Name]]=Points!$B:$B)*(Table15[[#Headers],[Spain - 4 June]]=Points!$C:$C),Points!$F:$F,0,0,-1),0)</f>
        <v>0</v>
      </c>
      <c r="O16" s="9" cm="1">
        <f t="array" ref="O16">IFERROR(_xlfn.XLOOKUP(1,(Table15[[#This Row],[Name]]=Points!$B:$B)*(Table15[[#Headers],[Canada - 18 June]]=Points!$C:$C),Points!$F:$F,0,0,-1),0)</f>
        <v>0</v>
      </c>
      <c r="P16" s="9" cm="1">
        <f t="array" ref="P16">IFERROR(_xlfn.XLOOKUP(1,(Table15[[#This Row],[Name]]=Points!$B:$B)*(Table15[[#Headers],[Austria - 2 July]]=Points!$C:$C),Points!$F:$F,0,0,-1),0)</f>
        <v>0</v>
      </c>
      <c r="Q16" s="9" cm="1">
        <f t="array" ref="Q16">IFERROR(_xlfn.XLOOKUP(1,(Table15[[#This Row],[Name]]=Points!$B:$B)*(Table15[[#Headers],[Great Britain - 9 July]]=Points!$C:$C),Points!$F:$F,0,0,-1),0)</f>
        <v>0</v>
      </c>
      <c r="R16" s="9" cm="1">
        <f t="array" ref="R16">IFERROR(_xlfn.XLOOKUP(1,(Table15[[#This Row],[Name]]=Points!$B:$B)*(Table15[[#Headers],[Hungary - 23 July]]=Points!$C:$C),Points!$F:$F,0,0,-1),0)</f>
        <v>0</v>
      </c>
      <c r="S16" s="66" cm="1">
        <f t="array" ref="S16">IFERROR(_xlfn.XLOOKUP(1,(Table15[[#This Row],[Name]]=Points!$B:$B)*(Table15[[#Headers],[Belgium - 30 July]]=Points!$C:$C),Points!$F:$F,0,0,-1),0)</f>
        <v>0</v>
      </c>
      <c r="T16" s="9" cm="1">
        <f t="array" ref="T16">IFERROR(_xlfn.XLOOKUP(1,(Table15[[#This Row],[Name]]=Points!$B:$B)*(Table15[[#Headers],[Netherlands - 27 August]]=Points!$C:$C),Points!$F:$F,0,0,-1),0)</f>
        <v>0</v>
      </c>
      <c r="U16" s="9" cm="1">
        <f t="array" ref="U16">IFERROR(_xlfn.XLOOKUP(1,(Table15[[#This Row],[Name]]=Points!$B:$B)*(Table15[[#Headers],[Italy - 3 September]]=Points!$C:$C),Points!$F:$F,0,0,-1),0)</f>
        <v>0</v>
      </c>
      <c r="V16" s="9" cm="1">
        <f t="array" ref="V16">IFERROR(_xlfn.XLOOKUP(1,(Table15[[#This Row],[Name]]=Points!$B:$B)*(Table15[[#Headers],[Singapore - 17 September]]=Points!$C:$C),Points!$F:$F,0,0,-1),0)</f>
        <v>0</v>
      </c>
      <c r="W16" s="9" cm="1">
        <f t="array" ref="W16">IFERROR(_xlfn.XLOOKUP(1,(Table15[[#This Row],[Name]]=Points!$B:$B)*(Table15[[#Headers],[Japan - 24 September]]=Points!$C:$C),Points!$F:$F,0,0,-1),0)</f>
        <v>0</v>
      </c>
      <c r="X16" s="9" cm="1">
        <f t="array" ref="X16">IFERROR(_xlfn.XLOOKUP(1,(Table15[[#This Row],[Name]]=Points!$B:$B)*(Table15[[#Headers],[Qatar - 8 October]]=Points!$C:$C),Points!$F:$F,0,0,-1),0)</f>
        <v>0</v>
      </c>
      <c r="Y16" s="9" cm="1">
        <f t="array" ref="Y16">IFERROR(_xlfn.XLOOKUP(1,(Table15[[#This Row],[Name]]=Points!$B:$B)*(Table15[[#Headers],[United States - 22 October]]=Points!$C:$C),Points!$F:$F,0,0,-1),0)</f>
        <v>0</v>
      </c>
      <c r="Z16" s="9" cm="1">
        <f t="array" ref="Z16">IFERROR(_xlfn.XLOOKUP(1,(Table15[[#This Row],[Name]]=Points!$B:$B)*(Table15[[#Headers],[Mexico - 29 October]]=Points!$C:$C),Points!$F:$F,0,0,-1),0)</f>
        <v>0</v>
      </c>
      <c r="AA16" s="9" cm="1">
        <f t="array" ref="AA16">IFERROR(_xlfn.XLOOKUP(1,(Table15[[#This Row],[Name]]=Points!$B:$B)*(Table15[[#Headers],[Brazil - 5 November]]=Points!$C:$C),Points!$F:$F,0,0,-1),0)</f>
        <v>0</v>
      </c>
      <c r="AB16" s="9" cm="1">
        <f t="array" ref="AB16">IFERROR(_xlfn.XLOOKUP(1,(Table15[[#This Row],[Name]]=Points!$B:$B)*(Table15[[#Headers],[Las Vegas - 18 November]]=Points!$C:$C),Points!$F:$F,0,0,-1),0)</f>
        <v>0</v>
      </c>
      <c r="AC16" s="9" cm="1">
        <f t="array" ref="AC16">IFERROR(_xlfn.XLOOKUP(1,(Table15[[#This Row],[Name]]=Points!$B:$B)*(Table15[[#Headers],[Abu Dhabi - 26 November]]=Points!$C:$C),Points!$F:$F,0,0,-1),0)</f>
        <v>0</v>
      </c>
    </row>
    <row r="17" spans="1:29" ht="15.6" x14ac:dyDescent="0.3">
      <c r="A17" s="4">
        <v>16</v>
      </c>
      <c r="B17" t="s">
        <v>61</v>
      </c>
      <c r="C17" cm="1">
        <f t="array" ref="C17">Table15[[#This Row],[Total]]-_xlfn.XLOOKUP($G$35,$H$36:$AC$36,Table15[[#This Row],[Saudi Arabia - 19 March]:[Abu Dhabi - 26 November]])</f>
        <v>0</v>
      </c>
      <c r="D17" cm="1">
        <f t="array" ref="D17">_xlfn.XLOOKUP(B17,_xlfn.SORTBY(Table15[Name],Table15[Previous Race Total],-1),$A$2:$A$27)</f>
        <v>16</v>
      </c>
      <c r="E17" cm="1">
        <f t="array" ref="E17">_xlfn.XLOOKUP(B17,_xlfn.SORTBY(Table15[Name],Table15[Total],-1),$A$2:$A$27)</f>
        <v>16</v>
      </c>
      <c r="F17" s="94">
        <f>Table15[[#This Row],[Previous race Ranking]]-Table15[[#This Row],[Current ranking]]</f>
        <v>0</v>
      </c>
      <c r="G17" s="85">
        <f t="shared" si="0"/>
        <v>0</v>
      </c>
      <c r="H17" s="9" cm="1">
        <f t="array" ref="H17">IFERROR(_xlfn.XLOOKUP(1,(Table15[[#This Row],[Brazil - 5 November]]=Points!$B:$B)*(Table15[[#Headers],[Saudi Arabia - 19 March]]=Points!$C:$C),Points!$F:$F,0,0,-1),0)</f>
        <v>0</v>
      </c>
      <c r="I17" s="9" cm="1">
        <f t="array" ref="I17">IFERROR(_xlfn.XLOOKUP(1,(Table15[[#This Row],[Las Vegas - 18 November]]=Points!$B:$B)*(Table15[[#Headers],[Australia - 2 April]]=Points!$C:$C),Points!$F:$F,0,0,-1),0)</f>
        <v>0</v>
      </c>
      <c r="J17" s="9" cm="1">
        <f t="array" ref="J17">IFERROR(_xlfn.XLOOKUP(1,(Table15[[#This Row],[Abu Dhabi - 26 November]]=Points!$B:$B)*(Table15[[#Headers],[Azerbaijan - 30 April]]=Points!$C:$C),Points!$F:$F,0,0,-1),0)</f>
        <v>0</v>
      </c>
      <c r="K17" s="9" cm="1">
        <f t="array" ref="K17">IFERROR(_xlfn.XLOOKUP(1,(Table15[[#This Row],[Name]]=Points!$B:$B)*(Table15[[#Headers],[Miami - 7 May]]=Points!$C:$C),Points!$F:$F,0,0,-1),0)</f>
        <v>0</v>
      </c>
      <c r="L17" s="9" cm="1">
        <f t="array" ref="L17">IFERROR(_xlfn.XLOOKUP(1,(Table15[[#This Row],[Name]]=Points!$B:$B)*(Table15[[#Headers],[Italy - 21 May]]=Points!$C:$C),Points!$F:$F,0,0,-1),0)</f>
        <v>0</v>
      </c>
      <c r="M17" s="9" cm="1">
        <f t="array" ref="M17">IFERROR(_xlfn.XLOOKUP(1,(Table15[[#This Row],[Name]]=Points!$B:$B)*(Table15[[#Headers],[Monaco - 28 May]]=Points!$C:$C),Points!$F:$F,0,0,-1),0)</f>
        <v>0</v>
      </c>
      <c r="N17" s="9" cm="1">
        <f t="array" ref="N17">IFERROR(_xlfn.XLOOKUP(1,(Table15[[#This Row],[Name]]=Points!$B:$B)*(Table15[[#Headers],[Spain - 4 June]]=Points!$C:$C),Points!$F:$F,0,0,-1),0)</f>
        <v>0</v>
      </c>
      <c r="O17" s="9" cm="1">
        <f t="array" ref="O17">IFERROR(_xlfn.XLOOKUP(1,(Table15[[#This Row],[Name]]=Points!$B:$B)*(Table15[[#Headers],[Canada - 18 June]]=Points!$C:$C),Points!$F:$F,0,0,-1),0)</f>
        <v>0</v>
      </c>
      <c r="P17" s="9" cm="1">
        <f t="array" ref="P17">IFERROR(_xlfn.XLOOKUP(1,(Table15[[#This Row],[Name]]=Points!$B:$B)*(Table15[[#Headers],[Austria - 2 July]]=Points!$C:$C),Points!$F:$F,0,0,-1),0)</f>
        <v>0</v>
      </c>
      <c r="Q17" s="9" cm="1">
        <f t="array" ref="Q17">IFERROR(_xlfn.XLOOKUP(1,(Table15[[#This Row],[Name]]=Points!$B:$B)*(Table15[[#Headers],[Great Britain - 9 July]]=Points!$C:$C),Points!$F:$F,0,0,-1),0)</f>
        <v>0</v>
      </c>
      <c r="R17" s="9" cm="1">
        <f t="array" ref="R17">IFERROR(_xlfn.XLOOKUP(1,(Table15[[#This Row],[Name]]=Points!$B:$B)*(Table15[[#Headers],[Hungary - 23 July]]=Points!$C:$C),Points!$F:$F,0,0,-1),0)</f>
        <v>0</v>
      </c>
      <c r="S17" s="9" cm="1">
        <f t="array" ref="S17">IFERROR(_xlfn.XLOOKUP(1,(Table15[[#This Row],[Name]]=Points!$B:$B)*(Table15[[#Headers],[Belgium - 30 July]]=Points!$C:$C),Points!$F:$F,0,0,-1),0)</f>
        <v>0</v>
      </c>
      <c r="T17" s="9" cm="1">
        <f t="array" ref="T17">IFERROR(_xlfn.XLOOKUP(1,(Table15[[#This Row],[Name]]=Points!$B:$B)*(Table15[[#Headers],[Netherlands - 27 August]]=Points!$C:$C),Points!$F:$F,0,0,-1),0)</f>
        <v>0</v>
      </c>
      <c r="U17" s="9" cm="1">
        <f t="array" ref="U17">IFERROR(_xlfn.XLOOKUP(1,(Table15[[#This Row],[Name]]=Points!$B:$B)*(Table15[[#Headers],[Italy - 3 September]]=Points!$C:$C),Points!$F:$F,0,0,-1),0)</f>
        <v>0</v>
      </c>
      <c r="V17" s="9" cm="1">
        <f t="array" ref="V17">IFERROR(_xlfn.XLOOKUP(1,(Table15[[#This Row],[Name]]=Points!$B:$B)*(Table15[[#Headers],[Singapore - 17 September]]=Points!$C:$C),Points!$F:$F,0,0,-1),0)</f>
        <v>0</v>
      </c>
      <c r="W17" s="9" cm="1">
        <f t="array" ref="W17">IFERROR(_xlfn.XLOOKUP(1,(Table15[[#This Row],[Name]]=Points!$B:$B)*(Table15[[#Headers],[Japan - 24 September]]=Points!$C:$C),Points!$F:$F,0,0,-1),0)</f>
        <v>0</v>
      </c>
      <c r="X17" s="9" cm="1">
        <f t="array" ref="X17">IFERROR(_xlfn.XLOOKUP(1,(Table15[[#This Row],[Name]]=Points!$B:$B)*(Table15[[#Headers],[Qatar - 8 October]]=Points!$C:$C),Points!$F:$F,0,0,-1),0)</f>
        <v>0</v>
      </c>
      <c r="Y17" s="9" cm="1">
        <f t="array" ref="Y17">IFERROR(_xlfn.XLOOKUP(1,(Table15[[#This Row],[Name]]=Points!$B:$B)*(Table15[[#Headers],[United States - 22 October]]=Points!$C:$C),Points!$F:$F,0,0,-1),0)</f>
        <v>0</v>
      </c>
      <c r="Z17" s="9" cm="1">
        <f t="array" ref="Z17">IFERROR(_xlfn.XLOOKUP(1,(Table15[[#This Row],[Name]]=Points!$B:$B)*(Table15[[#Headers],[Mexico - 29 October]]=Points!$C:$C),Points!$F:$F,0,0,-1),0)</f>
        <v>0</v>
      </c>
      <c r="AA17" s="9" cm="1">
        <f t="array" ref="AA17">IFERROR(_xlfn.XLOOKUP(1,(Table15[[#This Row],[Name]]=Points!$B:$B)*(Table15[[#Headers],[Brazil - 5 November]]=Points!$C:$C),Points!$F:$F,0,0,-1),0)</f>
        <v>0</v>
      </c>
      <c r="AB17" s="9" cm="1">
        <f t="array" ref="AB17">IFERROR(_xlfn.XLOOKUP(1,(Table15[[#This Row],[Name]]=Points!$B:$B)*(Table15[[#Headers],[Las Vegas - 18 November]]=Points!$C:$C),Points!$F:$F,0,0,-1),0)</f>
        <v>0</v>
      </c>
      <c r="AC17" s="9" cm="1">
        <f t="array" ref="AC17">IFERROR(_xlfn.XLOOKUP(1,(Table15[[#This Row],[Name]]=Points!$B:$B)*(Table15[[#Headers],[Abu Dhabi - 26 November]]=Points!$C:$C),Points!$F:$F,0,0,-1),0)</f>
        <v>0</v>
      </c>
    </row>
    <row r="18" spans="1:29" ht="15.6" x14ac:dyDescent="0.3">
      <c r="A18" s="4">
        <v>17</v>
      </c>
      <c r="B18" t="s">
        <v>59</v>
      </c>
      <c r="C18" cm="1">
        <f t="array" ref="C18">Table15[[#This Row],[Total]]-_xlfn.XLOOKUP($G$35,$H$36:$AC$36,Table15[[#This Row],[Saudi Arabia - 19 March]:[Abu Dhabi - 26 November]])</f>
        <v>0</v>
      </c>
      <c r="D18" cm="1">
        <f t="array" ref="D18">_xlfn.XLOOKUP(B18,_xlfn.SORTBY(Table15[Name],Table15[Previous Race Total],-1),$A$2:$A$27)</f>
        <v>17</v>
      </c>
      <c r="E18" cm="1">
        <f t="array" ref="E18">_xlfn.XLOOKUP(B18,_xlfn.SORTBY(Table15[Name],Table15[Total],-1),$A$2:$A$27)</f>
        <v>17</v>
      </c>
      <c r="F18" s="94">
        <f>Table15[[#This Row],[Previous race Ranking]]-Table15[[#This Row],[Current ranking]]</f>
        <v>0</v>
      </c>
      <c r="G18" s="85">
        <f t="shared" si="0"/>
        <v>0</v>
      </c>
      <c r="H18" s="9" cm="1">
        <f t="array" ref="H18">IFERROR(_xlfn.XLOOKUP(1,(Table15[[#This Row],[Brazil - 5 November]]=Points!$B:$B)*(Table15[[#Headers],[Saudi Arabia - 19 March]]=Points!$C:$C),Points!$F:$F,0,0,-1),0)</f>
        <v>0</v>
      </c>
      <c r="I18" s="9" cm="1">
        <f t="array" ref="I18">IFERROR(_xlfn.XLOOKUP(1,(Table15[[#This Row],[Las Vegas - 18 November]]=Points!$B:$B)*(Table15[[#Headers],[Australia - 2 April]]=Points!$C:$C),Points!$F:$F,0,0,-1),0)</f>
        <v>0</v>
      </c>
      <c r="J18" s="9" cm="1">
        <f t="array" ref="J18">IFERROR(_xlfn.XLOOKUP(1,(Table15[[#This Row],[Abu Dhabi - 26 November]]=Points!$B:$B)*(Table15[[#Headers],[Azerbaijan - 30 April]]=Points!$C:$C),Points!$F:$F,0,0,-1),0)</f>
        <v>0</v>
      </c>
      <c r="K18" s="9" cm="1">
        <f t="array" ref="K18">IFERROR(_xlfn.XLOOKUP(1,(Table15[[#This Row],[Name]]=Points!$B:$B)*(Table15[[#Headers],[Miami - 7 May]]=Points!$C:$C),Points!$F:$F,0,0,-1),0)</f>
        <v>0</v>
      </c>
      <c r="L18" s="9" cm="1">
        <f t="array" ref="L18">IFERROR(_xlfn.XLOOKUP(1,(Table15[[#This Row],[Name]]=Points!$B:$B)*(Table15[[#Headers],[Italy - 21 May]]=Points!$C:$C),Points!$F:$F,0,0,-1),0)</f>
        <v>0</v>
      </c>
      <c r="M18" s="9" cm="1">
        <f t="array" ref="M18">IFERROR(_xlfn.XLOOKUP(1,(Table15[[#This Row],[Name]]=Points!$B:$B)*(Table15[[#Headers],[Monaco - 28 May]]=Points!$C:$C),Points!$F:$F,0,0,-1),0)</f>
        <v>0</v>
      </c>
      <c r="N18" s="9" cm="1">
        <f t="array" ref="N18">IFERROR(_xlfn.XLOOKUP(1,(Table15[[#This Row],[Name]]=Points!$B:$B)*(Table15[[#Headers],[Spain - 4 June]]=Points!$C:$C),Points!$F:$F,0,0,-1),0)</f>
        <v>0</v>
      </c>
      <c r="O18" s="9" cm="1">
        <f t="array" ref="O18">IFERROR(_xlfn.XLOOKUP(1,(Table15[[#This Row],[Name]]=Points!$B:$B)*(Table15[[#Headers],[Canada - 18 June]]=Points!$C:$C),Points!$F:$F,0,0,-1),0)</f>
        <v>0</v>
      </c>
      <c r="P18" s="9" cm="1">
        <f t="array" ref="P18">IFERROR(_xlfn.XLOOKUP(1,(Table15[[#This Row],[Name]]=Points!$B:$B)*(Table15[[#Headers],[Austria - 2 July]]=Points!$C:$C),Points!$F:$F,0,0,-1),0)</f>
        <v>0</v>
      </c>
      <c r="Q18" s="9" cm="1">
        <f t="array" ref="Q18">IFERROR(_xlfn.XLOOKUP(1,(Table15[[#This Row],[Name]]=Points!$B:$B)*(Table15[[#Headers],[Great Britain - 9 July]]=Points!$C:$C),Points!$F:$F,0,0,-1),0)</f>
        <v>0</v>
      </c>
      <c r="R18" s="9" cm="1">
        <f t="array" ref="R18">IFERROR(_xlfn.XLOOKUP(1,(Table15[[#This Row],[Name]]=Points!$B:$B)*(Table15[[#Headers],[Hungary - 23 July]]=Points!$C:$C),Points!$F:$F,0,0,-1),0)</f>
        <v>0</v>
      </c>
      <c r="S18" s="9" cm="1">
        <f t="array" ref="S18">IFERROR(_xlfn.XLOOKUP(1,(Table15[[#This Row],[Name]]=Points!$B:$B)*(Table15[[#Headers],[Belgium - 30 July]]=Points!$C:$C),Points!$F:$F,0,0,-1),0)</f>
        <v>0</v>
      </c>
      <c r="T18" s="9" cm="1">
        <f t="array" ref="T18">IFERROR(_xlfn.XLOOKUP(1,(Table15[[#This Row],[Name]]=Points!$B:$B)*(Table15[[#Headers],[Netherlands - 27 August]]=Points!$C:$C),Points!$F:$F,0,0,-1),0)</f>
        <v>0</v>
      </c>
      <c r="U18" s="9" cm="1">
        <f t="array" ref="U18">IFERROR(_xlfn.XLOOKUP(1,(Table15[[#This Row],[Name]]=Points!$B:$B)*(Table15[[#Headers],[Italy - 3 September]]=Points!$C:$C),Points!$F:$F,0,0,-1),0)</f>
        <v>0</v>
      </c>
      <c r="V18" s="9" cm="1">
        <f t="array" ref="V18">IFERROR(_xlfn.XLOOKUP(1,(Table15[[#This Row],[Name]]=Points!$B:$B)*(Table15[[#Headers],[Singapore - 17 September]]=Points!$C:$C),Points!$F:$F,0,0,-1),0)</f>
        <v>0</v>
      </c>
      <c r="W18" s="9" cm="1">
        <f t="array" ref="W18">IFERROR(_xlfn.XLOOKUP(1,(Table15[[#This Row],[Name]]=Points!$B:$B)*(Table15[[#Headers],[Japan - 24 September]]=Points!$C:$C),Points!$F:$F,0,0,-1),0)</f>
        <v>0</v>
      </c>
      <c r="X18" s="9" cm="1">
        <f t="array" ref="X18">IFERROR(_xlfn.XLOOKUP(1,(Table15[[#This Row],[Name]]=Points!$B:$B)*(Table15[[#Headers],[Qatar - 8 October]]=Points!$C:$C),Points!$F:$F,0,0,-1),0)</f>
        <v>0</v>
      </c>
      <c r="Y18" s="9" cm="1">
        <f t="array" ref="Y18">IFERROR(_xlfn.XLOOKUP(1,(Table15[[#This Row],[Name]]=Points!$B:$B)*(Table15[[#Headers],[United States - 22 October]]=Points!$C:$C),Points!$F:$F,0,0,-1),0)</f>
        <v>0</v>
      </c>
      <c r="Z18" s="9" cm="1">
        <f t="array" ref="Z18">IFERROR(_xlfn.XLOOKUP(1,(Table15[[#This Row],[Name]]=Points!$B:$B)*(Table15[[#Headers],[Mexico - 29 October]]=Points!$C:$C),Points!$F:$F,0,0,-1),0)</f>
        <v>0</v>
      </c>
      <c r="AA18" s="9" cm="1">
        <f t="array" ref="AA18">IFERROR(_xlfn.XLOOKUP(1,(Table15[[#This Row],[Name]]=Points!$B:$B)*(Table15[[#Headers],[Brazil - 5 November]]=Points!$C:$C),Points!$F:$F,0,0,-1),0)</f>
        <v>0</v>
      </c>
      <c r="AB18" s="9" cm="1">
        <f t="array" ref="AB18">IFERROR(_xlfn.XLOOKUP(1,(Table15[[#This Row],[Name]]=Points!$B:$B)*(Table15[[#Headers],[Las Vegas - 18 November]]=Points!$C:$C),Points!$F:$F,0,0,-1),0)</f>
        <v>0</v>
      </c>
      <c r="AC18" s="9" cm="1">
        <f t="array" ref="AC18">IFERROR(_xlfn.XLOOKUP(1,(Table15[[#This Row],[Name]]=Points!$B:$B)*(Table15[[#Headers],[Abu Dhabi - 26 November]]=Points!$C:$C),Points!$F:$F,0,0,-1),0)</f>
        <v>0</v>
      </c>
    </row>
    <row r="19" spans="1:29" ht="15.6" x14ac:dyDescent="0.3">
      <c r="A19" s="4">
        <v>18</v>
      </c>
      <c r="B19" t="s">
        <v>62</v>
      </c>
      <c r="C19" cm="1">
        <f t="array" ref="C19">Table15[[#This Row],[Total]]-_xlfn.XLOOKUP($G$35,$H$36:$AC$36,Table15[[#This Row],[Saudi Arabia - 19 March]:[Abu Dhabi - 26 November]])</f>
        <v>0</v>
      </c>
      <c r="D19" cm="1">
        <f t="array" ref="D19">_xlfn.XLOOKUP(B19,_xlfn.SORTBY(Table15[Name],Table15[Previous Race Total],-1),$A$2:$A$27)</f>
        <v>18</v>
      </c>
      <c r="E19" cm="1">
        <f t="array" ref="E19">_xlfn.XLOOKUP(B19,_xlfn.SORTBY(Table15[Name],Table15[Total],-1),$A$2:$A$27)</f>
        <v>18</v>
      </c>
      <c r="F19" s="94">
        <f>Table15[[#This Row],[Previous race Ranking]]-Table15[[#This Row],[Current ranking]]</f>
        <v>0</v>
      </c>
      <c r="G19" s="85">
        <f t="shared" si="0"/>
        <v>0</v>
      </c>
      <c r="H19" s="9" cm="1">
        <f t="array" ref="H19">IFERROR(_xlfn.XLOOKUP(1,(Table15[[#This Row],[Brazil - 5 November]]=Points!$B:$B)*(Table15[[#Headers],[Saudi Arabia - 19 March]]=Points!$C:$C),Points!$F:$F,0,0,-1),0)</f>
        <v>0</v>
      </c>
      <c r="I19" s="9" cm="1">
        <f t="array" ref="I19">IFERROR(_xlfn.XLOOKUP(1,(Table15[[#This Row],[Las Vegas - 18 November]]=Points!$B:$B)*(Table15[[#Headers],[Australia - 2 April]]=Points!$C:$C),Points!$F:$F,0,0,-1),0)</f>
        <v>0</v>
      </c>
      <c r="J19" s="9" cm="1">
        <f t="array" ref="J19">IFERROR(_xlfn.XLOOKUP(1,(Table15[[#This Row],[Abu Dhabi - 26 November]]=Points!$B:$B)*(Table15[[#Headers],[Azerbaijan - 30 April]]=Points!$C:$C),Points!$F:$F,0,0,-1),0)</f>
        <v>0</v>
      </c>
      <c r="K19" s="9" cm="1">
        <f t="array" ref="K19">IFERROR(_xlfn.XLOOKUP(1,(Table15[[#This Row],[Name]]=Points!$B:$B)*(Table15[[#Headers],[Miami - 7 May]]=Points!$C:$C),Points!$F:$F,0,0,-1),0)</f>
        <v>0</v>
      </c>
      <c r="L19" s="9" cm="1">
        <f t="array" ref="L19">IFERROR(_xlfn.XLOOKUP(1,(Table15[[#This Row],[Name]]=Points!$B:$B)*(Table15[[#Headers],[Italy - 21 May]]=Points!$C:$C),Points!$F:$F,0,0,-1),0)</f>
        <v>0</v>
      </c>
      <c r="M19" s="9" cm="1">
        <f t="array" ref="M19">IFERROR(_xlfn.XLOOKUP(1,(Table15[[#This Row],[Name]]=Points!$B:$B)*(Table15[[#Headers],[Monaco - 28 May]]=Points!$C:$C),Points!$F:$F,0,0,-1),0)</f>
        <v>0</v>
      </c>
      <c r="N19" s="9" cm="1">
        <f t="array" ref="N19">IFERROR(_xlfn.XLOOKUP(1,(Table15[[#This Row],[Name]]=Points!$B:$B)*(Table15[[#Headers],[Spain - 4 June]]=Points!$C:$C),Points!$F:$F,0,0,-1),0)</f>
        <v>0</v>
      </c>
      <c r="O19" s="9" cm="1">
        <f t="array" ref="O19">IFERROR(_xlfn.XLOOKUP(1,(Table15[[#This Row],[Name]]=Points!$B:$B)*(Table15[[#Headers],[Canada - 18 June]]=Points!$C:$C),Points!$F:$F,0,0,-1),0)</f>
        <v>0</v>
      </c>
      <c r="P19" s="9" cm="1">
        <f t="array" ref="P19">IFERROR(_xlfn.XLOOKUP(1,(Table15[[#This Row],[Name]]=Points!$B:$B)*(Table15[[#Headers],[Austria - 2 July]]=Points!$C:$C),Points!$F:$F,0,0,-1),0)</f>
        <v>0</v>
      </c>
      <c r="Q19" s="9" cm="1">
        <f t="array" ref="Q19">IFERROR(_xlfn.XLOOKUP(1,(Table15[[#This Row],[Name]]=Points!$B:$B)*(Table15[[#Headers],[Great Britain - 9 July]]=Points!$C:$C),Points!$F:$F,0,0,-1),0)</f>
        <v>0</v>
      </c>
      <c r="R19" s="9" cm="1">
        <f t="array" ref="R19">IFERROR(_xlfn.XLOOKUP(1,(Table15[[#This Row],[Name]]=Points!$B:$B)*(Table15[[#Headers],[Hungary - 23 July]]=Points!$C:$C),Points!$F:$F,0,0,-1),0)</f>
        <v>0</v>
      </c>
      <c r="S19" s="9" cm="1">
        <f t="array" ref="S19">IFERROR(_xlfn.XLOOKUP(1,(Table15[[#This Row],[Name]]=Points!$B:$B)*(Table15[[#Headers],[Belgium - 30 July]]=Points!$C:$C),Points!$F:$F,0,0,-1),0)</f>
        <v>0</v>
      </c>
      <c r="T19" s="9" cm="1">
        <f t="array" ref="T19">IFERROR(_xlfn.XLOOKUP(1,(Table15[[#This Row],[Name]]=Points!$B:$B)*(Table15[[#Headers],[Netherlands - 27 August]]=Points!$C:$C),Points!$F:$F,0,0,-1),0)</f>
        <v>0</v>
      </c>
      <c r="U19" s="9" cm="1">
        <f t="array" ref="U19">IFERROR(_xlfn.XLOOKUP(1,(Table15[[#This Row],[Name]]=Points!$B:$B)*(Table15[[#Headers],[Italy - 3 September]]=Points!$C:$C),Points!$F:$F,0,0,-1),0)</f>
        <v>0</v>
      </c>
      <c r="V19" s="9" cm="1">
        <f t="array" ref="V19">IFERROR(_xlfn.XLOOKUP(1,(Table15[[#This Row],[Name]]=Points!$B:$B)*(Table15[[#Headers],[Singapore - 17 September]]=Points!$C:$C),Points!$F:$F,0,0,-1),0)</f>
        <v>0</v>
      </c>
      <c r="W19" s="9" cm="1">
        <f t="array" ref="W19">IFERROR(_xlfn.XLOOKUP(1,(Table15[[#This Row],[Name]]=Points!$B:$B)*(Table15[[#Headers],[Japan - 24 September]]=Points!$C:$C),Points!$F:$F,0,0,-1),0)</f>
        <v>0</v>
      </c>
      <c r="X19" s="9" cm="1">
        <f t="array" ref="X19">IFERROR(_xlfn.XLOOKUP(1,(Table15[[#This Row],[Name]]=Points!$B:$B)*(Table15[[#Headers],[Qatar - 8 October]]=Points!$C:$C),Points!$F:$F,0,0,-1),0)</f>
        <v>0</v>
      </c>
      <c r="Y19" s="9" cm="1">
        <f t="array" ref="Y19">IFERROR(_xlfn.XLOOKUP(1,(Table15[[#This Row],[Name]]=Points!$B:$B)*(Table15[[#Headers],[United States - 22 October]]=Points!$C:$C),Points!$F:$F,0,0,-1),0)</f>
        <v>0</v>
      </c>
      <c r="Z19" s="9" cm="1">
        <f t="array" ref="Z19">IFERROR(_xlfn.XLOOKUP(1,(Table15[[#This Row],[Name]]=Points!$B:$B)*(Table15[[#Headers],[Mexico - 29 October]]=Points!$C:$C),Points!$F:$F,0,0,-1),0)</f>
        <v>0</v>
      </c>
      <c r="AA19" s="9" cm="1">
        <f t="array" ref="AA19">IFERROR(_xlfn.XLOOKUP(1,(Table15[[#This Row],[Name]]=Points!$B:$B)*(Table15[[#Headers],[Brazil - 5 November]]=Points!$C:$C),Points!$F:$F,0,0,-1),0)</f>
        <v>0</v>
      </c>
      <c r="AB19" s="9" cm="1">
        <f t="array" ref="AB19">IFERROR(_xlfn.XLOOKUP(1,(Table15[[#This Row],[Name]]=Points!$B:$B)*(Table15[[#Headers],[Las Vegas - 18 November]]=Points!$C:$C),Points!$F:$F,0,0,-1),0)</f>
        <v>0</v>
      </c>
      <c r="AC19" s="9" cm="1">
        <f t="array" ref="AC19">IFERROR(_xlfn.XLOOKUP(1,(Table15[[#This Row],[Name]]=Points!$B:$B)*(Table15[[#Headers],[Abu Dhabi - 26 November]]=Points!$C:$C),Points!$F:$F,0,0,-1),0)</f>
        <v>0</v>
      </c>
    </row>
    <row r="20" spans="1:29" ht="15.6" x14ac:dyDescent="0.3">
      <c r="A20" s="4">
        <v>19</v>
      </c>
      <c r="B20" t="s">
        <v>64</v>
      </c>
      <c r="C20" cm="1">
        <f t="array" ref="C20">Table15[[#This Row],[Total]]-_xlfn.XLOOKUP($G$35,$H$36:$AC$36,Table15[[#This Row],[Saudi Arabia - 19 March]:[Abu Dhabi - 26 November]])</f>
        <v>0</v>
      </c>
      <c r="D20" cm="1">
        <f t="array" ref="D20">_xlfn.XLOOKUP(B20,_xlfn.SORTBY(Table15[Name],Table15[Previous Race Total],-1),$A$2:$A$27)</f>
        <v>19</v>
      </c>
      <c r="E20" cm="1">
        <f t="array" ref="E20">_xlfn.XLOOKUP(B20,_xlfn.SORTBY(Table15[Name],Table15[Total],-1),$A$2:$A$27)</f>
        <v>19</v>
      </c>
      <c r="F20" s="94">
        <f>Table15[[#This Row],[Previous race Ranking]]-Table15[[#This Row],[Current ranking]]</f>
        <v>0</v>
      </c>
      <c r="G20" s="85">
        <f t="shared" si="0"/>
        <v>0</v>
      </c>
      <c r="H20" s="9" cm="1">
        <f t="array" ref="H20">IFERROR(_xlfn.XLOOKUP(1,(Table15[[#This Row],[Brazil - 5 November]]=Points!$B:$B)*(Table15[[#Headers],[Saudi Arabia - 19 March]]=Points!$C:$C),Points!$F:$F,0,0,-1),0)</f>
        <v>0</v>
      </c>
      <c r="I20" s="9" cm="1">
        <f t="array" ref="I20">IFERROR(_xlfn.XLOOKUP(1,(Table15[[#This Row],[Las Vegas - 18 November]]=Points!$B:$B)*(Table15[[#Headers],[Australia - 2 April]]=Points!$C:$C),Points!$F:$F,0,0,-1),0)</f>
        <v>0</v>
      </c>
      <c r="J20" s="9" cm="1">
        <f t="array" ref="J20">IFERROR(_xlfn.XLOOKUP(1,(Table15[[#This Row],[Abu Dhabi - 26 November]]=Points!$B:$B)*(Table15[[#Headers],[Azerbaijan - 30 April]]=Points!$C:$C),Points!$F:$F,0,0,-1),0)</f>
        <v>0</v>
      </c>
      <c r="K20" s="9" cm="1">
        <f t="array" ref="K20">IFERROR(_xlfn.XLOOKUP(1,(Table15[[#This Row],[Name]]=Points!$B:$B)*(Table15[[#Headers],[Miami - 7 May]]=Points!$C:$C),Points!$F:$F,0,0,-1),0)</f>
        <v>0</v>
      </c>
      <c r="L20" s="9" cm="1">
        <f t="array" ref="L20">IFERROR(_xlfn.XLOOKUP(1,(Table15[[#This Row],[Name]]=Points!$B:$B)*(Table15[[#Headers],[Italy - 21 May]]=Points!$C:$C),Points!$F:$F,0,0,-1),0)</f>
        <v>0</v>
      </c>
      <c r="M20" s="9" cm="1">
        <f t="array" ref="M20">IFERROR(_xlfn.XLOOKUP(1,(Table15[[#This Row],[Name]]=Points!$B:$B)*(Table15[[#Headers],[Monaco - 28 May]]=Points!$C:$C),Points!$F:$F,0,0,-1),0)</f>
        <v>0</v>
      </c>
      <c r="N20" s="9" cm="1">
        <f t="array" ref="N20">IFERROR(_xlfn.XLOOKUP(1,(Table15[[#This Row],[Name]]=Points!$B:$B)*(Table15[[#Headers],[Spain - 4 June]]=Points!$C:$C),Points!$F:$F,0,0,-1),0)</f>
        <v>0</v>
      </c>
      <c r="O20" s="9" cm="1">
        <f t="array" ref="O20">IFERROR(_xlfn.XLOOKUP(1,(Table15[[#This Row],[Name]]=Points!$B:$B)*(Table15[[#Headers],[Canada - 18 June]]=Points!$C:$C),Points!$F:$F,0,0,-1),0)</f>
        <v>0</v>
      </c>
      <c r="P20" s="9" cm="1">
        <f t="array" ref="P20">IFERROR(_xlfn.XLOOKUP(1,(Table15[[#This Row],[Name]]=Points!$B:$B)*(Table15[[#Headers],[Austria - 2 July]]=Points!$C:$C),Points!$F:$F,0,0,-1),0)</f>
        <v>0</v>
      </c>
      <c r="Q20" s="9" cm="1">
        <f t="array" ref="Q20">IFERROR(_xlfn.XLOOKUP(1,(Table15[[#This Row],[Name]]=Points!$B:$B)*(Table15[[#Headers],[Great Britain - 9 July]]=Points!$C:$C),Points!$F:$F,0,0,-1),0)</f>
        <v>0</v>
      </c>
      <c r="R20" s="9" cm="1">
        <f t="array" ref="R20">IFERROR(_xlfn.XLOOKUP(1,(Table15[[#This Row],[Name]]=Points!$B:$B)*(Table15[[#Headers],[Hungary - 23 July]]=Points!$C:$C),Points!$F:$F,0,0,-1),0)</f>
        <v>0</v>
      </c>
      <c r="S20" s="9" cm="1">
        <f t="array" ref="S20">IFERROR(_xlfn.XLOOKUP(1,(Table15[[#This Row],[Name]]=Points!$B:$B)*(Table15[[#Headers],[Belgium - 30 July]]=Points!$C:$C),Points!$F:$F,0,0,-1),0)</f>
        <v>0</v>
      </c>
      <c r="T20" s="9" cm="1">
        <f t="array" ref="T20">IFERROR(_xlfn.XLOOKUP(1,(Table15[[#This Row],[Name]]=Points!$B:$B)*(Table15[[#Headers],[Netherlands - 27 August]]=Points!$C:$C),Points!$F:$F,0,0,-1),0)</f>
        <v>0</v>
      </c>
      <c r="U20" s="9" cm="1">
        <f t="array" ref="U20">IFERROR(_xlfn.XLOOKUP(1,(Table15[[#This Row],[Name]]=Points!$B:$B)*(Table15[[#Headers],[Italy - 3 September]]=Points!$C:$C),Points!$F:$F,0,0,-1),0)</f>
        <v>0</v>
      </c>
      <c r="V20" s="9" cm="1">
        <f t="array" ref="V20">IFERROR(_xlfn.XLOOKUP(1,(Table15[[#This Row],[Name]]=Points!$B:$B)*(Table15[[#Headers],[Singapore - 17 September]]=Points!$C:$C),Points!$F:$F,0,0,-1),0)</f>
        <v>0</v>
      </c>
      <c r="W20" s="9" cm="1">
        <f t="array" ref="W20">IFERROR(_xlfn.XLOOKUP(1,(Table15[[#This Row],[Name]]=Points!$B:$B)*(Table15[[#Headers],[Japan - 24 September]]=Points!$C:$C),Points!$F:$F,0,0,-1),0)</f>
        <v>0</v>
      </c>
      <c r="X20" s="9" cm="1">
        <f t="array" ref="X20">IFERROR(_xlfn.XLOOKUP(1,(Table15[[#This Row],[Name]]=Points!$B:$B)*(Table15[[#Headers],[Qatar - 8 October]]=Points!$C:$C),Points!$F:$F,0,0,-1),0)</f>
        <v>0</v>
      </c>
      <c r="Y20" s="9" cm="1">
        <f t="array" ref="Y20">IFERROR(_xlfn.XLOOKUP(1,(Table15[[#This Row],[Name]]=Points!$B:$B)*(Table15[[#Headers],[United States - 22 October]]=Points!$C:$C),Points!$F:$F,0,0,-1),0)</f>
        <v>0</v>
      </c>
      <c r="Z20" s="9" cm="1">
        <f t="array" ref="Z20">IFERROR(_xlfn.XLOOKUP(1,(Table15[[#This Row],[Name]]=Points!$B:$B)*(Table15[[#Headers],[Mexico - 29 October]]=Points!$C:$C),Points!$F:$F,0,0,-1),0)</f>
        <v>0</v>
      </c>
      <c r="AA20" s="9" cm="1">
        <f t="array" ref="AA20">IFERROR(_xlfn.XLOOKUP(1,(Table15[[#This Row],[Name]]=Points!$B:$B)*(Table15[[#Headers],[Brazil - 5 November]]=Points!$C:$C),Points!$F:$F,0,0,-1),0)</f>
        <v>0</v>
      </c>
      <c r="AB20" s="9" cm="1">
        <f t="array" ref="AB20">IFERROR(_xlfn.XLOOKUP(1,(Table15[[#This Row],[Name]]=Points!$B:$B)*(Table15[[#Headers],[Las Vegas - 18 November]]=Points!$C:$C),Points!$F:$F,0,0,-1),0)</f>
        <v>0</v>
      </c>
      <c r="AC20" s="9" cm="1">
        <f t="array" ref="AC20">IFERROR(_xlfn.XLOOKUP(1,(Table15[[#This Row],[Name]]=Points!$B:$B)*(Table15[[#Headers],[Abu Dhabi - 26 November]]=Points!$C:$C),Points!$F:$F,0,0,-1),0)</f>
        <v>0</v>
      </c>
    </row>
    <row r="21" spans="1:29" ht="15.6" x14ac:dyDescent="0.3">
      <c r="A21" s="4">
        <v>20</v>
      </c>
      <c r="B21" t="s">
        <v>55</v>
      </c>
      <c r="C21" cm="1">
        <f t="array" ref="C21">Table15[[#This Row],[Total]]-_xlfn.XLOOKUP($G$35,$H$36:$AC$36,Table15[[#This Row],[Saudi Arabia - 19 March]:[Abu Dhabi - 26 November]])</f>
        <v>0</v>
      </c>
      <c r="D21" cm="1">
        <f t="array" ref="D21">_xlfn.XLOOKUP(B21,_xlfn.SORTBY(Table15[Name],Table15[Previous Race Total],-1),$A$2:$A$27)</f>
        <v>20</v>
      </c>
      <c r="E21" cm="1">
        <f t="array" ref="E21">_xlfn.XLOOKUP(B21,_xlfn.SORTBY(Table15[Name],Table15[Total],-1),$A$2:$A$27)</f>
        <v>20</v>
      </c>
      <c r="F21" s="94">
        <f>Table15[[#This Row],[Previous race Ranking]]-Table15[[#This Row],[Current ranking]]</f>
        <v>0</v>
      </c>
      <c r="G21" s="85">
        <f t="shared" si="0"/>
        <v>0</v>
      </c>
      <c r="H21" s="9" cm="1">
        <f t="array" ref="H21">IFERROR(_xlfn.XLOOKUP(1,(Table15[[#This Row],[Brazil - 5 November]]=Points!$B:$B)*(Table15[[#Headers],[Saudi Arabia - 19 March]]=Points!$C:$C),Points!$F:$F,0,0,-1),0)</f>
        <v>0</v>
      </c>
      <c r="I21" s="9" cm="1">
        <f t="array" ref="I21">IFERROR(_xlfn.XLOOKUP(1,(Table15[[#This Row],[Las Vegas - 18 November]]=Points!$B:$B)*(Table15[[#Headers],[Australia - 2 April]]=Points!$C:$C),Points!$F:$F,0,0,-1),0)</f>
        <v>0</v>
      </c>
      <c r="J21" s="9" cm="1">
        <f t="array" ref="J21">IFERROR(_xlfn.XLOOKUP(1,(Table15[[#This Row],[Abu Dhabi - 26 November]]=Points!$B:$B)*(Table15[[#Headers],[Azerbaijan - 30 April]]=Points!$C:$C),Points!$F:$F,0,0,-1),0)</f>
        <v>0</v>
      </c>
      <c r="K21" s="9" cm="1">
        <f t="array" ref="K21">IFERROR(_xlfn.XLOOKUP(1,(Table15[[#This Row],[Name]]=Points!$B:$B)*(Table15[[#Headers],[Miami - 7 May]]=Points!$C:$C),Points!$F:$F,0,0,-1),0)</f>
        <v>0</v>
      </c>
      <c r="L21" s="9" cm="1">
        <f t="array" ref="L21">IFERROR(_xlfn.XLOOKUP(1,(Table15[[#This Row],[Name]]=Points!$B:$B)*(Table15[[#Headers],[Italy - 21 May]]=Points!$C:$C),Points!$F:$F,0,0,-1),0)</f>
        <v>0</v>
      </c>
      <c r="M21" s="9" cm="1">
        <f t="array" ref="M21">IFERROR(_xlfn.XLOOKUP(1,(Table15[[#This Row],[Name]]=Points!$B:$B)*(Table15[[#Headers],[Monaco - 28 May]]=Points!$C:$C),Points!$F:$F,0,0,-1),0)</f>
        <v>0</v>
      </c>
      <c r="N21" s="9" cm="1">
        <f t="array" ref="N21">IFERROR(_xlfn.XLOOKUP(1,(Table15[[#This Row],[Name]]=Points!$B:$B)*(Table15[[#Headers],[Spain - 4 June]]=Points!$C:$C),Points!$F:$F,0,0,-1),0)</f>
        <v>0</v>
      </c>
      <c r="O21" s="9" cm="1">
        <f t="array" ref="O21">IFERROR(_xlfn.XLOOKUP(1,(Table15[[#This Row],[Name]]=Points!$B:$B)*(Table15[[#Headers],[Canada - 18 June]]=Points!$C:$C),Points!$F:$F,0,0,-1),0)</f>
        <v>0</v>
      </c>
      <c r="P21" s="9" cm="1">
        <f t="array" ref="P21">IFERROR(_xlfn.XLOOKUP(1,(Table15[[#This Row],[Name]]=Points!$B:$B)*(Table15[[#Headers],[Austria - 2 July]]=Points!$C:$C),Points!$F:$F,0,0,-1),0)</f>
        <v>0</v>
      </c>
      <c r="Q21" s="9" cm="1">
        <f t="array" ref="Q21">IFERROR(_xlfn.XLOOKUP(1,(Table15[[#This Row],[Name]]=Points!$B:$B)*(Table15[[#Headers],[Great Britain - 9 July]]=Points!$C:$C),Points!$F:$F,0,0,-1),0)</f>
        <v>0</v>
      </c>
      <c r="R21" s="9" cm="1">
        <f t="array" ref="R21">IFERROR(_xlfn.XLOOKUP(1,(Table15[[#This Row],[Name]]=Points!$B:$B)*(Table15[[#Headers],[Hungary - 23 July]]=Points!$C:$C),Points!$F:$F,0,0,-1),0)</f>
        <v>0</v>
      </c>
      <c r="S21" s="9" cm="1">
        <f t="array" ref="S21">IFERROR(_xlfn.XLOOKUP(1,(Table15[[#This Row],[Name]]=Points!$B:$B)*(Table15[[#Headers],[Belgium - 30 July]]=Points!$C:$C),Points!$F:$F,0,0,-1),0)</f>
        <v>0</v>
      </c>
      <c r="T21" s="9" cm="1">
        <f t="array" ref="T21">IFERROR(_xlfn.XLOOKUP(1,(Table15[[#This Row],[Name]]=Points!$B:$B)*(Table15[[#Headers],[Netherlands - 27 August]]=Points!$C:$C),Points!$F:$F,0,0,-1),0)</f>
        <v>0</v>
      </c>
      <c r="U21" s="9" cm="1">
        <f t="array" ref="U21">IFERROR(_xlfn.XLOOKUP(1,(Table15[[#This Row],[Name]]=Points!$B:$B)*(Table15[[#Headers],[Italy - 3 September]]=Points!$C:$C),Points!$F:$F,0,0,-1),0)</f>
        <v>0</v>
      </c>
      <c r="V21" s="9" cm="1">
        <f t="array" ref="V21">IFERROR(_xlfn.XLOOKUP(1,(Table15[[#This Row],[Name]]=Points!$B:$B)*(Table15[[#Headers],[Singapore - 17 September]]=Points!$C:$C),Points!$F:$F,0,0,-1),0)</f>
        <v>0</v>
      </c>
      <c r="W21" s="9" cm="1">
        <f t="array" ref="W21">IFERROR(_xlfn.XLOOKUP(1,(Table15[[#This Row],[Name]]=Points!$B:$B)*(Table15[[#Headers],[Japan - 24 September]]=Points!$C:$C),Points!$F:$F,0,0,-1),0)</f>
        <v>0</v>
      </c>
      <c r="X21" s="9" cm="1">
        <f t="array" ref="X21">IFERROR(_xlfn.XLOOKUP(1,(Table15[[#This Row],[Name]]=Points!$B:$B)*(Table15[[#Headers],[Qatar - 8 October]]=Points!$C:$C),Points!$F:$F,0,0,-1),0)</f>
        <v>0</v>
      </c>
      <c r="Y21" s="9" cm="1">
        <f t="array" ref="Y21">IFERROR(_xlfn.XLOOKUP(1,(Table15[[#This Row],[Name]]=Points!$B:$B)*(Table15[[#Headers],[United States - 22 October]]=Points!$C:$C),Points!$F:$F,0,0,-1),0)</f>
        <v>0</v>
      </c>
      <c r="Z21" s="9" cm="1">
        <f t="array" ref="Z21">IFERROR(_xlfn.XLOOKUP(1,(Table15[[#This Row],[Name]]=Points!$B:$B)*(Table15[[#Headers],[Mexico - 29 October]]=Points!$C:$C),Points!$F:$F,0,0,-1),0)</f>
        <v>0</v>
      </c>
      <c r="AA21" s="9" cm="1">
        <f t="array" ref="AA21">IFERROR(_xlfn.XLOOKUP(1,(Table15[[#This Row],[Name]]=Points!$B:$B)*(Table15[[#Headers],[Brazil - 5 November]]=Points!$C:$C),Points!$F:$F,0,0,-1),0)</f>
        <v>0</v>
      </c>
      <c r="AB21" s="9" cm="1">
        <f t="array" ref="AB21">IFERROR(_xlfn.XLOOKUP(1,(Table15[[#This Row],[Name]]=Points!$B:$B)*(Table15[[#Headers],[Las Vegas - 18 November]]=Points!$C:$C),Points!$F:$F,0,0,-1),0)</f>
        <v>0</v>
      </c>
      <c r="AC21" s="9" cm="1">
        <f t="array" ref="AC21">IFERROR(_xlfn.XLOOKUP(1,(Table15[[#This Row],[Name]]=Points!$B:$B)*(Table15[[#Headers],[Abu Dhabi - 26 November]]=Points!$C:$C),Points!$F:$F,0,0,-1),0)</f>
        <v>0</v>
      </c>
    </row>
    <row r="22" spans="1:29" ht="15.6" x14ac:dyDescent="0.3">
      <c r="A22" s="4">
        <v>21</v>
      </c>
      <c r="B22" t="s">
        <v>68</v>
      </c>
      <c r="C22" cm="1">
        <f t="array" ref="C22">Table15[[#This Row],[Total]]-_xlfn.XLOOKUP($G$35,$H$36:$AC$36,Table15[[#This Row],[Saudi Arabia - 19 March]:[Abu Dhabi - 26 November]])</f>
        <v>0</v>
      </c>
      <c r="D22" cm="1">
        <f t="array" ref="D22">_xlfn.XLOOKUP(B22,_xlfn.SORTBY(Table15[Name],Table15[Previous Race Total],-1),$A$2:$A$27)</f>
        <v>21</v>
      </c>
      <c r="E22" cm="1">
        <f t="array" ref="E22">_xlfn.XLOOKUP(B22,_xlfn.SORTBY(Table15[Name],Table15[Total],-1),$A$2:$A$27)</f>
        <v>21</v>
      </c>
      <c r="F22" s="94">
        <f>Table15[[#This Row],[Previous race Ranking]]-Table15[[#This Row],[Current ranking]]</f>
        <v>0</v>
      </c>
      <c r="G22" s="85">
        <f t="shared" si="0"/>
        <v>0</v>
      </c>
      <c r="H22" s="9" cm="1">
        <f t="array" ref="H22">IFERROR(_xlfn.XLOOKUP(1,(Table15[[#This Row],[Brazil - 5 November]]=Points!$B:$B)*(Table15[[#Headers],[Saudi Arabia - 19 March]]=Points!$C:$C),Points!$F:$F,0,0,-1),0)</f>
        <v>0</v>
      </c>
      <c r="I22" s="9" cm="1">
        <f t="array" ref="I22">IFERROR(_xlfn.XLOOKUP(1,(Table15[[#This Row],[Las Vegas - 18 November]]=Points!$B:$B)*(Table15[[#Headers],[Australia - 2 April]]=Points!$C:$C),Points!$F:$F,0,0,-1),0)</f>
        <v>0</v>
      </c>
      <c r="J22" s="9" cm="1">
        <f t="array" ref="J22">IFERROR(_xlfn.XLOOKUP(1,(Table15[[#This Row],[Abu Dhabi - 26 November]]=Points!$B:$B)*(Table15[[#Headers],[Azerbaijan - 30 April]]=Points!$C:$C),Points!$F:$F,0,0,-1),0)</f>
        <v>0</v>
      </c>
      <c r="K22" s="9" cm="1">
        <f t="array" ref="K22">IFERROR(_xlfn.XLOOKUP(1,(Table15[[#This Row],[Name]]=Points!$B:$B)*(Table15[[#Headers],[Miami - 7 May]]=Points!$C:$C),Points!$F:$F,0,0,-1),0)</f>
        <v>0</v>
      </c>
      <c r="L22" s="9" cm="1">
        <f t="array" ref="L22">IFERROR(_xlfn.XLOOKUP(1,(Table15[[#This Row],[Name]]=Points!$B:$B)*(Table15[[#Headers],[Italy - 21 May]]=Points!$C:$C),Points!$F:$F,0,0,-1),0)</f>
        <v>0</v>
      </c>
      <c r="M22" s="9" cm="1">
        <f t="array" ref="M22">IFERROR(_xlfn.XLOOKUP(1,(Table15[[#This Row],[Name]]=Points!$B:$B)*(Table15[[#Headers],[Monaco - 28 May]]=Points!$C:$C),Points!$F:$F,0,0,-1),0)</f>
        <v>0</v>
      </c>
      <c r="N22" s="9" cm="1">
        <f t="array" ref="N22">IFERROR(_xlfn.XLOOKUP(1,(Table15[[#This Row],[Name]]=Points!$B:$B)*(Table15[[#Headers],[Spain - 4 June]]=Points!$C:$C),Points!$F:$F,0,0,-1),0)</f>
        <v>0</v>
      </c>
      <c r="O22" s="9" cm="1">
        <f t="array" ref="O22">IFERROR(_xlfn.XLOOKUP(1,(Table15[[#This Row],[Name]]=Points!$B:$B)*(Table15[[#Headers],[Canada - 18 June]]=Points!$C:$C),Points!$F:$F,0,0,-1),0)</f>
        <v>0</v>
      </c>
      <c r="P22" s="9" cm="1">
        <f t="array" ref="P22">IFERROR(_xlfn.XLOOKUP(1,(Table15[[#This Row],[Name]]=Points!$B:$B)*(Table15[[#Headers],[Austria - 2 July]]=Points!$C:$C),Points!$F:$F,0,0,-1),0)</f>
        <v>0</v>
      </c>
      <c r="Q22" s="9" cm="1">
        <f t="array" ref="Q22">IFERROR(_xlfn.XLOOKUP(1,(Table15[[#This Row],[Name]]=Points!$B:$B)*(Table15[[#Headers],[Great Britain - 9 July]]=Points!$C:$C),Points!$F:$F,0,0,-1),0)</f>
        <v>0</v>
      </c>
      <c r="R22" s="9" cm="1">
        <f t="array" ref="R22">IFERROR(_xlfn.XLOOKUP(1,(Table15[[#This Row],[Name]]=Points!$B:$B)*(Table15[[#Headers],[Hungary - 23 July]]=Points!$C:$C),Points!$F:$F,0,0,-1),0)</f>
        <v>0</v>
      </c>
      <c r="S22" s="9" cm="1">
        <f t="array" ref="S22">IFERROR(_xlfn.XLOOKUP(1,(Table15[[#This Row],[Name]]=Points!$B:$B)*(Table15[[#Headers],[Belgium - 30 July]]=Points!$C:$C),Points!$F:$F,0,0,-1),0)</f>
        <v>0</v>
      </c>
      <c r="T22" s="9" cm="1">
        <f t="array" ref="T22">IFERROR(_xlfn.XLOOKUP(1,(Table15[[#This Row],[Name]]=Points!$B:$B)*(Table15[[#Headers],[Netherlands - 27 August]]=Points!$C:$C),Points!$F:$F,0,0,-1),0)</f>
        <v>0</v>
      </c>
      <c r="U22" s="9" cm="1">
        <f t="array" ref="U22">IFERROR(_xlfn.XLOOKUP(1,(Table15[[#This Row],[Name]]=Points!$B:$B)*(Table15[[#Headers],[Italy - 3 September]]=Points!$C:$C),Points!$F:$F,0,0,-1),0)</f>
        <v>0</v>
      </c>
      <c r="V22" s="9" cm="1">
        <f t="array" ref="V22">IFERROR(_xlfn.XLOOKUP(1,(Table15[[#This Row],[Name]]=Points!$B:$B)*(Table15[[#Headers],[Singapore - 17 September]]=Points!$C:$C),Points!$F:$F,0,0,-1),0)</f>
        <v>0</v>
      </c>
      <c r="W22" s="9" cm="1">
        <f t="array" ref="W22">IFERROR(_xlfn.XLOOKUP(1,(Table15[[#This Row],[Name]]=Points!$B:$B)*(Table15[[#Headers],[Japan - 24 September]]=Points!$C:$C),Points!$F:$F,0,0,-1),0)</f>
        <v>0</v>
      </c>
      <c r="X22" s="9" cm="1">
        <f t="array" ref="X22">IFERROR(_xlfn.XLOOKUP(1,(Table15[[#This Row],[Name]]=Points!$B:$B)*(Table15[[#Headers],[Qatar - 8 October]]=Points!$C:$C),Points!$F:$F,0,0,-1),0)</f>
        <v>0</v>
      </c>
      <c r="Y22" s="9" cm="1">
        <f t="array" ref="Y22">IFERROR(_xlfn.XLOOKUP(1,(Table15[[#This Row],[Name]]=Points!$B:$B)*(Table15[[#Headers],[United States - 22 October]]=Points!$C:$C),Points!$F:$F,0,0,-1),0)</f>
        <v>0</v>
      </c>
      <c r="Z22" s="9" cm="1">
        <f t="array" ref="Z22">IFERROR(_xlfn.XLOOKUP(1,(Table15[[#This Row],[Name]]=Points!$B:$B)*(Table15[[#Headers],[Mexico - 29 October]]=Points!$C:$C),Points!$F:$F,0,0,-1),0)</f>
        <v>0</v>
      </c>
      <c r="AA22" s="9" cm="1">
        <f t="array" ref="AA22">IFERROR(_xlfn.XLOOKUP(1,(Table15[[#This Row],[Name]]=Points!$B:$B)*(Table15[[#Headers],[Brazil - 5 November]]=Points!$C:$C),Points!$F:$F,0,0,-1),0)</f>
        <v>0</v>
      </c>
      <c r="AB22" s="9" cm="1">
        <f t="array" ref="AB22">IFERROR(_xlfn.XLOOKUP(1,(Table15[[#This Row],[Name]]=Points!$B:$B)*(Table15[[#Headers],[Las Vegas - 18 November]]=Points!$C:$C),Points!$F:$F,0,0,-1),0)</f>
        <v>0</v>
      </c>
      <c r="AC22" s="9" cm="1">
        <f t="array" ref="AC22">IFERROR(_xlfn.XLOOKUP(1,(Table15[[#This Row],[Name]]=Points!$B:$B)*(Table15[[#Headers],[Abu Dhabi - 26 November]]=Points!$C:$C),Points!$F:$F,0,0,-1),0)</f>
        <v>0</v>
      </c>
    </row>
    <row r="23" spans="1:29" ht="15.6" x14ac:dyDescent="0.3">
      <c r="A23" s="4">
        <v>22</v>
      </c>
      <c r="B23" t="s">
        <v>67</v>
      </c>
      <c r="C23" cm="1">
        <f t="array" ref="C23">Table15[[#This Row],[Total]]-_xlfn.XLOOKUP($G$35,$H$36:$AC$36,Table15[[#This Row],[Saudi Arabia - 19 March]:[Abu Dhabi - 26 November]])</f>
        <v>0</v>
      </c>
      <c r="D23" cm="1">
        <f t="array" ref="D23">_xlfn.XLOOKUP(B23,_xlfn.SORTBY(Table15[Name],Table15[Previous Race Total],-1),$A$2:$A$27)</f>
        <v>22</v>
      </c>
      <c r="E23" cm="1">
        <f t="array" ref="E23">_xlfn.XLOOKUP(B23,_xlfn.SORTBY(Table15[Name],Table15[Total],-1),$A$2:$A$27)</f>
        <v>22</v>
      </c>
      <c r="F23" s="94">
        <f>Table15[[#This Row],[Previous race Ranking]]-Table15[[#This Row],[Current ranking]]</f>
        <v>0</v>
      </c>
      <c r="G23" s="85">
        <f t="shared" si="0"/>
        <v>0</v>
      </c>
      <c r="H23" s="9" cm="1">
        <f t="array" ref="H23">IFERROR(_xlfn.XLOOKUP(1,(Table15[[#This Row],[Brazil - 5 November]]=Points!$B:$B)*(Table15[[#Headers],[Saudi Arabia - 19 March]]=Points!$C:$C),Points!$F:$F,0,0,-1),0)</f>
        <v>0</v>
      </c>
      <c r="I23" s="9" cm="1">
        <f t="array" ref="I23">IFERROR(_xlfn.XLOOKUP(1,(Table15[[#This Row],[Las Vegas - 18 November]]=Points!$B:$B)*(Table15[[#Headers],[Australia - 2 April]]=Points!$C:$C),Points!$F:$F,0,0,-1),0)</f>
        <v>0</v>
      </c>
      <c r="J23" s="9" cm="1">
        <f t="array" ref="J23">IFERROR(_xlfn.XLOOKUP(1,(Table15[[#This Row],[Abu Dhabi - 26 November]]=Points!$B:$B)*(Table15[[#Headers],[Azerbaijan - 30 April]]=Points!$C:$C),Points!$F:$F,0,0,-1),0)</f>
        <v>0</v>
      </c>
      <c r="K23" s="9" cm="1">
        <f t="array" ref="K23">IFERROR(_xlfn.XLOOKUP(1,(Table15[[#This Row],[Name]]=Points!$B:$B)*(Table15[[#Headers],[Miami - 7 May]]=Points!$C:$C),Points!$F:$F,0,0,-1),0)</f>
        <v>0</v>
      </c>
      <c r="L23" s="9" cm="1">
        <f t="array" ref="L23">IFERROR(_xlfn.XLOOKUP(1,(Table15[[#This Row],[Name]]=Points!$B:$B)*(Table15[[#Headers],[Italy - 21 May]]=Points!$C:$C),Points!$F:$F,0,0,-1),0)</f>
        <v>0</v>
      </c>
      <c r="M23" s="9" cm="1">
        <f t="array" ref="M23">IFERROR(_xlfn.XLOOKUP(1,(Table15[[#This Row],[Name]]=Points!$B:$B)*(Table15[[#Headers],[Monaco - 28 May]]=Points!$C:$C),Points!$F:$F,0,0,-1),0)</f>
        <v>0</v>
      </c>
      <c r="N23" s="9" cm="1">
        <f t="array" ref="N23">IFERROR(_xlfn.XLOOKUP(1,(Table15[[#This Row],[Name]]=Points!$B:$B)*(Table15[[#Headers],[Spain - 4 June]]=Points!$C:$C),Points!$F:$F,0,0,-1),0)</f>
        <v>0</v>
      </c>
      <c r="O23" s="9" cm="1">
        <f t="array" ref="O23">IFERROR(_xlfn.XLOOKUP(1,(Table15[[#This Row],[Name]]=Points!$B:$B)*(Table15[[#Headers],[Canada - 18 June]]=Points!$C:$C),Points!$F:$F,0,0,-1),0)</f>
        <v>0</v>
      </c>
      <c r="P23" s="9" cm="1">
        <f t="array" ref="P23">IFERROR(_xlfn.XLOOKUP(1,(Table15[[#This Row],[Name]]=Points!$B:$B)*(Table15[[#Headers],[Austria - 2 July]]=Points!$C:$C),Points!$F:$F,0,0,-1),0)</f>
        <v>0</v>
      </c>
      <c r="Q23" s="9" cm="1">
        <f t="array" ref="Q23">IFERROR(_xlfn.XLOOKUP(1,(Table15[[#This Row],[Name]]=Points!$B:$B)*(Table15[[#Headers],[Great Britain - 9 July]]=Points!$C:$C),Points!$F:$F,0,0,-1),0)</f>
        <v>0</v>
      </c>
      <c r="R23" s="9" cm="1">
        <f t="array" ref="R23">IFERROR(_xlfn.XLOOKUP(1,(Table15[[#This Row],[Name]]=Points!$B:$B)*(Table15[[#Headers],[Hungary - 23 July]]=Points!$C:$C),Points!$F:$F,0,0,-1),0)</f>
        <v>0</v>
      </c>
      <c r="S23" s="9" cm="1">
        <f t="array" ref="S23">IFERROR(_xlfn.XLOOKUP(1,(Table15[[#This Row],[Name]]=Points!$B:$B)*(Table15[[#Headers],[Belgium - 30 July]]=Points!$C:$C),Points!$F:$F,0,0,-1),0)</f>
        <v>0</v>
      </c>
      <c r="T23" s="9" cm="1">
        <f t="array" ref="T23">IFERROR(_xlfn.XLOOKUP(1,(Table15[[#This Row],[Name]]=Points!$B:$B)*(Table15[[#Headers],[Netherlands - 27 August]]=Points!$C:$C),Points!$F:$F,0,0,-1),0)</f>
        <v>0</v>
      </c>
      <c r="U23" s="9" cm="1">
        <f t="array" ref="U23">IFERROR(_xlfn.XLOOKUP(1,(Table15[[#This Row],[Name]]=Points!$B:$B)*(Table15[[#Headers],[Italy - 3 September]]=Points!$C:$C),Points!$F:$F,0,0,-1),0)</f>
        <v>0</v>
      </c>
      <c r="V23" s="9" cm="1">
        <f t="array" ref="V23">IFERROR(_xlfn.XLOOKUP(1,(Table15[[#This Row],[Name]]=Points!$B:$B)*(Table15[[#Headers],[Singapore - 17 September]]=Points!$C:$C),Points!$F:$F,0,0,-1),0)</f>
        <v>0</v>
      </c>
      <c r="W23" s="9" cm="1">
        <f t="array" ref="W23">IFERROR(_xlfn.XLOOKUP(1,(Table15[[#This Row],[Name]]=Points!$B:$B)*(Table15[[#Headers],[Japan - 24 September]]=Points!$C:$C),Points!$F:$F,0,0,-1),0)</f>
        <v>0</v>
      </c>
      <c r="X23" s="9" cm="1">
        <f t="array" ref="X23">IFERROR(_xlfn.XLOOKUP(1,(Table15[[#This Row],[Name]]=Points!$B:$B)*(Table15[[#Headers],[Qatar - 8 October]]=Points!$C:$C),Points!$F:$F,0,0,-1),0)</f>
        <v>0</v>
      </c>
      <c r="Y23" s="9" cm="1">
        <f t="array" ref="Y23">IFERROR(_xlfn.XLOOKUP(1,(Table15[[#This Row],[Name]]=Points!$B:$B)*(Table15[[#Headers],[United States - 22 October]]=Points!$C:$C),Points!$F:$F,0,0,-1),0)</f>
        <v>0</v>
      </c>
      <c r="Z23" s="9" cm="1">
        <f t="array" ref="Z23">IFERROR(_xlfn.XLOOKUP(1,(Table15[[#This Row],[Name]]=Points!$B:$B)*(Table15[[#Headers],[Mexico - 29 October]]=Points!$C:$C),Points!$F:$F,0,0,-1),0)</f>
        <v>0</v>
      </c>
      <c r="AA23" s="9" cm="1">
        <f t="array" ref="AA23">IFERROR(_xlfn.XLOOKUP(1,(Table15[[#This Row],[Name]]=Points!$B:$B)*(Table15[[#Headers],[Brazil - 5 November]]=Points!$C:$C),Points!$F:$F,0,0,-1),0)</f>
        <v>0</v>
      </c>
      <c r="AB23" s="9" cm="1">
        <f t="array" ref="AB23">IFERROR(_xlfn.XLOOKUP(1,(Table15[[#This Row],[Name]]=Points!$B:$B)*(Table15[[#Headers],[Las Vegas - 18 November]]=Points!$C:$C),Points!$F:$F,0,0,-1),0)</f>
        <v>0</v>
      </c>
      <c r="AC23" s="9" cm="1">
        <f t="array" ref="AC23">IFERROR(_xlfn.XLOOKUP(1,(Table15[[#This Row],[Name]]=Points!$B:$B)*(Table15[[#Headers],[Abu Dhabi - 26 November]]=Points!$C:$C),Points!$F:$F,0,0,-1),0)</f>
        <v>0</v>
      </c>
    </row>
    <row r="24" spans="1:29" ht="15.6" x14ac:dyDescent="0.3">
      <c r="A24" s="4">
        <v>23</v>
      </c>
      <c r="B24" t="s">
        <v>63</v>
      </c>
      <c r="C24" cm="1">
        <f t="array" ref="C24">Table15[[#This Row],[Total]]-_xlfn.XLOOKUP($G$35,$H$36:$AC$36,Table15[[#This Row],[Saudi Arabia - 19 March]:[Abu Dhabi - 26 November]])</f>
        <v>0</v>
      </c>
      <c r="D24" cm="1">
        <f t="array" ref="D24">_xlfn.XLOOKUP(B24,_xlfn.SORTBY(Table15[Name],Table15[Previous Race Total],-1),$A$2:$A$27)</f>
        <v>23</v>
      </c>
      <c r="E24" cm="1">
        <f t="array" ref="E24">_xlfn.XLOOKUP(B24,_xlfn.SORTBY(Table15[Name],Table15[Total],-1),$A$2:$A$27)</f>
        <v>23</v>
      </c>
      <c r="F24" s="94">
        <f>Table15[[#This Row],[Previous race Ranking]]-Table15[[#This Row],[Current ranking]]</f>
        <v>0</v>
      </c>
      <c r="G24" s="85">
        <f t="shared" si="0"/>
        <v>0</v>
      </c>
      <c r="H24" s="9" cm="1">
        <f t="array" ref="H24">IFERROR(_xlfn.XLOOKUP(1,(Table15[[#This Row],[Brazil - 5 November]]=Points!$B:$B)*(Table15[[#Headers],[Saudi Arabia - 19 March]]=Points!$C:$C),Points!$F:$F,0,0,-1),0)</f>
        <v>0</v>
      </c>
      <c r="I24" s="9" cm="1">
        <f t="array" ref="I24">IFERROR(_xlfn.XLOOKUP(1,(Table15[[#This Row],[Las Vegas - 18 November]]=Points!$B:$B)*(Table15[[#Headers],[Australia - 2 April]]=Points!$C:$C),Points!$F:$F,0,0,-1),0)</f>
        <v>0</v>
      </c>
      <c r="J24" s="9" cm="1">
        <f t="array" ref="J24">IFERROR(_xlfn.XLOOKUP(1,(Table15[[#This Row],[Abu Dhabi - 26 November]]=Points!$B:$B)*(Table15[[#Headers],[Azerbaijan - 30 April]]=Points!$C:$C),Points!$F:$F,0,0,-1),0)</f>
        <v>0</v>
      </c>
      <c r="K24" s="9" cm="1">
        <f t="array" ref="K24">IFERROR(_xlfn.XLOOKUP(1,(Table15[[#This Row],[Name]]=Points!$B:$B)*(Table15[[#Headers],[Miami - 7 May]]=Points!$C:$C),Points!$F:$F,0,0,-1),0)</f>
        <v>0</v>
      </c>
      <c r="L24" s="9" cm="1">
        <f t="array" ref="L24">IFERROR(_xlfn.XLOOKUP(1,(Table15[[#This Row],[Name]]=Points!$B:$B)*(Table15[[#Headers],[Italy - 21 May]]=Points!$C:$C),Points!$F:$F,0,0,-1),0)</f>
        <v>0</v>
      </c>
      <c r="M24" s="9" cm="1">
        <f t="array" ref="M24">IFERROR(_xlfn.XLOOKUP(1,(Table15[[#This Row],[Name]]=Points!$B:$B)*(Table15[[#Headers],[Monaco - 28 May]]=Points!$C:$C),Points!$F:$F,0,0,-1),0)</f>
        <v>0</v>
      </c>
      <c r="N24" s="9" cm="1">
        <f t="array" ref="N24">IFERROR(_xlfn.XLOOKUP(1,(Table15[[#This Row],[Name]]=Points!$B:$B)*(Table15[[#Headers],[Spain - 4 June]]=Points!$C:$C),Points!$F:$F,0,0,-1),0)</f>
        <v>0</v>
      </c>
      <c r="O24" s="9" cm="1">
        <f t="array" ref="O24">IFERROR(_xlfn.XLOOKUP(1,(Table15[[#This Row],[Name]]=Points!$B:$B)*(Table15[[#Headers],[Canada - 18 June]]=Points!$C:$C),Points!$F:$F,0,0,-1),0)</f>
        <v>0</v>
      </c>
      <c r="P24" s="9" cm="1">
        <f t="array" ref="P24">IFERROR(_xlfn.XLOOKUP(1,(Table15[[#This Row],[Name]]=Points!$B:$B)*(Table15[[#Headers],[Austria - 2 July]]=Points!$C:$C),Points!$F:$F,0,0,-1),0)</f>
        <v>0</v>
      </c>
      <c r="Q24" s="9" cm="1">
        <f t="array" ref="Q24">IFERROR(_xlfn.XLOOKUP(1,(Table15[[#This Row],[Name]]=Points!$B:$B)*(Table15[[#Headers],[Great Britain - 9 July]]=Points!$C:$C),Points!$F:$F,0,0,-1),0)</f>
        <v>0</v>
      </c>
      <c r="R24" s="9" cm="1">
        <f t="array" ref="R24">IFERROR(_xlfn.XLOOKUP(1,(Table15[[#This Row],[Name]]=Points!$B:$B)*(Table15[[#Headers],[Hungary - 23 July]]=Points!$C:$C),Points!$F:$F,0,0,-1),0)</f>
        <v>0</v>
      </c>
      <c r="S24" s="9" cm="1">
        <f t="array" ref="S24">IFERROR(_xlfn.XLOOKUP(1,(Table15[[#This Row],[Name]]=Points!$B:$B)*(Table15[[#Headers],[Belgium - 30 July]]=Points!$C:$C),Points!$F:$F,0,0,-1),0)</f>
        <v>0</v>
      </c>
      <c r="T24" s="9" cm="1">
        <f t="array" ref="T24">IFERROR(_xlfn.XLOOKUP(1,(Table15[[#This Row],[Name]]=Points!$B:$B)*(Table15[[#Headers],[Netherlands - 27 August]]=Points!$C:$C),Points!$F:$F,0,0,-1),0)</f>
        <v>0</v>
      </c>
      <c r="U24" s="9" cm="1">
        <f t="array" ref="U24">IFERROR(_xlfn.XLOOKUP(1,(Table15[[#This Row],[Name]]=Points!$B:$B)*(Table15[[#Headers],[Italy - 3 September]]=Points!$C:$C),Points!$F:$F,0,0,-1),0)</f>
        <v>0</v>
      </c>
      <c r="V24" s="9" cm="1">
        <f t="array" ref="V24">IFERROR(_xlfn.XLOOKUP(1,(Table15[[#This Row],[Name]]=Points!$B:$B)*(Table15[[#Headers],[Singapore - 17 September]]=Points!$C:$C),Points!$F:$F,0,0,-1),0)</f>
        <v>0</v>
      </c>
      <c r="W24" s="9" cm="1">
        <f t="array" ref="W24">IFERROR(_xlfn.XLOOKUP(1,(Table15[[#This Row],[Name]]=Points!$B:$B)*(Table15[[#Headers],[Japan - 24 September]]=Points!$C:$C),Points!$F:$F,0,0,-1),0)</f>
        <v>0</v>
      </c>
      <c r="X24" s="9" cm="1">
        <f t="array" ref="X24">IFERROR(_xlfn.XLOOKUP(1,(Table15[[#This Row],[Name]]=Points!$B:$B)*(Table15[[#Headers],[Qatar - 8 October]]=Points!$C:$C),Points!$F:$F,0,0,-1),0)</f>
        <v>0</v>
      </c>
      <c r="Y24" s="9" cm="1">
        <f t="array" ref="Y24">IFERROR(_xlfn.XLOOKUP(1,(Table15[[#This Row],[Name]]=Points!$B:$B)*(Table15[[#Headers],[United States - 22 October]]=Points!$C:$C),Points!$F:$F,0,0,-1),0)</f>
        <v>0</v>
      </c>
      <c r="Z24" s="9" cm="1">
        <f t="array" ref="Z24">IFERROR(_xlfn.XLOOKUP(1,(Table15[[#This Row],[Name]]=Points!$B:$B)*(Table15[[#Headers],[Mexico - 29 October]]=Points!$C:$C),Points!$F:$F,0,0,-1),0)</f>
        <v>0</v>
      </c>
      <c r="AA24" s="9" cm="1">
        <f t="array" ref="AA24">IFERROR(_xlfn.XLOOKUP(1,(Table15[[#This Row],[Name]]=Points!$B:$B)*(Table15[[#Headers],[Brazil - 5 November]]=Points!$C:$C),Points!$F:$F,0,0,-1),0)</f>
        <v>0</v>
      </c>
      <c r="AB24" s="9" cm="1">
        <f t="array" ref="AB24">IFERROR(_xlfn.XLOOKUP(1,(Table15[[#This Row],[Name]]=Points!$B:$B)*(Table15[[#Headers],[Las Vegas - 18 November]]=Points!$C:$C),Points!$F:$F,0,0,-1),0)</f>
        <v>0</v>
      </c>
      <c r="AC24" s="9" cm="1">
        <f t="array" ref="AC24">IFERROR(_xlfn.XLOOKUP(1,(Table15[[#This Row],[Name]]=Points!$B:$B)*(Table15[[#Headers],[Abu Dhabi - 26 November]]=Points!$C:$C),Points!$F:$F,0,0,-1),0)</f>
        <v>0</v>
      </c>
    </row>
    <row r="25" spans="1:29" ht="15.6" x14ac:dyDescent="0.3">
      <c r="A25" s="4">
        <v>24</v>
      </c>
      <c r="B25" t="s">
        <v>69</v>
      </c>
      <c r="C25" cm="1">
        <f t="array" ref="C25">Table15[[#This Row],[Total]]-_xlfn.XLOOKUP($G$35,$H$36:$AC$36,Table15[[#This Row],[Saudi Arabia - 19 March]:[Abu Dhabi - 26 November]])</f>
        <v>0</v>
      </c>
      <c r="D25" cm="1">
        <f t="array" ref="D25">_xlfn.XLOOKUP(B25,_xlfn.SORTBY(Table15[Name],Table15[Previous Race Total],-1),$A$2:$A$27)</f>
        <v>24</v>
      </c>
      <c r="E25" cm="1">
        <f t="array" ref="E25">_xlfn.XLOOKUP(B25,_xlfn.SORTBY(Table15[Name],Table15[Total],-1),$A$2:$A$27)</f>
        <v>24</v>
      </c>
      <c r="F25" s="94">
        <f>Table15[[#This Row],[Previous race Ranking]]-Table15[[#This Row],[Current ranking]]</f>
        <v>0</v>
      </c>
      <c r="G25" s="85">
        <f t="shared" si="0"/>
        <v>0</v>
      </c>
      <c r="H25" s="9" cm="1">
        <f t="array" ref="H25">IFERROR(_xlfn.XLOOKUP(1,(Table15[[#This Row],[Brazil - 5 November]]=Points!$B:$B)*(Table15[[#Headers],[Saudi Arabia - 19 March]]=Points!$C:$C),Points!$F:$F,0,0,-1),0)</f>
        <v>0</v>
      </c>
      <c r="I25" s="9" cm="1">
        <f t="array" ref="I25">IFERROR(_xlfn.XLOOKUP(1,(Table15[[#This Row],[Las Vegas - 18 November]]=Points!$B:$B)*(Table15[[#Headers],[Australia - 2 April]]=Points!$C:$C),Points!$F:$F,0,0,-1),0)</f>
        <v>0</v>
      </c>
      <c r="J25" s="9" cm="1">
        <f t="array" ref="J25">IFERROR(_xlfn.XLOOKUP(1,(Table15[[#This Row],[Abu Dhabi - 26 November]]=Points!$B:$B)*(Table15[[#Headers],[Azerbaijan - 30 April]]=Points!$C:$C),Points!$F:$F,0,0,-1),0)</f>
        <v>0</v>
      </c>
      <c r="K25" s="9" cm="1">
        <f t="array" ref="K25">IFERROR(_xlfn.XLOOKUP(1,(Table15[[#This Row],[Name]]=Points!$B:$B)*(Table15[[#Headers],[Miami - 7 May]]=Points!$C:$C),Points!$F:$F,0,0,-1),0)</f>
        <v>0</v>
      </c>
      <c r="L25" s="9" cm="1">
        <f t="array" ref="L25">IFERROR(_xlfn.XLOOKUP(1,(Table15[[#This Row],[Name]]=Points!$B:$B)*(Table15[[#Headers],[Italy - 21 May]]=Points!$C:$C),Points!$F:$F,0,0,-1),0)</f>
        <v>0</v>
      </c>
      <c r="M25" s="9" cm="1">
        <f t="array" ref="M25">IFERROR(_xlfn.XLOOKUP(1,(Table15[[#This Row],[Name]]=Points!$B:$B)*(Table15[[#Headers],[Monaco - 28 May]]=Points!$C:$C),Points!$F:$F,0,0,-1),0)</f>
        <v>0</v>
      </c>
      <c r="N25" s="9" cm="1">
        <f t="array" ref="N25">IFERROR(_xlfn.XLOOKUP(1,(Table15[[#This Row],[Name]]=Points!$B:$B)*(Table15[[#Headers],[Spain - 4 June]]=Points!$C:$C),Points!$F:$F,0,0,-1),0)</f>
        <v>0</v>
      </c>
      <c r="O25" s="9" cm="1">
        <f t="array" ref="O25">IFERROR(_xlfn.XLOOKUP(1,(Table15[[#This Row],[Name]]=Points!$B:$B)*(Table15[[#Headers],[Canada - 18 June]]=Points!$C:$C),Points!$F:$F,0,0,-1),0)</f>
        <v>0</v>
      </c>
      <c r="P25" s="9" cm="1">
        <f t="array" ref="P25">IFERROR(_xlfn.XLOOKUP(1,(Table15[[#This Row],[Name]]=Points!$B:$B)*(Table15[[#Headers],[Austria - 2 July]]=Points!$C:$C),Points!$F:$F,0,0,-1),0)</f>
        <v>0</v>
      </c>
      <c r="Q25" s="9" cm="1">
        <f t="array" ref="Q25">IFERROR(_xlfn.XLOOKUP(1,(Table15[[#This Row],[Name]]=Points!$B:$B)*(Table15[[#Headers],[Great Britain - 9 July]]=Points!$C:$C),Points!$F:$F,0,0,-1),0)</f>
        <v>0</v>
      </c>
      <c r="R25" s="9" cm="1">
        <f t="array" ref="R25">IFERROR(_xlfn.XLOOKUP(1,(Table15[[#This Row],[Name]]=Points!$B:$B)*(Table15[[#Headers],[Hungary - 23 July]]=Points!$C:$C),Points!$F:$F,0,0,-1),0)</f>
        <v>0</v>
      </c>
      <c r="S25" s="9" cm="1">
        <f t="array" ref="S25">IFERROR(_xlfn.XLOOKUP(1,(Table15[[#This Row],[Name]]=Points!$B:$B)*(Table15[[#Headers],[Belgium - 30 July]]=Points!$C:$C),Points!$F:$F,0,0,-1),0)</f>
        <v>0</v>
      </c>
      <c r="T25" s="9" cm="1">
        <f t="array" ref="T25">IFERROR(_xlfn.XLOOKUP(1,(Table15[[#This Row],[Name]]=Points!$B:$B)*(Table15[[#Headers],[Netherlands - 27 August]]=Points!$C:$C),Points!$F:$F,0,0,-1),0)</f>
        <v>0</v>
      </c>
      <c r="U25" s="9" cm="1">
        <f t="array" ref="U25">IFERROR(_xlfn.XLOOKUP(1,(Table15[[#This Row],[Name]]=Points!$B:$B)*(Table15[[#Headers],[Italy - 3 September]]=Points!$C:$C),Points!$F:$F,0,0,-1),0)</f>
        <v>0</v>
      </c>
      <c r="V25" s="9" cm="1">
        <f t="array" ref="V25">IFERROR(_xlfn.XLOOKUP(1,(Table15[[#This Row],[Name]]=Points!$B:$B)*(Table15[[#Headers],[Singapore - 17 September]]=Points!$C:$C),Points!$F:$F,0,0,-1),0)</f>
        <v>0</v>
      </c>
      <c r="W25" s="9" cm="1">
        <f t="array" ref="W25">IFERROR(_xlfn.XLOOKUP(1,(Table15[[#This Row],[Name]]=Points!$B:$B)*(Table15[[#Headers],[Japan - 24 September]]=Points!$C:$C),Points!$F:$F,0,0,-1),0)</f>
        <v>0</v>
      </c>
      <c r="X25" s="9" cm="1">
        <f t="array" ref="X25">IFERROR(_xlfn.XLOOKUP(1,(Table15[[#This Row],[Name]]=Points!$B:$B)*(Table15[[#Headers],[Qatar - 8 October]]=Points!$C:$C),Points!$F:$F,0,0,-1),0)</f>
        <v>0</v>
      </c>
      <c r="Y25" s="9" cm="1">
        <f t="array" ref="Y25">IFERROR(_xlfn.XLOOKUP(1,(Table15[[#This Row],[Name]]=Points!$B:$B)*(Table15[[#Headers],[United States - 22 October]]=Points!$C:$C),Points!$F:$F,0,0,-1),0)</f>
        <v>0</v>
      </c>
      <c r="Z25" s="9" cm="1">
        <f t="array" ref="Z25">IFERROR(_xlfn.XLOOKUP(1,(Table15[[#This Row],[Name]]=Points!$B:$B)*(Table15[[#Headers],[Mexico - 29 October]]=Points!$C:$C),Points!$F:$F,0,0,-1),0)</f>
        <v>0</v>
      </c>
      <c r="AA25" s="9" cm="1">
        <f t="array" ref="AA25">IFERROR(_xlfn.XLOOKUP(1,(Table15[[#This Row],[Name]]=Points!$B:$B)*(Table15[[#Headers],[Brazil - 5 November]]=Points!$C:$C),Points!$F:$F,0,0,-1),0)</f>
        <v>0</v>
      </c>
      <c r="AB25" s="9" cm="1">
        <f t="array" ref="AB25">IFERROR(_xlfn.XLOOKUP(1,(Table15[[#This Row],[Name]]=Points!$B:$B)*(Table15[[#Headers],[Las Vegas - 18 November]]=Points!$C:$C),Points!$F:$F,0,0,-1),0)</f>
        <v>0</v>
      </c>
      <c r="AC25" s="9" cm="1">
        <f t="array" ref="AC25">IFERROR(_xlfn.XLOOKUP(1,(Table15[[#This Row],[Name]]=Points!$B:$B)*(Table15[[#Headers],[Abu Dhabi - 26 November]]=Points!$C:$C),Points!$F:$F,0,0,-1),0)</f>
        <v>0</v>
      </c>
    </row>
    <row r="26" spans="1:29" ht="15.6" x14ac:dyDescent="0.3">
      <c r="A26" s="4">
        <v>25</v>
      </c>
      <c r="B26" t="s">
        <v>66</v>
      </c>
      <c r="C26" cm="1">
        <f t="array" ref="C26">Table15[[#This Row],[Total]]-_xlfn.XLOOKUP($G$35,$H$36:$AC$36,Table15[[#This Row],[Saudi Arabia - 19 March]:[Abu Dhabi - 26 November]])</f>
        <v>0</v>
      </c>
      <c r="D26" cm="1">
        <f t="array" ref="D26">_xlfn.XLOOKUP(B26,_xlfn.SORTBY(Table15[Name],Table15[Previous Race Total],-1),$A$2:$A$27)</f>
        <v>25</v>
      </c>
      <c r="E26" cm="1">
        <f t="array" ref="E26">_xlfn.XLOOKUP(B26,_xlfn.SORTBY(Table15[Name],Table15[Total],-1),$A$2:$A$27)</f>
        <v>25</v>
      </c>
      <c r="F26" s="94">
        <f>Table15[[#This Row],[Previous race Ranking]]-Table15[[#This Row],[Current ranking]]</f>
        <v>0</v>
      </c>
      <c r="G26" s="85">
        <f t="shared" si="0"/>
        <v>0</v>
      </c>
      <c r="H26" s="9" cm="1">
        <f t="array" ref="H26">IFERROR(_xlfn.XLOOKUP(1,(Table15[[#This Row],[Brazil - 5 November]]=Points!$B:$B)*(Table15[[#Headers],[Saudi Arabia - 19 March]]=Points!$C:$C),Points!$F:$F,0,0,-1),0)</f>
        <v>0</v>
      </c>
      <c r="I26" s="9" cm="1">
        <f t="array" ref="I26">IFERROR(_xlfn.XLOOKUP(1,(Table15[[#This Row],[Las Vegas - 18 November]]=Points!$B:$B)*(Table15[[#Headers],[Australia - 2 April]]=Points!$C:$C),Points!$F:$F,0,0,-1),0)</f>
        <v>0</v>
      </c>
      <c r="J26" s="9" cm="1">
        <f t="array" ref="J26">IFERROR(_xlfn.XLOOKUP(1,(Table15[[#This Row],[Abu Dhabi - 26 November]]=Points!$B:$B)*(Table15[[#Headers],[Azerbaijan - 30 April]]=Points!$C:$C),Points!$F:$F,0,0,-1),0)</f>
        <v>0</v>
      </c>
      <c r="K26" s="9" cm="1">
        <f t="array" ref="K26">IFERROR(_xlfn.XLOOKUP(1,(Table15[[#This Row],[Name]]=Points!$B:$B)*(Table15[[#Headers],[Miami - 7 May]]=Points!$C:$C),Points!$F:$F,0,0,-1),0)</f>
        <v>0</v>
      </c>
      <c r="L26" s="9" cm="1">
        <f t="array" ref="L26">IFERROR(_xlfn.XLOOKUP(1,(Table15[[#This Row],[Name]]=Points!$B:$B)*(Table15[[#Headers],[Italy - 21 May]]=Points!$C:$C),Points!$F:$F,0,0,-1),0)</f>
        <v>0</v>
      </c>
      <c r="M26" s="9" cm="1">
        <f t="array" ref="M26">IFERROR(_xlfn.XLOOKUP(1,(Table15[[#This Row],[Name]]=Points!$B:$B)*(Table15[[#Headers],[Monaco - 28 May]]=Points!$C:$C),Points!$F:$F,0,0,-1),0)</f>
        <v>0</v>
      </c>
      <c r="N26" s="9" cm="1">
        <f t="array" ref="N26">IFERROR(_xlfn.XLOOKUP(1,(Table15[[#This Row],[Name]]=Points!$B:$B)*(Table15[[#Headers],[Spain - 4 June]]=Points!$C:$C),Points!$F:$F,0,0,-1),0)</f>
        <v>0</v>
      </c>
      <c r="O26" s="9" cm="1">
        <f t="array" ref="O26">IFERROR(_xlfn.XLOOKUP(1,(Table15[[#This Row],[Name]]=Points!$B:$B)*(Table15[[#Headers],[Canada - 18 June]]=Points!$C:$C),Points!$F:$F,0,0,-1),0)</f>
        <v>0</v>
      </c>
      <c r="P26" s="9" cm="1">
        <f t="array" ref="P26">IFERROR(_xlfn.XLOOKUP(1,(Table15[[#This Row],[Name]]=Points!$B:$B)*(Table15[[#Headers],[Austria - 2 July]]=Points!$C:$C),Points!$F:$F,0,0,-1),0)</f>
        <v>0</v>
      </c>
      <c r="Q26" s="9" cm="1">
        <f t="array" ref="Q26">IFERROR(_xlfn.XLOOKUP(1,(Table15[[#This Row],[Name]]=Points!$B:$B)*(Table15[[#Headers],[Great Britain - 9 July]]=Points!$C:$C),Points!$F:$F,0,0,-1),0)</f>
        <v>0</v>
      </c>
      <c r="R26" s="9" cm="1">
        <f t="array" ref="R26">IFERROR(_xlfn.XLOOKUP(1,(Table15[[#This Row],[Name]]=Points!$B:$B)*(Table15[[#Headers],[Hungary - 23 July]]=Points!$C:$C),Points!$F:$F,0,0,-1),0)</f>
        <v>0</v>
      </c>
      <c r="S26" s="9" cm="1">
        <f t="array" ref="S26">IFERROR(_xlfn.XLOOKUP(1,(Table15[[#This Row],[Name]]=Points!$B:$B)*(Table15[[#Headers],[Belgium - 30 July]]=Points!$C:$C),Points!$F:$F,0,0,-1),0)</f>
        <v>0</v>
      </c>
      <c r="T26" s="9" cm="1">
        <f t="array" ref="T26">IFERROR(_xlfn.XLOOKUP(1,(Table15[[#This Row],[Name]]=Points!$B:$B)*(Table15[[#Headers],[Netherlands - 27 August]]=Points!$C:$C),Points!$F:$F,0,0,-1),0)</f>
        <v>0</v>
      </c>
      <c r="U26" s="9" cm="1">
        <f t="array" ref="U26">IFERROR(_xlfn.XLOOKUP(1,(Table15[[#This Row],[Name]]=Points!$B:$B)*(Table15[[#Headers],[Italy - 3 September]]=Points!$C:$C),Points!$F:$F,0,0,-1),0)</f>
        <v>0</v>
      </c>
      <c r="V26" s="9" cm="1">
        <f t="array" ref="V26">IFERROR(_xlfn.XLOOKUP(1,(Table15[[#This Row],[Name]]=Points!$B:$B)*(Table15[[#Headers],[Singapore - 17 September]]=Points!$C:$C),Points!$F:$F,0,0,-1),0)</f>
        <v>0</v>
      </c>
      <c r="W26" s="9" cm="1">
        <f t="array" ref="W26">IFERROR(_xlfn.XLOOKUP(1,(Table15[[#This Row],[Name]]=Points!$B:$B)*(Table15[[#Headers],[Japan - 24 September]]=Points!$C:$C),Points!$F:$F,0,0,-1),0)</f>
        <v>0</v>
      </c>
      <c r="X26" s="9" cm="1">
        <f t="array" ref="X26">IFERROR(_xlfn.XLOOKUP(1,(Table15[[#This Row],[Name]]=Points!$B:$B)*(Table15[[#Headers],[Qatar - 8 October]]=Points!$C:$C),Points!$F:$F,0,0,-1),0)</f>
        <v>0</v>
      </c>
      <c r="Y26" s="9" cm="1">
        <f t="array" ref="Y26">IFERROR(_xlfn.XLOOKUP(1,(Table15[[#This Row],[Name]]=Points!$B:$B)*(Table15[[#Headers],[United States - 22 October]]=Points!$C:$C),Points!$F:$F,0,0,-1),0)</f>
        <v>0</v>
      </c>
      <c r="Z26" s="9" cm="1">
        <f t="array" ref="Z26">IFERROR(_xlfn.XLOOKUP(1,(Table15[[#This Row],[Name]]=Points!$B:$B)*(Table15[[#Headers],[Mexico - 29 October]]=Points!$C:$C),Points!$F:$F,0,0,-1),0)</f>
        <v>0</v>
      </c>
      <c r="AA26" s="9" cm="1">
        <f t="array" ref="AA26">IFERROR(_xlfn.XLOOKUP(1,(Table15[[#This Row],[Name]]=Points!$B:$B)*(Table15[[#Headers],[Brazil - 5 November]]=Points!$C:$C),Points!$F:$F,0,0,-1),0)</f>
        <v>0</v>
      </c>
      <c r="AB26" s="9" cm="1">
        <f t="array" ref="AB26">IFERROR(_xlfn.XLOOKUP(1,(Table15[[#This Row],[Name]]=Points!$B:$B)*(Table15[[#Headers],[Las Vegas - 18 November]]=Points!$C:$C),Points!$F:$F,0,0,-1),0)</f>
        <v>0</v>
      </c>
      <c r="AC26" s="9" cm="1">
        <f t="array" ref="AC26">IFERROR(_xlfn.XLOOKUP(1,(Table15[[#This Row],[Name]]=Points!$B:$B)*(Table15[[#Headers],[Abu Dhabi - 26 November]]=Points!$C:$C),Points!$F:$F,0,0,-1),0)</f>
        <v>0</v>
      </c>
    </row>
    <row r="27" spans="1:29" ht="15.6" x14ac:dyDescent="0.3">
      <c r="A27" s="4">
        <v>26</v>
      </c>
      <c r="B27" t="s">
        <v>58</v>
      </c>
      <c r="C27" cm="1">
        <f t="array" ref="C27">Table15[[#This Row],[Total]]-_xlfn.XLOOKUP($G$35,$H$36:$AC$36,Table15[[#This Row],[Saudi Arabia - 19 March]:[Abu Dhabi - 26 November]])</f>
        <v>0</v>
      </c>
      <c r="D27" cm="1">
        <f t="array" ref="D27">_xlfn.XLOOKUP(B27,_xlfn.SORTBY(Table15[Name],Table15[Previous Race Total],-1),$A$2:$A$27)</f>
        <v>26</v>
      </c>
      <c r="E27" cm="1">
        <f t="array" ref="E27">_xlfn.XLOOKUP(B27,_xlfn.SORTBY(Table15[Name],Table15[Total],-1),$A$2:$A$27)</f>
        <v>26</v>
      </c>
      <c r="F27" s="94">
        <f>Table15[[#This Row],[Previous race Ranking]]-Table15[[#This Row],[Current ranking]]</f>
        <v>0</v>
      </c>
      <c r="G27" s="85">
        <f t="shared" si="0"/>
        <v>0</v>
      </c>
      <c r="H27" s="9" cm="1">
        <f t="array" ref="H27">IFERROR(_xlfn.XLOOKUP(1,(Table15[[#This Row],[Brazil - 5 November]]=Points!$B:$B)*(Table15[[#Headers],[Saudi Arabia - 19 March]]=Points!$C:$C),Points!$F:$F,0,0,-1),0)</f>
        <v>0</v>
      </c>
      <c r="I27" s="9" cm="1">
        <f t="array" ref="I27">IFERROR(_xlfn.XLOOKUP(1,(Table15[[#This Row],[Las Vegas - 18 November]]=Points!$B:$B)*(Table15[[#Headers],[Australia - 2 April]]=Points!$C:$C),Points!$F:$F,0,0,-1),0)</f>
        <v>0</v>
      </c>
      <c r="J27" s="9" cm="1">
        <f t="array" ref="J27">IFERROR(_xlfn.XLOOKUP(1,(Table15[[#This Row],[Abu Dhabi - 26 November]]=Points!$B:$B)*(Table15[[#Headers],[Azerbaijan - 30 April]]=Points!$C:$C),Points!$F:$F,0,0,-1),0)</f>
        <v>0</v>
      </c>
      <c r="K27" s="9" cm="1">
        <f t="array" ref="K27">IFERROR(_xlfn.XLOOKUP(1,(Table15[[#This Row],[Name]]=Points!$B:$B)*(Table15[[#Headers],[Miami - 7 May]]=Points!$C:$C),Points!$F:$F,0,0,-1),0)</f>
        <v>0</v>
      </c>
      <c r="L27" s="9" cm="1">
        <f t="array" ref="L27">IFERROR(_xlfn.XLOOKUP(1,(Table15[[#This Row],[Name]]=Points!$B:$B)*(Table15[[#Headers],[Italy - 21 May]]=Points!$C:$C),Points!$F:$F,0,0,-1),0)</f>
        <v>0</v>
      </c>
      <c r="M27" s="9" cm="1">
        <f t="array" ref="M27">IFERROR(_xlfn.XLOOKUP(1,(Table15[[#This Row],[Name]]=Points!$B:$B)*(Table15[[#Headers],[Monaco - 28 May]]=Points!$C:$C),Points!$F:$F,0,0,-1),0)</f>
        <v>0</v>
      </c>
      <c r="N27" s="9" cm="1">
        <f t="array" ref="N27">IFERROR(_xlfn.XLOOKUP(1,(Table15[[#This Row],[Name]]=Points!$B:$B)*(Table15[[#Headers],[Spain - 4 June]]=Points!$C:$C),Points!$F:$F,0,0,-1),0)</f>
        <v>0</v>
      </c>
      <c r="O27" s="9" cm="1">
        <f t="array" ref="O27">IFERROR(_xlfn.XLOOKUP(1,(Table15[[#This Row],[Name]]=Points!$B:$B)*(Table15[[#Headers],[Canada - 18 June]]=Points!$C:$C),Points!$F:$F,0,0,-1),0)</f>
        <v>0</v>
      </c>
      <c r="P27" s="9" cm="1">
        <f t="array" ref="P27">IFERROR(_xlfn.XLOOKUP(1,(Table15[[#This Row],[Name]]=Points!$B:$B)*(Table15[[#Headers],[Austria - 2 July]]=Points!$C:$C),Points!$F:$F,0,0,-1),0)</f>
        <v>0</v>
      </c>
      <c r="Q27" s="9" cm="1">
        <f t="array" ref="Q27">IFERROR(_xlfn.XLOOKUP(1,(Table15[[#This Row],[Name]]=Points!$B:$B)*(Table15[[#Headers],[Great Britain - 9 July]]=Points!$C:$C),Points!$F:$F,0,0,-1),0)</f>
        <v>0</v>
      </c>
      <c r="R27" s="9" cm="1">
        <f t="array" ref="R27">IFERROR(_xlfn.XLOOKUP(1,(Table15[[#This Row],[Name]]=Points!$B:$B)*(Table15[[#Headers],[Hungary - 23 July]]=Points!$C:$C),Points!$F:$F,0,0,-1),0)</f>
        <v>0</v>
      </c>
      <c r="S27" s="9" cm="1">
        <f t="array" ref="S27">IFERROR(_xlfn.XLOOKUP(1,(Table15[[#This Row],[Name]]=Points!$B:$B)*(Table15[[#Headers],[Belgium - 30 July]]=Points!$C:$C),Points!$F:$F,0,0,-1),0)</f>
        <v>0</v>
      </c>
      <c r="T27" s="9" cm="1">
        <f t="array" ref="T27">IFERROR(_xlfn.XLOOKUP(1,(Table15[[#This Row],[Name]]=Points!$B:$B)*(Table15[[#Headers],[Netherlands - 27 August]]=Points!$C:$C),Points!$F:$F,0,0,-1),0)</f>
        <v>0</v>
      </c>
      <c r="U27" s="9" cm="1">
        <f t="array" ref="U27">IFERROR(_xlfn.XLOOKUP(1,(Table15[[#This Row],[Name]]=Points!$B:$B)*(Table15[[#Headers],[Italy - 3 September]]=Points!$C:$C),Points!$F:$F,0,0,-1),0)</f>
        <v>0</v>
      </c>
      <c r="V27" s="9" cm="1">
        <f t="array" ref="V27">IFERROR(_xlfn.XLOOKUP(1,(Table15[[#This Row],[Name]]=Points!$B:$B)*(Table15[[#Headers],[Singapore - 17 September]]=Points!$C:$C),Points!$F:$F,0,0,-1),0)</f>
        <v>0</v>
      </c>
      <c r="W27" s="9" cm="1">
        <f t="array" ref="W27">IFERROR(_xlfn.XLOOKUP(1,(Table15[[#This Row],[Name]]=Points!$B:$B)*(Table15[[#Headers],[Japan - 24 September]]=Points!$C:$C),Points!$F:$F,0,0,-1),0)</f>
        <v>0</v>
      </c>
      <c r="X27" s="9" cm="1">
        <f t="array" ref="X27">IFERROR(_xlfn.XLOOKUP(1,(Table15[[#This Row],[Name]]=Points!$B:$B)*(Table15[[#Headers],[Qatar - 8 October]]=Points!$C:$C),Points!$F:$F,0,0,-1),0)</f>
        <v>0</v>
      </c>
      <c r="Y27" s="9" cm="1">
        <f t="array" ref="Y27">IFERROR(_xlfn.XLOOKUP(1,(Table15[[#This Row],[Name]]=Points!$B:$B)*(Table15[[#Headers],[United States - 22 October]]=Points!$C:$C),Points!$F:$F,0,0,-1),0)</f>
        <v>0</v>
      </c>
      <c r="Z27" s="9" cm="1">
        <f t="array" ref="Z27">IFERROR(_xlfn.XLOOKUP(1,(Table15[[#This Row],[Name]]=Points!$B:$B)*(Table15[[#Headers],[Mexico - 29 October]]=Points!$C:$C),Points!$F:$F,0,0,-1),0)</f>
        <v>0</v>
      </c>
      <c r="AA27" s="9" cm="1">
        <f t="array" ref="AA27">IFERROR(_xlfn.XLOOKUP(1,(Table15[[#This Row],[Name]]=Points!$B:$B)*(Table15[[#Headers],[Brazil - 5 November]]=Points!$C:$C),Points!$F:$F,0,0,-1),0)</f>
        <v>0</v>
      </c>
      <c r="AB27" s="9" cm="1">
        <f t="array" ref="AB27">IFERROR(_xlfn.XLOOKUP(1,(Table15[[#This Row],[Name]]=Points!$B:$B)*(Table15[[#Headers],[Las Vegas - 18 November]]=Points!$C:$C),Points!$F:$F,0,0,-1),0)</f>
        <v>0</v>
      </c>
      <c r="AC27" s="9" cm="1">
        <f t="array" ref="AC27">IFERROR(_xlfn.XLOOKUP(1,(Table15[[#This Row],[Name]]=Points!$B:$B)*(Table15[[#Headers],[Abu Dhabi - 26 November]]=Points!$C:$C),Points!$F:$F,0,0,-1),0)</f>
        <v>0</v>
      </c>
    </row>
    <row r="28" spans="1:29" ht="15.6" x14ac:dyDescent="0.3">
      <c r="A28" s="4"/>
      <c r="F28" s="94"/>
      <c r="G28" s="85"/>
    </row>
    <row r="30" spans="1:29" ht="23.4" x14ac:dyDescent="0.45">
      <c r="B30" s="76" t="s">
        <v>0</v>
      </c>
      <c r="C30" s="76"/>
      <c r="D30" s="76"/>
      <c r="E30" s="76"/>
      <c r="F30" s="92"/>
    </row>
    <row r="31" spans="1:29" ht="13.05" customHeight="1" x14ac:dyDescent="0.45">
      <c r="B31" s="76"/>
      <c r="C31" s="76"/>
      <c r="D31" s="76"/>
      <c r="E31" s="76"/>
      <c r="F31" s="99" t="s">
        <v>207</v>
      </c>
      <c r="G31" s="100"/>
      <c r="H31" s="44"/>
    </row>
    <row r="32" spans="1:29" ht="13.05" customHeight="1" x14ac:dyDescent="0.45">
      <c r="B32" s="76"/>
      <c r="C32" s="76"/>
      <c r="D32" s="76"/>
      <c r="E32" s="76"/>
      <c r="F32" s="99" t="s">
        <v>205</v>
      </c>
      <c r="G32" s="74"/>
      <c r="H32" s="4"/>
    </row>
    <row r="33" spans="1:29" ht="13.05" customHeight="1" x14ac:dyDescent="0.3">
      <c r="D33" s="89"/>
      <c r="E33" s="89"/>
      <c r="F33" s="99" t="s">
        <v>202</v>
      </c>
      <c r="G33" s="101"/>
      <c r="H33" s="97"/>
      <c r="I33" s="97"/>
      <c r="J33" s="97"/>
      <c r="K33" s="97"/>
      <c r="L33" s="8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</row>
    <row r="34" spans="1:29" ht="13.05" customHeight="1" x14ac:dyDescent="0.3">
      <c r="D34" s="89"/>
      <c r="E34" s="89"/>
      <c r="F34" s="99" t="s">
        <v>206</v>
      </c>
      <c r="G34" s="101"/>
      <c r="H34" s="97"/>
      <c r="I34" s="97"/>
      <c r="J34" s="97"/>
      <c r="K34" s="97"/>
      <c r="L34" s="8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</row>
    <row r="35" spans="1:29" ht="13.05" customHeight="1" x14ac:dyDescent="0.3">
      <c r="D35" s="89"/>
      <c r="E35" s="89"/>
      <c r="F35" s="99" t="s">
        <v>195</v>
      </c>
      <c r="G35" s="13">
        <f>SUM(K35:AC35)+3</f>
        <v>4</v>
      </c>
      <c r="H35" s="97"/>
      <c r="I35" s="97"/>
      <c r="J35" s="97"/>
      <c r="K35" s="97">
        <f>IF(MAX(Table15[Miami - 7 May])&gt;0,1,0)</f>
        <v>0</v>
      </c>
      <c r="L35" s="87">
        <v>1</v>
      </c>
      <c r="M35" s="97">
        <f>IF(MAX(Table15[Monaco - 28 May])&gt;0,1,0)</f>
        <v>0</v>
      </c>
      <c r="N35" s="97">
        <f>IF(MAX(Table15[Spain - 4 June])&gt;0,1,0)</f>
        <v>0</v>
      </c>
      <c r="O35" s="97">
        <f>IF(MAX(Table15[Canada - 18 June])&gt;0,1,0)</f>
        <v>0</v>
      </c>
      <c r="P35" s="97">
        <f>IF(MAX(Table15[Austria - 2 July])&gt;0,1,0)</f>
        <v>0</v>
      </c>
      <c r="Q35" s="97">
        <f>IF(MAX(Table15[Great Britain - 9 July])&gt;0,1,0)</f>
        <v>0</v>
      </c>
      <c r="R35" s="97">
        <f>IF(MAX(Table15[Hungary - 23 July])&gt;0,1,0)</f>
        <v>0</v>
      </c>
      <c r="S35" s="97">
        <f>IF(MAX(Table15[Belgium - 30 July])&gt;0,1,0)</f>
        <v>0</v>
      </c>
      <c r="T35" s="97">
        <f>IF(MAX(Table15[Netherlands - 27 August])&gt;0,1,0)</f>
        <v>0</v>
      </c>
      <c r="U35" s="97">
        <f>IF(MAX(Table15[Italy - 3 September])&gt;0,1,0)</f>
        <v>0</v>
      </c>
      <c r="V35" s="97">
        <f>IF(MAX(Table15[Singapore - 17 September])&gt;0,1,0)</f>
        <v>0</v>
      </c>
      <c r="W35" s="97">
        <f>IF(MAX(Table15[Japan - 24 September])&gt;0,1,0)</f>
        <v>0</v>
      </c>
      <c r="X35" s="97">
        <f>IF(MAX(Table15[Qatar - 8 October])&gt;0,1,0)</f>
        <v>0</v>
      </c>
      <c r="Y35" s="97">
        <f>IF(MAX(Table15[United States - 22 October])&gt;0,1,0)</f>
        <v>0</v>
      </c>
      <c r="Z35" s="97">
        <f>IF(MAX(Table15[Mexico - 29 October])&gt;0,1,0)</f>
        <v>0</v>
      </c>
      <c r="AA35" s="97">
        <f>IF(MAX(Table15[Brazil - 5 November])&gt;0,1,0)</f>
        <v>0</v>
      </c>
      <c r="AB35" s="97">
        <f>IF(MAX(Table15[Las Vegas - 18 November])&gt;0,1,0)</f>
        <v>0</v>
      </c>
      <c r="AC35" s="97">
        <f>IF(MAX(Table15[Abu Dhabi - 26 November])&gt;0,1,0)</f>
        <v>0</v>
      </c>
    </row>
    <row r="36" spans="1:29" ht="13.05" customHeight="1" x14ac:dyDescent="0.3">
      <c r="D36" s="89"/>
      <c r="E36" s="89"/>
      <c r="F36" s="99" t="s">
        <v>197</v>
      </c>
      <c r="G36" s="88"/>
      <c r="H36" s="97"/>
      <c r="I36" s="97"/>
      <c r="J36" s="97"/>
      <c r="K36" s="97">
        <v>4</v>
      </c>
      <c r="L36" s="97">
        <v>5</v>
      </c>
      <c r="M36" s="97">
        <v>6</v>
      </c>
      <c r="N36" s="97">
        <v>7</v>
      </c>
      <c r="O36" s="97">
        <v>8</v>
      </c>
      <c r="P36" s="97">
        <v>9</v>
      </c>
      <c r="Q36" s="97">
        <v>10</v>
      </c>
      <c r="R36" s="97">
        <v>11</v>
      </c>
      <c r="S36" s="97">
        <v>12</v>
      </c>
      <c r="T36" s="97">
        <v>13</v>
      </c>
      <c r="U36" s="97">
        <v>14</v>
      </c>
      <c r="V36" s="97">
        <v>15</v>
      </c>
      <c r="W36" s="97">
        <v>16</v>
      </c>
      <c r="X36" s="97">
        <v>17</v>
      </c>
      <c r="Y36" s="97">
        <v>18</v>
      </c>
      <c r="Z36" s="97">
        <v>19</v>
      </c>
      <c r="AA36" s="97">
        <v>20</v>
      </c>
      <c r="AB36" s="97">
        <v>21</v>
      </c>
      <c r="AC36" s="97">
        <v>22</v>
      </c>
    </row>
    <row r="37" spans="1:29" ht="13.05" customHeight="1" x14ac:dyDescent="0.3">
      <c r="D37" s="89"/>
      <c r="E37" s="89"/>
      <c r="F37" s="14"/>
      <c r="G37" s="14"/>
      <c r="H37" s="98"/>
      <c r="I37" s="98"/>
      <c r="J37" s="98"/>
      <c r="K37" s="98" t="s">
        <v>1</v>
      </c>
      <c r="L37" s="98" t="s">
        <v>2</v>
      </c>
      <c r="M37" s="98" t="s">
        <v>3</v>
      </c>
      <c r="N37" s="98" t="s">
        <v>4</v>
      </c>
      <c r="O37" s="98" t="s">
        <v>5</v>
      </c>
      <c r="P37" s="98" t="s">
        <v>6</v>
      </c>
      <c r="Q37" s="98" t="s">
        <v>7</v>
      </c>
      <c r="R37" s="98" t="s">
        <v>8</v>
      </c>
      <c r="S37" s="98" t="s">
        <v>9</v>
      </c>
      <c r="T37" s="98" t="s">
        <v>10</v>
      </c>
      <c r="U37" s="98" t="s">
        <v>11</v>
      </c>
      <c r="V37" s="98" t="s">
        <v>12</v>
      </c>
      <c r="W37" s="98" t="s">
        <v>13</v>
      </c>
      <c r="X37" s="98" t="s">
        <v>14</v>
      </c>
      <c r="Y37" s="98" t="s">
        <v>15</v>
      </c>
      <c r="Z37" s="98" t="s">
        <v>16</v>
      </c>
      <c r="AA37" s="98" t="s">
        <v>17</v>
      </c>
      <c r="AB37" s="98" t="s">
        <v>18</v>
      </c>
      <c r="AC37" s="98" t="s">
        <v>19</v>
      </c>
    </row>
    <row r="38" spans="1:29" s="14" customFormat="1" x14ac:dyDescent="0.3">
      <c r="A38" s="64"/>
      <c r="B38" s="27"/>
      <c r="C38" s="27"/>
      <c r="D38" s="27"/>
      <c r="E38" s="27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9"/>
    </row>
    <row r="39" spans="1:29" s="43" customFormat="1" x14ac:dyDescent="0.3">
      <c r="A39" s="3"/>
      <c r="F39" s="4"/>
      <c r="G39" s="63" t="s">
        <v>70</v>
      </c>
      <c r="H39" s="43" t="str" cm="1">
        <f t="array" ref="H39">IF(MAX(Table15[Saudi Arabia - 19 March])=0,"",_xlfn._xlws.FILTER(Table15[[Name]:[Name]],Table15[Saudi Arabia - 19 March]=MAX(Table15[Saudi Arabia - 19 March])))</f>
        <v/>
      </c>
      <c r="I39" s="43" t="str" cm="1">
        <f t="array" ref="I39">IF(MAX(Table15[Australia - 2 April])=0,"",_xlfn._xlws.FILTER(Table15[[Name]:[Name]],Table15[Australia - 2 April]=MAX(Table15[Australia - 2 April])))</f>
        <v/>
      </c>
      <c r="J39" s="43" t="str" cm="1">
        <f t="array" ref="J39">IF(MAX(Table15[Azerbaijan - 30 April])=0,"",_xlfn._xlws.FILTER(Table15[[Name]:[Name]],Table15[Azerbaijan - 30 April]=MAX(Table15[Azerbaijan - 30 April])))</f>
        <v/>
      </c>
      <c r="K39" s="43" t="str" cm="1">
        <f t="array" ref="K39">IF(MAX(Table15[Miami - 7 May])=0,"",_xlfn._xlws.FILTER(Table15[[Name]:[Name]],Table15[Miami - 7 May]=MAX(Table15[Miami - 7 May])))</f>
        <v/>
      </c>
      <c r="L39" s="43" t="str" cm="1">
        <f t="array" ref="L39">IF(MAX(Table15[Italy - 21 May])=0,"",_xlfn._xlws.FILTER(Table15[[Name]:[Name]],Table15[Italy - 21 May]=MAX(Table15[Italy - 21 May])))</f>
        <v/>
      </c>
      <c r="M39" s="43" t="str" cm="1">
        <f t="array" ref="M39">IF(MAX(Table15[Monaco - 28 May])=0,"",_xlfn._xlws.FILTER(Table15[[Name]:[Name]],Table15[Monaco - 28 May]=MAX(Table15[Monaco - 28 May])))</f>
        <v/>
      </c>
      <c r="N39" s="43" t="str" cm="1">
        <f t="array" ref="N39">IF(MAX(Table15[Spain - 4 June])=0,"",_xlfn._xlws.FILTER(Table15[[Name]:[Name]],Table15[Spain - 4 June]=MAX(Table15[Spain - 4 June])))</f>
        <v/>
      </c>
      <c r="O39" s="43" t="str" cm="1">
        <f t="array" ref="O39">IF(MAX(Table15[Canada - 18 June])=0,"",_xlfn._xlws.FILTER(Table15[[Name]:[Name]],Table15[Canada - 18 June]=MAX(Table15[Canada - 18 June])))</f>
        <v/>
      </c>
      <c r="P39" s="43" t="str" cm="1">
        <f t="array" ref="P39">IF(MAX(Table15[Austria - 2 July])=0,"",_xlfn._xlws.FILTER(Table15[[Name]:[Name]],Table15[Austria - 2 July]=MAX(Table15[Austria - 2 July])))</f>
        <v/>
      </c>
      <c r="Q39" s="43" t="str" cm="1">
        <f t="array" ref="Q39">IF(MAX(Table15[Great Britain - 9 July])=0,"",_xlfn._xlws.FILTER(Table15[[Name]:[Name]],Table15[Great Britain - 9 July]=MAX(Table15[Great Britain - 9 July])))</f>
        <v/>
      </c>
      <c r="R39" s="43" t="str" cm="1">
        <f t="array" ref="R39">IF(MAX(Table15[Hungary - 23 July])=0,"",_xlfn._xlws.FILTER(Table15[[Name]:[Name]],Table15[Hungary - 23 July]=MAX(Table15[Hungary - 23 July])))</f>
        <v/>
      </c>
      <c r="S39" s="43" t="str" cm="1">
        <f t="array" ref="S39">IF(MAX(Table15[Belgium - 30 July])=0,"",_xlfn._xlws.FILTER(Table15[[Name]:[Name]],Table15[Belgium - 30 July]=MAX(Table15[Belgium - 30 July])))</f>
        <v/>
      </c>
      <c r="T39" s="43" t="str" cm="1">
        <f t="array" ref="T39">IF(MAX(Table15[Netherlands - 27 August])=0,"",_xlfn._xlws.FILTER(Table15[[Name]:[Name]],Table15[Netherlands - 27 August]=MAX(Table15[Netherlands - 27 August])))</f>
        <v/>
      </c>
      <c r="U39" s="43" t="str" cm="1">
        <f t="array" ref="U39">IF(MAX(Table15[Italy - 3 September])=0,"",_xlfn._xlws.FILTER(Table15[[Name]:[Name]],Table15[Italy - 3 September]=MAX(Table15[Italy - 3 September])))</f>
        <v/>
      </c>
      <c r="V39" s="43" t="str" cm="1">
        <f t="array" ref="V39">IF(MAX(Table15[Singapore - 17 September])=0,"",_xlfn._xlws.FILTER(Table15[[Name]:[Name]],Table15[Singapore - 17 September]=MAX(Table15[Singapore - 17 September])))</f>
        <v/>
      </c>
      <c r="W39" s="43" t="str" cm="1">
        <f t="array" ref="W39">IF(MAX(Table15[Japan - 24 September])=0,"",_xlfn._xlws.FILTER(Table15[[Name]:[Name]],Table15[Japan - 24 September]=MAX(Table15[Japan - 24 September])))</f>
        <v/>
      </c>
      <c r="X39" s="43" t="str" cm="1">
        <f t="array" ref="X39">IF(MAX(Table15[Qatar - 8 October])=0,"",_xlfn._xlws.FILTER(Table15[[Name]:[Name]],Table15[Qatar - 8 October]=MAX(Table15[Qatar - 8 October])))</f>
        <v/>
      </c>
      <c r="Y39" s="43" t="str" cm="1">
        <f t="array" ref="Y39">IF(MAX(Table15[United States - 22 October])=0,"",_xlfn._xlws.FILTER(Table15[[Name]:[Name]],Table15[United States - 22 October]=MAX(Table15[United States - 22 October])))</f>
        <v/>
      </c>
      <c r="Z39" s="43" t="str" cm="1">
        <f t="array" ref="Z39">IF(MAX(Table15[Mexico - 29 October])=0,"",_xlfn._xlws.FILTER(Table15[[Name]:[Name]],Table15[Mexico - 29 October]=MAX(Table15[Mexico - 29 October])))</f>
        <v/>
      </c>
      <c r="AA39" s="43" t="str" cm="1">
        <f t="array" ref="AA39">IF(MAX(Table15[Brazil - 5 November])=0,"",_xlfn._xlws.FILTER(Table15[[Name]:[Name]],Table15[Brazil - 5 November]=MAX(Table15[Brazil - 5 November])))</f>
        <v/>
      </c>
      <c r="AB39" s="43" t="str" cm="1">
        <f t="array" ref="AB39">IF(MAX(Table15[Las Vegas - 18 November])=0,"",_xlfn._xlws.FILTER(Table15[[Name]:[Name]],Table15[Las Vegas - 18 November]=MAX(Table15[Las Vegas - 18 November])))</f>
        <v/>
      </c>
      <c r="AC39" s="43" t="str" cm="1">
        <f t="array" ref="AC39">IF(MAX(Table15[Abu Dhabi - 26 November])=0,"",_xlfn._xlws.FILTER(Table15[[Name]:[Name]],Table15[Abu Dhabi - 26 November]=MAX(Table15[Abu Dhabi - 26 November])))</f>
        <v/>
      </c>
    </row>
    <row r="40" spans="1:29" s="43" customFormat="1" x14ac:dyDescent="0.3">
      <c r="A40" s="3"/>
      <c r="F40" s="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</row>
    <row r="41" spans="1:29" s="43" customFormat="1" x14ac:dyDescent="0.3">
      <c r="A41" s="3"/>
      <c r="F41" s="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</row>
    <row r="42" spans="1:29" s="43" customFormat="1" x14ac:dyDescent="0.3">
      <c r="A42" s="3"/>
      <c r="F42" s="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</row>
    <row r="43" spans="1:29" s="43" customFormat="1" x14ac:dyDescent="0.3">
      <c r="A43" s="3"/>
      <c r="F43" s="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</row>
    <row r="44" spans="1:29" s="43" customFormat="1" x14ac:dyDescent="0.3">
      <c r="A44" s="3"/>
      <c r="B44" s="108"/>
      <c r="C44" s="109"/>
      <c r="F44" s="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</row>
    <row r="45" spans="1:29" s="43" customFormat="1" x14ac:dyDescent="0.3">
      <c r="A45" s="3"/>
      <c r="B45" s="108"/>
      <c r="C45" s="109"/>
      <c r="F45" s="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</row>
    <row r="46" spans="1:29" s="43" customFormat="1" x14ac:dyDescent="0.3">
      <c r="A46" s="3"/>
      <c r="F46" s="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</row>
    <row r="47" spans="1:29" s="43" customFormat="1" x14ac:dyDescent="0.3">
      <c r="A47" s="3"/>
      <c r="B47" s="13"/>
      <c r="C47" s="13"/>
      <c r="F47" s="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91"/>
      <c r="T47" s="44"/>
      <c r="U47" s="44"/>
      <c r="V47" s="44"/>
      <c r="W47" s="44"/>
      <c r="X47" s="44"/>
      <c r="Y47" s="44"/>
      <c r="Z47" s="44"/>
      <c r="AA47" s="44"/>
      <c r="AB47" s="44"/>
      <c r="AC47" s="44"/>
    </row>
    <row r="48" spans="1:29" s="43" customFormat="1" x14ac:dyDescent="0.3">
      <c r="A48" s="3"/>
      <c r="B48" s="108"/>
      <c r="C48" s="110"/>
      <c r="E48" s="110"/>
      <c r="F48" s="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</row>
    <row r="49" spans="1:38" s="43" customFormat="1" x14ac:dyDescent="0.3">
      <c r="A49" s="3"/>
      <c r="B49" s="108"/>
      <c r="C49" s="110"/>
      <c r="D49" s="108"/>
      <c r="E49" s="110"/>
      <c r="F49" s="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</row>
    <row r="50" spans="1:38" s="43" customFormat="1" x14ac:dyDescent="0.3">
      <c r="A50" s="3"/>
      <c r="B50" s="108"/>
      <c r="C50" s="110"/>
      <c r="D50" s="108"/>
      <c r="E50" s="110"/>
      <c r="F50" s="4"/>
      <c r="H50" s="44"/>
      <c r="I50" s="44"/>
      <c r="J50" s="44"/>
      <c r="K50" s="44"/>
      <c r="L50" s="44"/>
      <c r="M50" s="44"/>
      <c r="N50" s="44"/>
      <c r="O50" s="44"/>
      <c r="P50" s="44"/>
      <c r="R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</row>
    <row r="51" spans="1:38" s="43" customFormat="1" x14ac:dyDescent="0.3">
      <c r="A51" s="3"/>
      <c r="B51" s="108"/>
      <c r="C51" s="110"/>
      <c r="D51" s="108"/>
      <c r="E51" s="110"/>
      <c r="F51" s="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I51" s="17"/>
      <c r="AJ51" s="17"/>
      <c r="AK51" s="17"/>
      <c r="AL51" s="17"/>
    </row>
    <row r="52" spans="1:38" s="43" customFormat="1" x14ac:dyDescent="0.3">
      <c r="A52" s="3"/>
      <c r="B52" s="108"/>
      <c r="C52" s="110"/>
      <c r="D52" s="108"/>
      <c r="E52" s="110"/>
      <c r="F52" s="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102"/>
      <c r="AB52" s="17"/>
      <c r="AC52" s="17"/>
      <c r="AD52" s="17"/>
      <c r="AI52"/>
      <c r="AJ52"/>
      <c r="AK52" s="105"/>
      <c r="AL52" s="90"/>
    </row>
    <row r="53" spans="1:38" s="43" customFormat="1" x14ac:dyDescent="0.3">
      <c r="A53" s="3"/>
      <c r="B53" s="108"/>
      <c r="C53" s="110"/>
      <c r="D53" s="108"/>
      <c r="E53" s="110"/>
      <c r="F53" s="4"/>
      <c r="H53" s="44"/>
      <c r="I53" s="44"/>
      <c r="J53" s="44"/>
      <c r="K53" s="44"/>
      <c r="L53" s="44"/>
      <c r="M53" s="42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102"/>
      <c r="AB53"/>
      <c r="AC53" s="102"/>
      <c r="AD53"/>
      <c r="AI53"/>
      <c r="AJ53"/>
      <c r="AK53" s="105"/>
      <c r="AL53" s="90"/>
    </row>
    <row r="54" spans="1:38" s="43" customFormat="1" x14ac:dyDescent="0.3">
      <c r="A54" s="3"/>
      <c r="B54" s="108"/>
      <c r="C54" s="110"/>
      <c r="D54" s="108"/>
      <c r="E54" s="110"/>
      <c r="F54" s="4"/>
      <c r="H54" s="44"/>
      <c r="I54" s="44"/>
      <c r="J54" s="44"/>
      <c r="K54" s="44"/>
      <c r="L54" s="44"/>
      <c r="M54" s="42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102"/>
      <c r="AB54"/>
      <c r="AC54" s="102"/>
      <c r="AD54"/>
      <c r="AI54"/>
      <c r="AJ54"/>
      <c r="AK54" s="105"/>
      <c r="AL54" s="90"/>
    </row>
    <row r="55" spans="1:38" s="43" customFormat="1" x14ac:dyDescent="0.3">
      <c r="A55" s="3"/>
      <c r="B55" s="108"/>
      <c r="C55" s="110"/>
      <c r="D55" s="108"/>
      <c r="E55" s="110"/>
      <c r="F55" s="4"/>
      <c r="H55" s="44"/>
      <c r="I55" s="44"/>
      <c r="J55" s="44"/>
      <c r="K55" s="44"/>
      <c r="L55" s="44"/>
      <c r="M55" s="42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102"/>
      <c r="AB55"/>
      <c r="AC55" s="102"/>
      <c r="AD55"/>
      <c r="AI55"/>
      <c r="AJ55"/>
      <c r="AK55" s="105"/>
      <c r="AL55" s="90"/>
    </row>
    <row r="56" spans="1:38" s="43" customFormat="1" x14ac:dyDescent="0.3">
      <c r="A56" s="3"/>
      <c r="B56" s="108"/>
      <c r="C56" s="110"/>
      <c r="D56" s="108"/>
      <c r="E56" s="110"/>
      <c r="F56" s="4"/>
      <c r="H56" s="44"/>
      <c r="I56" s="44"/>
      <c r="J56" s="44"/>
      <c r="K56" s="44"/>
      <c r="L56" s="44"/>
      <c r="M56" s="42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102"/>
      <c r="AB56"/>
      <c r="AC56" s="102"/>
      <c r="AD56"/>
      <c r="AI56"/>
      <c r="AJ56"/>
      <c r="AK56" s="105"/>
      <c r="AL56" s="90"/>
    </row>
    <row r="57" spans="1:38" s="43" customFormat="1" x14ac:dyDescent="0.3">
      <c r="A57" s="3"/>
      <c r="B57" s="108"/>
      <c r="C57" s="110"/>
      <c r="D57" s="108"/>
      <c r="E57" s="110"/>
      <c r="F57" s="4"/>
      <c r="H57" s="44"/>
      <c r="I57" s="44"/>
      <c r="J57" s="44"/>
      <c r="K57" s="44"/>
      <c r="L57" s="44"/>
      <c r="M57" s="42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102"/>
      <c r="AB57"/>
      <c r="AC57" s="102"/>
      <c r="AD57"/>
      <c r="AI57"/>
      <c r="AJ57"/>
      <c r="AK57" s="105"/>
      <c r="AL57" s="90"/>
    </row>
    <row r="58" spans="1:38" s="43" customFormat="1" x14ac:dyDescent="0.3">
      <c r="A58" s="3"/>
      <c r="B58" s="108"/>
      <c r="C58" s="110"/>
      <c r="D58" s="108"/>
      <c r="E58" s="110"/>
      <c r="F58" s="4"/>
      <c r="H58" s="44"/>
      <c r="I58" s="44"/>
      <c r="J58" s="44"/>
      <c r="K58" s="44"/>
      <c r="L58" s="44"/>
      <c r="M58" s="42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102"/>
      <c r="AB58"/>
      <c r="AC58" s="102"/>
      <c r="AD58"/>
      <c r="AI58"/>
      <c r="AJ58"/>
      <c r="AK58" s="105"/>
      <c r="AL58" s="90"/>
    </row>
    <row r="59" spans="1:38" s="43" customFormat="1" x14ac:dyDescent="0.3">
      <c r="A59" s="3"/>
      <c r="B59" s="108"/>
      <c r="C59" s="110"/>
      <c r="D59" s="108"/>
      <c r="E59" s="110"/>
      <c r="F59" s="4"/>
      <c r="H59" s="44"/>
      <c r="I59" s="44"/>
      <c r="J59" s="44"/>
      <c r="K59" s="44"/>
      <c r="L59" s="44"/>
      <c r="M59" s="42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102"/>
      <c r="AB59" s="17"/>
      <c r="AC59" s="102"/>
      <c r="AD59"/>
      <c r="AI59"/>
      <c r="AJ59"/>
      <c r="AK59" s="105"/>
      <c r="AL59" s="90"/>
    </row>
    <row r="60" spans="1:38" s="43" customFormat="1" x14ac:dyDescent="0.3">
      <c r="A60" s="3"/>
      <c r="B60" s="108"/>
      <c r="C60" s="110"/>
      <c r="D60" s="108"/>
      <c r="E60" s="110"/>
      <c r="F60" s="4"/>
      <c r="H60" s="44"/>
      <c r="I60" s="44"/>
      <c r="J60" s="44"/>
      <c r="K60" s="44"/>
      <c r="L60" s="44"/>
      <c r="M60" s="42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102"/>
      <c r="AB60"/>
      <c r="AC60" s="102"/>
      <c r="AD60"/>
      <c r="AI60"/>
      <c r="AJ60"/>
      <c r="AK60" s="105"/>
      <c r="AL60" s="90"/>
    </row>
    <row r="61" spans="1:38" s="43" customFormat="1" x14ac:dyDescent="0.3">
      <c r="A61" s="3"/>
      <c r="B61" s="108"/>
      <c r="C61" s="110"/>
      <c r="D61" s="108"/>
      <c r="E61" s="110"/>
      <c r="F61" s="4"/>
      <c r="H61" s="44"/>
      <c r="I61" s="44"/>
      <c r="J61" s="44"/>
      <c r="K61" s="44"/>
      <c r="L61" s="44"/>
      <c r="M61" s="42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102"/>
      <c r="AB61"/>
      <c r="AC61" s="102"/>
      <c r="AD61"/>
      <c r="AI61"/>
      <c r="AJ61"/>
      <c r="AK61" s="105"/>
      <c r="AL61" s="90"/>
    </row>
    <row r="62" spans="1:38" s="43" customFormat="1" x14ac:dyDescent="0.3">
      <c r="A62" s="3"/>
      <c r="B62" s="108"/>
      <c r="C62" s="110"/>
      <c r="D62" s="108"/>
      <c r="E62" s="110"/>
      <c r="F62" s="4"/>
      <c r="H62" s="44"/>
      <c r="I62" s="44"/>
      <c r="J62" s="44"/>
      <c r="K62" s="44"/>
      <c r="L62" s="44"/>
      <c r="M62" s="42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102"/>
      <c r="AB62"/>
      <c r="AC62" s="102"/>
      <c r="AD62"/>
      <c r="AI62"/>
      <c r="AJ62"/>
      <c r="AK62" s="105"/>
      <c r="AL62" s="90"/>
    </row>
    <row r="63" spans="1:38" s="43" customFormat="1" x14ac:dyDescent="0.3">
      <c r="A63" s="3"/>
      <c r="B63" s="108"/>
      <c r="C63" s="110"/>
      <c r="D63" s="108"/>
      <c r="E63" s="110"/>
      <c r="F63" s="4"/>
      <c r="H63" s="44"/>
      <c r="I63" s="44"/>
      <c r="J63" s="44"/>
      <c r="K63" s="44"/>
      <c r="L63" s="44"/>
      <c r="M63" s="42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102"/>
      <c r="AB63"/>
      <c r="AC63"/>
      <c r="AD63"/>
      <c r="AI63"/>
      <c r="AJ63"/>
      <c r="AK63" s="105"/>
      <c r="AL63" s="90"/>
    </row>
    <row r="64" spans="1:38" s="43" customFormat="1" x14ac:dyDescent="0.3">
      <c r="A64" s="3"/>
      <c r="B64" s="108"/>
      <c r="C64" s="110"/>
      <c r="D64" s="108"/>
      <c r="E64" s="110"/>
      <c r="F64" s="4"/>
      <c r="H64" s="44"/>
      <c r="I64" s="44"/>
      <c r="J64" s="44"/>
      <c r="K64" s="44"/>
      <c r="L64" s="44"/>
      <c r="M64" s="42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102"/>
      <c r="AB64"/>
      <c r="AC64" s="102"/>
      <c r="AD64"/>
      <c r="AI64"/>
      <c r="AJ64"/>
      <c r="AK64" s="105"/>
      <c r="AL64" s="90"/>
    </row>
    <row r="65" spans="1:38" s="43" customFormat="1" x14ac:dyDescent="0.3">
      <c r="A65" s="3"/>
      <c r="B65" s="108"/>
      <c r="C65" s="110"/>
      <c r="D65" s="108"/>
      <c r="E65" s="110"/>
      <c r="F65" s="4"/>
      <c r="H65" s="44"/>
      <c r="I65" s="44"/>
      <c r="J65" s="44"/>
      <c r="K65" s="44"/>
      <c r="L65" s="44"/>
      <c r="M65" s="42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102"/>
      <c r="AB65"/>
      <c r="AC65" s="102"/>
      <c r="AD65"/>
      <c r="AI65"/>
      <c r="AJ65"/>
      <c r="AK65" s="105"/>
      <c r="AL65" s="90"/>
    </row>
    <row r="66" spans="1:38" s="43" customFormat="1" x14ac:dyDescent="0.3">
      <c r="A66" s="3"/>
      <c r="B66" s="108"/>
      <c r="C66" s="110"/>
      <c r="D66" s="108"/>
      <c r="E66" s="110"/>
      <c r="F66" s="4"/>
      <c r="H66" s="44"/>
      <c r="I66" s="44"/>
      <c r="J66" s="44"/>
      <c r="K66" s="44"/>
      <c r="L66" s="44"/>
      <c r="M66" s="42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102"/>
      <c r="AB66"/>
      <c r="AC66" s="102"/>
      <c r="AD66"/>
      <c r="AI66"/>
      <c r="AJ66"/>
      <c r="AK66" s="105"/>
      <c r="AL66" s="90"/>
    </row>
    <row r="67" spans="1:38" s="43" customFormat="1" x14ac:dyDescent="0.3">
      <c r="A67" s="3"/>
      <c r="B67" s="108"/>
      <c r="C67" s="110"/>
      <c r="E67" s="110"/>
      <c r="F67" s="4"/>
      <c r="H67" s="44"/>
      <c r="I67" s="44"/>
      <c r="J67" s="44"/>
      <c r="K67" s="44"/>
      <c r="L67" s="44"/>
      <c r="M67" s="42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102"/>
      <c r="AB67"/>
      <c r="AC67" s="102"/>
      <c r="AD67"/>
      <c r="AI67"/>
      <c r="AJ67"/>
      <c r="AK67" s="105"/>
      <c r="AL67" s="90"/>
    </row>
    <row r="68" spans="1:38" s="43" customFormat="1" x14ac:dyDescent="0.3">
      <c r="A68" s="3"/>
      <c r="F68" s="4"/>
      <c r="H68" s="44"/>
      <c r="I68" s="44"/>
      <c r="J68" s="44"/>
      <c r="K68" s="44"/>
      <c r="L68" s="44"/>
      <c r="M68" s="42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102"/>
      <c r="AB68"/>
      <c r="AC68" s="102"/>
      <c r="AD68"/>
      <c r="AI68"/>
      <c r="AJ68"/>
      <c r="AK68" s="105"/>
      <c r="AL68" s="90"/>
    </row>
    <row r="69" spans="1:38" s="43" customFormat="1" x14ac:dyDescent="0.3">
      <c r="A69" s="3"/>
      <c r="B69" s="111"/>
      <c r="C69" s="104"/>
      <c r="D69" s="89"/>
      <c r="F69" s="4"/>
      <c r="H69" s="44"/>
      <c r="I69" s="44"/>
      <c r="J69" s="44"/>
      <c r="K69" s="44"/>
      <c r="L69" s="44"/>
      <c r="M69" s="42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102"/>
      <c r="AB69"/>
      <c r="AC69" s="102"/>
      <c r="AD69"/>
      <c r="AI69"/>
      <c r="AJ69"/>
      <c r="AK69" s="105"/>
      <c r="AL69" s="90"/>
    </row>
    <row r="70" spans="1:38" s="43" customFormat="1" x14ac:dyDescent="0.3">
      <c r="A70" s="3"/>
      <c r="B70" s="111"/>
      <c r="C70" s="104"/>
      <c r="D70" s="89"/>
      <c r="F70" s="4"/>
      <c r="H70" s="44"/>
      <c r="I70" s="44"/>
      <c r="J70" s="44"/>
      <c r="K70" s="44"/>
      <c r="L70" s="44"/>
      <c r="M70" s="42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102"/>
      <c r="AB70"/>
      <c r="AC70" s="102"/>
      <c r="AD70"/>
      <c r="AI70"/>
      <c r="AJ70"/>
      <c r="AK70" s="105"/>
      <c r="AL70" s="90"/>
    </row>
    <row r="71" spans="1:38" s="43" customFormat="1" x14ac:dyDescent="0.3">
      <c r="A71" s="3"/>
      <c r="C71" s="104"/>
      <c r="D71" s="89"/>
      <c r="F71" s="4"/>
      <c r="H71" s="44"/>
      <c r="I71" s="44"/>
      <c r="J71" s="44"/>
      <c r="K71" s="44"/>
      <c r="L71" s="44"/>
      <c r="M71" s="42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102"/>
      <c r="AB71"/>
      <c r="AC71" s="102"/>
      <c r="AD71"/>
      <c r="AI71"/>
      <c r="AJ71"/>
      <c r="AK71" s="105"/>
      <c r="AL71" s="90"/>
    </row>
    <row r="72" spans="1:38" s="43" customFormat="1" x14ac:dyDescent="0.3">
      <c r="A72" s="3"/>
      <c r="C72" s="89"/>
      <c r="D72" s="89"/>
      <c r="F72" s="4"/>
      <c r="H72" s="44"/>
      <c r="I72" s="44"/>
      <c r="J72" s="44"/>
      <c r="K72" s="44"/>
      <c r="L72" s="44"/>
      <c r="M72" s="42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102"/>
      <c r="AB72"/>
      <c r="AC72"/>
      <c r="AD72"/>
      <c r="AI72"/>
      <c r="AJ72"/>
      <c r="AK72" s="105"/>
      <c r="AL72" s="90"/>
    </row>
    <row r="73" spans="1:38" s="43" customFormat="1" x14ac:dyDescent="0.3">
      <c r="A73" s="3"/>
      <c r="B73" s="111"/>
      <c r="C73" s="104"/>
      <c r="D73" s="89"/>
      <c r="F73" s="4"/>
      <c r="H73" s="44"/>
      <c r="I73" s="44"/>
      <c r="J73" s="44"/>
      <c r="K73" s="44"/>
      <c r="L73" s="44"/>
      <c r="M73" s="42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/>
      <c r="AB73"/>
      <c r="AC73" s="44"/>
      <c r="AI73"/>
      <c r="AJ73"/>
      <c r="AK73" s="105"/>
      <c r="AL73" s="90"/>
    </row>
    <row r="74" spans="1:38" s="43" customFormat="1" x14ac:dyDescent="0.3">
      <c r="A74" s="3"/>
      <c r="C74" s="104"/>
      <c r="D74" s="89"/>
      <c r="F74" s="4"/>
      <c r="H74" s="44"/>
      <c r="I74" s="44"/>
      <c r="J74" s="44"/>
      <c r="K74" s="44"/>
      <c r="L74" s="44"/>
      <c r="M74" s="42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I74"/>
      <c r="AJ74"/>
      <c r="AK74" s="105"/>
      <c r="AL74" s="90"/>
    </row>
    <row r="75" spans="1:38" s="43" customFormat="1" x14ac:dyDescent="0.3">
      <c r="A75" s="3"/>
      <c r="C75" s="89"/>
      <c r="D75" s="89"/>
      <c r="F75" s="4"/>
      <c r="H75" s="44"/>
      <c r="I75" s="44"/>
      <c r="J75" s="44"/>
      <c r="K75" s="44"/>
      <c r="L75" s="44"/>
      <c r="M75" s="42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I75"/>
      <c r="AJ75"/>
      <c r="AK75" s="105"/>
      <c r="AL75" s="90"/>
    </row>
    <row r="76" spans="1:38" s="43" customFormat="1" x14ac:dyDescent="0.3">
      <c r="A76" s="3"/>
      <c r="B76" s="111"/>
      <c r="C76" s="104"/>
      <c r="D76" s="89"/>
      <c r="F76" s="4"/>
      <c r="H76" s="44"/>
      <c r="I76" s="44"/>
      <c r="J76" s="44"/>
      <c r="K76" s="44"/>
      <c r="L76" s="44"/>
      <c r="M76" s="42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I76"/>
      <c r="AJ76"/>
      <c r="AK76" s="105"/>
      <c r="AL76" s="90"/>
    </row>
    <row r="77" spans="1:38" s="43" customFormat="1" x14ac:dyDescent="0.3">
      <c r="A77" s="3"/>
      <c r="C77" s="104"/>
      <c r="D77" s="89"/>
      <c r="F77" s="4"/>
      <c r="H77" s="44"/>
      <c r="I77" s="44"/>
      <c r="J77" s="44"/>
      <c r="K77" s="44"/>
      <c r="L77" s="44"/>
      <c r="M77" s="42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I77"/>
      <c r="AJ77"/>
      <c r="AK77" s="105"/>
      <c r="AL77" s="90"/>
    </row>
    <row r="78" spans="1:38" s="43" customFormat="1" x14ac:dyDescent="0.3">
      <c r="A78" s="3"/>
      <c r="C78" s="89"/>
      <c r="D78" s="89"/>
      <c r="F78" s="4"/>
      <c r="H78" s="44"/>
      <c r="I78" s="44"/>
      <c r="J78" s="44"/>
      <c r="K78" s="44"/>
      <c r="L78" s="44"/>
      <c r="M78" s="42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</row>
    <row r="79" spans="1:38" s="43" customFormat="1" x14ac:dyDescent="0.3">
      <c r="A79" s="3"/>
      <c r="B79" s="111"/>
      <c r="C79" s="104"/>
      <c r="D79" s="89"/>
      <c r="F79" s="4"/>
      <c r="H79" s="44"/>
      <c r="I79" s="44"/>
      <c r="J79" s="44"/>
      <c r="K79" s="44"/>
      <c r="L79" s="44"/>
      <c r="M79" s="42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</row>
    <row r="80" spans="1:38" s="43" customFormat="1" x14ac:dyDescent="0.3">
      <c r="A80" s="3"/>
      <c r="C80" s="104"/>
      <c r="D80" s="89"/>
      <c r="F80" s="4"/>
      <c r="H80" s="44"/>
      <c r="I80" s="44"/>
      <c r="J80" s="44"/>
      <c r="K80" s="44"/>
      <c r="L80" s="44"/>
      <c r="M80" s="42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</row>
    <row r="81" spans="1:29" s="43" customFormat="1" x14ac:dyDescent="0.3">
      <c r="A81" s="3"/>
      <c r="F81" s="4"/>
      <c r="H81" s="44"/>
      <c r="I81" s="44"/>
      <c r="J81" s="44"/>
      <c r="K81" s="44"/>
      <c r="L81" s="44"/>
      <c r="M81" s="42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</row>
    <row r="82" spans="1:29" s="43" customFormat="1" x14ac:dyDescent="0.3">
      <c r="A82" s="3"/>
      <c r="B82" s="111"/>
      <c r="C82" s="104"/>
      <c r="D82" s="89"/>
      <c r="F82" s="4"/>
      <c r="H82" s="44"/>
      <c r="I82" s="44"/>
      <c r="J82" s="44"/>
      <c r="K82" s="44"/>
      <c r="L82" s="44"/>
      <c r="M82" s="42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</row>
    <row r="83" spans="1:29" s="43" customFormat="1" x14ac:dyDescent="0.3">
      <c r="A83" s="3"/>
      <c r="C83" s="104"/>
      <c r="D83" s="89"/>
      <c r="F83" s="4"/>
      <c r="H83" s="44"/>
      <c r="I83" s="44"/>
      <c r="J83" s="44"/>
      <c r="K83" s="44"/>
      <c r="L83" s="44"/>
      <c r="M83" s="42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</row>
    <row r="84" spans="1:29" s="43" customFormat="1" x14ac:dyDescent="0.3">
      <c r="A84" s="3"/>
      <c r="C84" s="89"/>
      <c r="D84" s="89"/>
      <c r="F84" s="4"/>
      <c r="H84" s="44"/>
      <c r="I84" s="44"/>
      <c r="J84" s="44"/>
      <c r="K84" s="44"/>
      <c r="L84" s="44"/>
      <c r="M84" s="42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</row>
    <row r="85" spans="1:29" s="43" customFormat="1" x14ac:dyDescent="0.3">
      <c r="A85" s="3"/>
      <c r="B85" s="111"/>
      <c r="C85" s="104"/>
      <c r="D85" s="89"/>
      <c r="F85" s="4"/>
      <c r="H85" s="44"/>
      <c r="I85" s="44"/>
      <c r="J85" s="44"/>
      <c r="K85" s="44"/>
      <c r="L85" s="44"/>
      <c r="M85" s="42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</row>
    <row r="86" spans="1:29" s="43" customFormat="1" x14ac:dyDescent="0.3">
      <c r="A86" s="3"/>
      <c r="C86" s="104"/>
      <c r="D86" s="89"/>
      <c r="F86" s="4"/>
      <c r="H86" s="44"/>
      <c r="I86" s="44"/>
      <c r="J86" s="44"/>
      <c r="K86" s="44"/>
      <c r="L86" s="44"/>
      <c r="M86" s="42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</row>
    <row r="87" spans="1:29" s="43" customFormat="1" x14ac:dyDescent="0.3">
      <c r="A87" s="3"/>
      <c r="F87" s="4"/>
      <c r="H87" s="44"/>
      <c r="I87" s="44"/>
      <c r="J87" s="44"/>
      <c r="K87" s="44"/>
      <c r="L87" s="44"/>
      <c r="M87" s="42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</row>
    <row r="88" spans="1:29" s="43" customFormat="1" x14ac:dyDescent="0.3">
      <c r="A88" s="3"/>
      <c r="B88" s="111"/>
      <c r="C88" s="104"/>
      <c r="D88" s="89"/>
      <c r="F88" s="4"/>
      <c r="H88" s="44"/>
      <c r="I88" s="44"/>
      <c r="J88" s="44"/>
      <c r="K88" s="44"/>
      <c r="L88" s="44"/>
      <c r="M88" s="42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</row>
    <row r="89" spans="1:29" s="43" customFormat="1" x14ac:dyDescent="0.3">
      <c r="A89" s="3"/>
      <c r="C89" s="104">
        <f t="shared" ref="C89" si="1">C88</f>
        <v>0</v>
      </c>
      <c r="D89" s="89" t="e">
        <f>_xlfn.FORECAST.LINEAR(C89,$E$48:$E$49,$D$48:$D$49)</f>
        <v>#DIV/0!</v>
      </c>
      <c r="F89" s="4"/>
      <c r="H89" s="44"/>
      <c r="I89" s="44"/>
      <c r="J89" s="44"/>
      <c r="K89" s="44"/>
      <c r="L89" s="44"/>
      <c r="M89" s="42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</row>
    <row r="90" spans="1:29" s="43" customFormat="1" x14ac:dyDescent="0.3">
      <c r="A90" s="3"/>
      <c r="B90" s="68"/>
      <c r="C90" s="68"/>
      <c r="D90" s="68"/>
      <c r="E90" s="68"/>
      <c r="F90" s="95"/>
      <c r="G90" s="68"/>
      <c r="H90" s="69" t="str">
        <f>IF(MAX(Table15[Saudi Arabia - 19 March])=0,"",1)</f>
        <v/>
      </c>
      <c r="I90" s="69" t="str">
        <f>IF(MAX(Table15[Australia - 2 April])=0,"",1)</f>
        <v/>
      </c>
      <c r="J90" s="69" t="str">
        <f>IF(MAX(Table15[Azerbaijan - 30 April])=0,"",1)</f>
        <v/>
      </c>
      <c r="K90" s="69" t="str">
        <f>IF(MAX(Table15[Miami - 7 May])=0,"",1)</f>
        <v/>
      </c>
      <c r="L90" s="69">
        <v>1</v>
      </c>
      <c r="M90" s="69" t="str">
        <f>IF(MAX(Table15[Monaco - 28 May])=0,"",1)</f>
        <v/>
      </c>
      <c r="N90" s="69" t="str">
        <f>IF(MAX(Table15[Spain - 4 June])=0,"",1)</f>
        <v/>
      </c>
      <c r="O90" s="69" t="str">
        <f>IF(MAX(Table15[Canada - 18 June])=0,"",1)</f>
        <v/>
      </c>
      <c r="P90" s="69" t="str">
        <f>IF(MAX(Table15[Austria - 2 July])=0,"",1)</f>
        <v/>
      </c>
      <c r="Q90" s="69" t="str">
        <f>IF(MAX(Table15[Great Britain - 9 July])=0,"",1)</f>
        <v/>
      </c>
      <c r="R90" s="69" t="str">
        <f>IF(MAX(Table15[Hungary - 23 July])=0,"",1)</f>
        <v/>
      </c>
      <c r="S90" s="69" t="str">
        <f>IF(MAX(Table15[Belgium - 30 July])=0,"",1)</f>
        <v/>
      </c>
      <c r="T90" s="69" t="str">
        <f>IF(MAX(Table15[Netherlands - 27 August])=0,"",1)</f>
        <v/>
      </c>
      <c r="U90" s="69" t="str">
        <f>IF(MAX(Table15[Italy - 3 September])=0,"",1)</f>
        <v/>
      </c>
      <c r="V90" s="69" t="str">
        <f>IF(MAX(Table15[Singapore - 17 September])=0,"",1)</f>
        <v/>
      </c>
      <c r="W90" s="69" t="str">
        <f>IF(MAX(Table15[Japan - 24 September])=0,"",1)</f>
        <v/>
      </c>
      <c r="X90" s="69" t="str">
        <f>IF(MAX(Table15[Qatar - 8 October])=0,"",1)</f>
        <v/>
      </c>
      <c r="Y90" s="69" t="str">
        <f>IF(MAX(Table15[United States - 22 October])=0,"",1)</f>
        <v/>
      </c>
      <c r="Z90" s="69" t="str">
        <f>IF(MAX(Table15[Mexico - 29 October])=0,"",1)</f>
        <v/>
      </c>
      <c r="AA90" s="69" t="str">
        <f>IF(MAX(Table15[Brazil - 5 November])=0,"",1)</f>
        <v/>
      </c>
      <c r="AB90" s="69" t="str">
        <f>IF(MAX(Table15[Las Vegas - 18 November])=0,"",1)</f>
        <v/>
      </c>
      <c r="AC90" s="69" t="str">
        <f>IF(MAX(Table15[Abu Dhabi - 26 November])=0,"",1)</f>
        <v/>
      </c>
    </row>
    <row r="91" spans="1:29" s="43" customFormat="1" x14ac:dyDescent="0.3">
      <c r="A91" s="3"/>
      <c r="B91" s="70" t="s">
        <v>71</v>
      </c>
      <c r="C91" s="70"/>
      <c r="D91" s="70"/>
      <c r="E91" s="70"/>
      <c r="F91" s="96"/>
      <c r="G91" s="71"/>
      <c r="H91" s="72">
        <v>1</v>
      </c>
      <c r="I91" s="72">
        <v>2</v>
      </c>
      <c r="J91" s="72">
        <v>3</v>
      </c>
      <c r="K91" s="72">
        <v>4</v>
      </c>
      <c r="L91" s="72">
        <v>5</v>
      </c>
      <c r="M91" s="72">
        <v>6</v>
      </c>
      <c r="N91" s="72">
        <v>7</v>
      </c>
      <c r="O91" s="72">
        <v>8</v>
      </c>
      <c r="P91" s="72">
        <v>9</v>
      </c>
      <c r="Q91" s="72">
        <v>10</v>
      </c>
      <c r="R91" s="72">
        <v>11</v>
      </c>
      <c r="S91" s="72">
        <v>12</v>
      </c>
      <c r="T91" s="72">
        <v>13</v>
      </c>
      <c r="U91" s="72">
        <v>14</v>
      </c>
      <c r="V91" s="72">
        <v>15</v>
      </c>
      <c r="W91" s="72">
        <v>16</v>
      </c>
      <c r="X91" s="72">
        <v>17</v>
      </c>
      <c r="Y91" s="72">
        <v>18</v>
      </c>
      <c r="Z91" s="72">
        <v>19</v>
      </c>
      <c r="AA91" s="72">
        <v>20</v>
      </c>
      <c r="AB91" s="72">
        <v>21</v>
      </c>
      <c r="AC91" s="72">
        <v>22</v>
      </c>
    </row>
    <row r="92" spans="1:29" s="43" customFormat="1" x14ac:dyDescent="0.3">
      <c r="A92" s="3"/>
      <c r="B92" s="68" t="str" cm="1">
        <f t="array" ref="B92:B117">_xlfn.UNIQUE(Table15[Name])</f>
        <v>Markus</v>
      </c>
      <c r="C92" s="68"/>
      <c r="D92" s="68"/>
      <c r="E92" s="68"/>
      <c r="F92" s="95"/>
      <c r="G92" s="73"/>
      <c r="H92" s="66" t="e" cm="1">
        <f t="array" ref="H92:H117">Table15[Saudi Arabia - 19 March]*H90</f>
        <v>#VALUE!</v>
      </c>
      <c r="I92" s="66" t="e" cm="1">
        <f t="array" ref="I92:I117">IFERROR((_xlfn.ANCHORARRAY(H92)+Table15[Australia - 2 April])*I90,NA())</f>
        <v>#N/A</v>
      </c>
      <c r="J92" s="66" t="e" cm="1">
        <f t="array" ref="J92:J117">IFERROR((_xlfn.ANCHORARRAY(I92)+Table15[Azerbaijan - 30 April])*J90,NA())</f>
        <v>#N/A</v>
      </c>
      <c r="K92" s="66" t="e" cm="1">
        <f t="array" ref="K92:K117">IFERROR((_xlfn.ANCHORARRAY(J92)+Table15[Miami - 7 May])*K90,NA())</f>
        <v>#N/A</v>
      </c>
      <c r="L92" s="66" t="e" cm="1">
        <f t="array" ref="L92:L117">IFERROR((_xlfn.ANCHORARRAY(K92)+Table15[Italy - 21 May])*L90,NA())</f>
        <v>#N/A</v>
      </c>
      <c r="M92" s="66" t="e" cm="1">
        <f t="array" ref="M92:M117">IFERROR((_xlfn.ANCHORARRAY(L92)+Table15[Monaco - 28 May])*M90,NA())</f>
        <v>#N/A</v>
      </c>
      <c r="N92" s="66" t="e" cm="1">
        <f t="array" ref="N92:N117">IFERROR((_xlfn.ANCHORARRAY(M92)+Table15[Spain - 4 June])*N90,NA())</f>
        <v>#N/A</v>
      </c>
      <c r="O92" s="66" t="e" cm="1">
        <f t="array" ref="O92:O117">IFERROR((_xlfn.ANCHORARRAY(N92)+Table15[Canada - 18 June])*O90,NA())</f>
        <v>#N/A</v>
      </c>
      <c r="P92" s="66" t="e" cm="1">
        <f t="array" ref="P92:P117">IFERROR((_xlfn.ANCHORARRAY(O92)+Table15[Austria - 2 July])*P90,NA())</f>
        <v>#N/A</v>
      </c>
      <c r="Q92" s="66" t="e" cm="1">
        <f t="array" ref="Q92:Q117">IFERROR((_xlfn.ANCHORARRAY(P92)+Table15[Great Britain - 9 July])*Q90,NA())</f>
        <v>#N/A</v>
      </c>
      <c r="R92" s="66" t="e" cm="1">
        <f t="array" ref="R92:R117">IFERROR((_xlfn.ANCHORARRAY(Q92)+Table15[Hungary - 23 July])*R90,NA())</f>
        <v>#N/A</v>
      </c>
      <c r="S92" s="66" t="e" cm="1">
        <f t="array" ref="S92:S117">IFERROR((_xlfn.ANCHORARRAY(R92)+Table15[Belgium - 30 July])*S90,NA())</f>
        <v>#N/A</v>
      </c>
      <c r="T92" s="66" t="e" cm="1">
        <f t="array" ref="T92:T117">IFERROR((_xlfn.ANCHORARRAY(S92)+Table15[Netherlands - 27 August])*T90,NA())</f>
        <v>#N/A</v>
      </c>
      <c r="U92" s="66" t="e" cm="1">
        <f t="array" ref="U92:U117">IFERROR((_xlfn.ANCHORARRAY(T92)+Table15[Italy - 3 September])*U90,NA())</f>
        <v>#N/A</v>
      </c>
      <c r="V92" s="66" t="e" cm="1">
        <f t="array" ref="V92:V117">IFERROR((_xlfn.ANCHORARRAY(U92)+Table15[Singapore - 17 September])*V90,NA())</f>
        <v>#N/A</v>
      </c>
      <c r="W92" s="66" t="e" cm="1">
        <f t="array" ref="W92:W117">IFERROR((_xlfn.ANCHORARRAY(V92)+Table15[Japan - 24 September])*W90,NA())</f>
        <v>#N/A</v>
      </c>
      <c r="X92" s="66" t="e" cm="1">
        <f t="array" ref="X92:X117">IFERROR((_xlfn.ANCHORARRAY(W92)+Table15[Qatar - 8 October])*X90,NA())</f>
        <v>#N/A</v>
      </c>
      <c r="Y92" s="66" t="e" cm="1">
        <f t="array" ref="Y92:Y117">IFERROR((_xlfn.ANCHORARRAY(X92)+Table15[United States - 22 October])*Y90,NA())</f>
        <v>#N/A</v>
      </c>
      <c r="Z92" s="66" t="e" cm="1">
        <f t="array" ref="Z92:Z117">IFERROR((_xlfn.ANCHORARRAY(Y92)+Table15[Mexico - 29 October])*Z90,NA())</f>
        <v>#N/A</v>
      </c>
      <c r="AA92" s="66" t="e" cm="1">
        <f t="array" ref="AA92:AA117">IFERROR((_xlfn.ANCHORARRAY(Z92)+Table15[Brazil - 5 November])*AA90,NA())</f>
        <v>#N/A</v>
      </c>
      <c r="AB92" s="66" t="e" cm="1">
        <f t="array" ref="AB92:AB117">IFERROR((_xlfn.ANCHORARRAY(AA92)+Table15[Las Vegas - 18 November])*AB90,NA())</f>
        <v>#N/A</v>
      </c>
      <c r="AC92" s="66" t="e" cm="1">
        <f t="array" ref="AC92:AC117">IFERROR((_xlfn.ANCHORARRAY(AB92)+Table15[Abu Dhabi - 26 November])*AC90,NA())</f>
        <v>#N/A</v>
      </c>
    </row>
    <row r="93" spans="1:29" s="43" customFormat="1" x14ac:dyDescent="0.3">
      <c r="A93" s="3"/>
      <c r="B93" s="68" t="str">
        <v>Kristel</v>
      </c>
      <c r="C93" s="68"/>
      <c r="D93" s="68"/>
      <c r="E93" s="68"/>
      <c r="F93" s="95"/>
      <c r="G93" s="68"/>
      <c r="H93" s="66" t="e">
        <v>#VALUE!</v>
      </c>
      <c r="I93" s="66" t="e">
        <v>#N/A</v>
      </c>
      <c r="J93" s="66" t="e">
        <v>#N/A</v>
      </c>
      <c r="K93" s="66" t="e">
        <v>#N/A</v>
      </c>
      <c r="L93" s="66" t="e">
        <v>#N/A</v>
      </c>
      <c r="M93" s="66" t="e">
        <v>#N/A</v>
      </c>
      <c r="N93" s="66" t="e">
        <v>#N/A</v>
      </c>
      <c r="O93" s="66" t="e">
        <v>#N/A</v>
      </c>
      <c r="P93" s="66" t="e">
        <v>#N/A</v>
      </c>
      <c r="Q93" s="66" t="e">
        <v>#N/A</v>
      </c>
      <c r="R93" s="66" t="e">
        <v>#N/A</v>
      </c>
      <c r="S93" s="66" t="e">
        <v>#N/A</v>
      </c>
      <c r="T93" s="66" t="e">
        <v>#N/A</v>
      </c>
      <c r="U93" s="66" t="e">
        <v>#N/A</v>
      </c>
      <c r="V93" s="66" t="e">
        <v>#N/A</v>
      </c>
      <c r="W93" s="66" t="e">
        <v>#N/A</v>
      </c>
      <c r="X93" s="66" t="e">
        <v>#N/A</v>
      </c>
      <c r="Y93" s="66" t="e">
        <v>#N/A</v>
      </c>
      <c r="Z93" s="66" t="e">
        <v>#N/A</v>
      </c>
      <c r="AA93" s="66" t="e">
        <v>#N/A</v>
      </c>
      <c r="AB93" s="66" t="e">
        <v>#N/A</v>
      </c>
      <c r="AC93" s="66" t="e">
        <v>#N/A</v>
      </c>
    </row>
    <row r="94" spans="1:29" s="43" customFormat="1" x14ac:dyDescent="0.3">
      <c r="A94" s="3"/>
      <c r="B94" s="68" t="str">
        <v>Suzzy B</v>
      </c>
      <c r="C94" s="68"/>
      <c r="D94" s="68"/>
      <c r="E94" s="68"/>
      <c r="F94" s="95"/>
      <c r="G94" s="68"/>
      <c r="H94" s="66" t="e">
        <v>#VALUE!</v>
      </c>
      <c r="I94" s="66" t="e">
        <v>#N/A</v>
      </c>
      <c r="J94" s="66" t="e">
        <v>#N/A</v>
      </c>
      <c r="K94" s="66" t="e">
        <v>#N/A</v>
      </c>
      <c r="L94" s="66" t="e">
        <v>#N/A</v>
      </c>
      <c r="M94" s="66" t="e">
        <v>#N/A</v>
      </c>
      <c r="N94" s="66" t="e">
        <v>#N/A</v>
      </c>
      <c r="O94" s="66" t="e">
        <v>#N/A</v>
      </c>
      <c r="P94" s="66" t="e">
        <v>#N/A</v>
      </c>
      <c r="Q94" s="66" t="e">
        <v>#N/A</v>
      </c>
      <c r="R94" s="66" t="e">
        <v>#N/A</v>
      </c>
      <c r="S94" s="66" t="e">
        <v>#N/A</v>
      </c>
      <c r="T94" s="66" t="e">
        <v>#N/A</v>
      </c>
      <c r="U94" s="66" t="e">
        <v>#N/A</v>
      </c>
      <c r="V94" s="66" t="e">
        <v>#N/A</v>
      </c>
      <c r="W94" s="66" t="e">
        <v>#N/A</v>
      </c>
      <c r="X94" s="66" t="e">
        <v>#N/A</v>
      </c>
      <c r="Y94" s="66" t="e">
        <v>#N/A</v>
      </c>
      <c r="Z94" s="66" t="e">
        <v>#N/A</v>
      </c>
      <c r="AA94" s="66" t="e">
        <v>#N/A</v>
      </c>
      <c r="AB94" s="66" t="e">
        <v>#N/A</v>
      </c>
      <c r="AC94" s="66" t="e">
        <v>#N/A</v>
      </c>
    </row>
    <row r="95" spans="1:29" s="43" customFormat="1" x14ac:dyDescent="0.3">
      <c r="A95" s="3"/>
      <c r="B95" s="68" t="str">
        <v>Wade</v>
      </c>
      <c r="C95" s="68"/>
      <c r="D95" s="68"/>
      <c r="E95" s="68"/>
      <c r="F95" s="95"/>
      <c r="G95" s="68"/>
      <c r="H95" s="66" t="e">
        <v>#VALUE!</v>
      </c>
      <c r="I95" s="66" t="e">
        <v>#N/A</v>
      </c>
      <c r="J95" s="66" t="e">
        <v>#N/A</v>
      </c>
      <c r="K95" s="66" t="e">
        <v>#N/A</v>
      </c>
      <c r="L95" s="66" t="e">
        <v>#N/A</v>
      </c>
      <c r="M95" s="66" t="e">
        <v>#N/A</v>
      </c>
      <c r="N95" s="66" t="e">
        <v>#N/A</v>
      </c>
      <c r="O95" s="66" t="e">
        <v>#N/A</v>
      </c>
      <c r="P95" s="66" t="e">
        <v>#N/A</v>
      </c>
      <c r="Q95" s="66" t="e">
        <v>#N/A</v>
      </c>
      <c r="R95" s="66" t="e">
        <v>#N/A</v>
      </c>
      <c r="S95" s="66" t="e">
        <v>#N/A</v>
      </c>
      <c r="T95" s="66" t="e">
        <v>#N/A</v>
      </c>
      <c r="U95" s="66" t="e">
        <v>#N/A</v>
      </c>
      <c r="V95" s="66" t="e">
        <v>#N/A</v>
      </c>
      <c r="W95" s="66" t="e">
        <v>#N/A</v>
      </c>
      <c r="X95" s="66" t="e">
        <v>#N/A</v>
      </c>
      <c r="Y95" s="66" t="e">
        <v>#N/A</v>
      </c>
      <c r="Z95" s="66" t="e">
        <v>#N/A</v>
      </c>
      <c r="AA95" s="66" t="e">
        <v>#N/A</v>
      </c>
      <c r="AB95" s="66" t="e">
        <v>#N/A</v>
      </c>
      <c r="AC95" s="66" t="e">
        <v>#N/A</v>
      </c>
    </row>
    <row r="96" spans="1:29" s="43" customFormat="1" x14ac:dyDescent="0.3">
      <c r="A96" s="3"/>
      <c r="B96" s="68" t="str">
        <v>Joshua</v>
      </c>
      <c r="C96" s="68"/>
      <c r="D96" s="68"/>
      <c r="E96" s="68"/>
      <c r="F96" s="95"/>
      <c r="G96" s="68"/>
      <c r="H96" s="66" t="e">
        <v>#VALUE!</v>
      </c>
      <c r="I96" s="66" t="e">
        <v>#N/A</v>
      </c>
      <c r="J96" s="66" t="e">
        <v>#N/A</v>
      </c>
      <c r="K96" s="66" t="e">
        <v>#N/A</v>
      </c>
      <c r="L96" s="66" t="e">
        <v>#N/A</v>
      </c>
      <c r="M96" s="66" t="e">
        <v>#N/A</v>
      </c>
      <c r="N96" s="66" t="e">
        <v>#N/A</v>
      </c>
      <c r="O96" s="66" t="e">
        <v>#N/A</v>
      </c>
      <c r="P96" s="66" t="e">
        <v>#N/A</v>
      </c>
      <c r="Q96" s="66" t="e">
        <v>#N/A</v>
      </c>
      <c r="R96" s="66" t="e">
        <v>#N/A</v>
      </c>
      <c r="S96" s="66" t="e">
        <v>#N/A</v>
      </c>
      <c r="T96" s="66" t="e">
        <v>#N/A</v>
      </c>
      <c r="U96" s="66" t="e">
        <v>#N/A</v>
      </c>
      <c r="V96" s="66" t="e">
        <v>#N/A</v>
      </c>
      <c r="W96" s="66" t="e">
        <v>#N/A</v>
      </c>
      <c r="X96" s="66" t="e">
        <v>#N/A</v>
      </c>
      <c r="Y96" s="66" t="e">
        <v>#N/A</v>
      </c>
      <c r="Z96" s="66" t="e">
        <v>#N/A</v>
      </c>
      <c r="AA96" s="66" t="e">
        <v>#N/A</v>
      </c>
      <c r="AB96" s="66" t="e">
        <v>#N/A</v>
      </c>
      <c r="AC96" s="66" t="e">
        <v>#N/A</v>
      </c>
    </row>
    <row r="97" spans="1:29" s="43" customFormat="1" x14ac:dyDescent="0.3">
      <c r="A97" s="3"/>
      <c r="B97" s="68" t="str">
        <v>Frank</v>
      </c>
      <c r="C97" s="68"/>
      <c r="D97" s="68"/>
      <c r="E97" s="68"/>
      <c r="F97" s="95"/>
      <c r="G97" s="68"/>
      <c r="H97" s="66" t="e">
        <v>#VALUE!</v>
      </c>
      <c r="I97" s="66" t="e">
        <v>#N/A</v>
      </c>
      <c r="J97" s="66" t="e">
        <v>#N/A</v>
      </c>
      <c r="K97" s="66" t="e">
        <v>#N/A</v>
      </c>
      <c r="L97" s="66" t="e">
        <v>#N/A</v>
      </c>
      <c r="M97" s="66" t="e">
        <v>#N/A</v>
      </c>
      <c r="N97" s="66" t="e">
        <v>#N/A</v>
      </c>
      <c r="O97" s="66" t="e">
        <v>#N/A</v>
      </c>
      <c r="P97" s="66" t="e">
        <v>#N/A</v>
      </c>
      <c r="Q97" s="66" t="e">
        <v>#N/A</v>
      </c>
      <c r="R97" s="66" t="e">
        <v>#N/A</v>
      </c>
      <c r="S97" s="66" t="e">
        <v>#N/A</v>
      </c>
      <c r="T97" s="66" t="e">
        <v>#N/A</v>
      </c>
      <c r="U97" s="66" t="e">
        <v>#N/A</v>
      </c>
      <c r="V97" s="66" t="e">
        <v>#N/A</v>
      </c>
      <c r="W97" s="66" t="e">
        <v>#N/A</v>
      </c>
      <c r="X97" s="66" t="e">
        <v>#N/A</v>
      </c>
      <c r="Y97" s="66" t="e">
        <v>#N/A</v>
      </c>
      <c r="Z97" s="66" t="e">
        <v>#N/A</v>
      </c>
      <c r="AA97" s="66" t="e">
        <v>#N/A</v>
      </c>
      <c r="AB97" s="66" t="e">
        <v>#N/A</v>
      </c>
      <c r="AC97" s="66" t="e">
        <v>#N/A</v>
      </c>
    </row>
    <row r="98" spans="1:29" s="43" customFormat="1" x14ac:dyDescent="0.3">
      <c r="A98" s="3"/>
      <c r="B98" s="68" t="str">
        <v>Jimbo</v>
      </c>
      <c r="C98" s="68"/>
      <c r="D98" s="68"/>
      <c r="E98" s="68"/>
      <c r="F98" s="95"/>
      <c r="G98" s="68"/>
      <c r="H98" s="66" t="e">
        <v>#VALUE!</v>
      </c>
      <c r="I98" s="66" t="e">
        <v>#N/A</v>
      </c>
      <c r="J98" s="66" t="e">
        <v>#N/A</v>
      </c>
      <c r="K98" s="66" t="e">
        <v>#N/A</v>
      </c>
      <c r="L98" s="66" t="e">
        <v>#N/A</v>
      </c>
      <c r="M98" s="66" t="e">
        <v>#N/A</v>
      </c>
      <c r="N98" s="66" t="e">
        <v>#N/A</v>
      </c>
      <c r="O98" s="66" t="e">
        <v>#N/A</v>
      </c>
      <c r="P98" s="66" t="e">
        <v>#N/A</v>
      </c>
      <c r="Q98" s="66" t="e">
        <v>#N/A</v>
      </c>
      <c r="R98" s="66" t="e">
        <v>#N/A</v>
      </c>
      <c r="S98" s="66" t="e">
        <v>#N/A</v>
      </c>
      <c r="T98" s="66" t="e">
        <v>#N/A</v>
      </c>
      <c r="U98" s="66" t="e">
        <v>#N/A</v>
      </c>
      <c r="V98" s="66" t="e">
        <v>#N/A</v>
      </c>
      <c r="W98" s="66" t="e">
        <v>#N/A</v>
      </c>
      <c r="X98" s="66" t="e">
        <v>#N/A</v>
      </c>
      <c r="Y98" s="66" t="e">
        <v>#N/A</v>
      </c>
      <c r="Z98" s="66" t="e">
        <v>#N/A</v>
      </c>
      <c r="AA98" s="66" t="e">
        <v>#N/A</v>
      </c>
      <c r="AB98" s="66" t="e">
        <v>#N/A</v>
      </c>
      <c r="AC98" s="66" t="e">
        <v>#N/A</v>
      </c>
    </row>
    <row r="99" spans="1:29" s="43" customFormat="1" x14ac:dyDescent="0.3">
      <c r="A99" s="3"/>
      <c r="B99" s="68" t="str">
        <v>Mike</v>
      </c>
      <c r="C99" s="68"/>
      <c r="D99" s="68"/>
      <c r="E99" s="68"/>
      <c r="F99" s="95"/>
      <c r="G99" s="68"/>
      <c r="H99" s="66" t="e">
        <v>#VALUE!</v>
      </c>
      <c r="I99" s="66" t="e">
        <v>#N/A</v>
      </c>
      <c r="J99" s="66" t="e">
        <v>#N/A</v>
      </c>
      <c r="K99" s="66" t="e">
        <v>#N/A</v>
      </c>
      <c r="L99" s="66" t="e">
        <v>#N/A</v>
      </c>
      <c r="M99" s="66" t="e">
        <v>#N/A</v>
      </c>
      <c r="N99" s="66" t="e">
        <v>#N/A</v>
      </c>
      <c r="O99" s="66" t="e">
        <v>#N/A</v>
      </c>
      <c r="P99" s="66" t="e">
        <v>#N/A</v>
      </c>
      <c r="Q99" s="66" t="e">
        <v>#N/A</v>
      </c>
      <c r="R99" s="66" t="e">
        <v>#N/A</v>
      </c>
      <c r="S99" s="66" t="e">
        <v>#N/A</v>
      </c>
      <c r="T99" s="66" t="e">
        <v>#N/A</v>
      </c>
      <c r="U99" s="66" t="e">
        <v>#N/A</v>
      </c>
      <c r="V99" s="66" t="e">
        <v>#N/A</v>
      </c>
      <c r="W99" s="66" t="e">
        <v>#N/A</v>
      </c>
      <c r="X99" s="66" t="e">
        <v>#N/A</v>
      </c>
      <c r="Y99" s="66" t="e">
        <v>#N/A</v>
      </c>
      <c r="Z99" s="66" t="e">
        <v>#N/A</v>
      </c>
      <c r="AA99" s="66" t="e">
        <v>#N/A</v>
      </c>
      <c r="AB99" s="66" t="e">
        <v>#N/A</v>
      </c>
      <c r="AC99" s="66" t="e">
        <v>#N/A</v>
      </c>
    </row>
    <row r="100" spans="1:29" s="43" customFormat="1" x14ac:dyDescent="0.3">
      <c r="A100" s="3"/>
      <c r="B100" s="68" t="str">
        <v>Nico SR</v>
      </c>
      <c r="C100" s="68"/>
      <c r="D100" s="68"/>
      <c r="E100" s="68"/>
      <c r="F100" s="95"/>
      <c r="G100" s="68"/>
      <c r="H100" s="66" t="e">
        <v>#VALUE!</v>
      </c>
      <c r="I100" s="66" t="e">
        <v>#N/A</v>
      </c>
      <c r="J100" s="66" t="e">
        <v>#N/A</v>
      </c>
      <c r="K100" s="66" t="e">
        <v>#N/A</v>
      </c>
      <c r="L100" s="66" t="e">
        <v>#N/A</v>
      </c>
      <c r="M100" s="66" t="e">
        <v>#N/A</v>
      </c>
      <c r="N100" s="66" t="e">
        <v>#N/A</v>
      </c>
      <c r="O100" s="66" t="e">
        <v>#N/A</v>
      </c>
      <c r="P100" s="66" t="e">
        <v>#N/A</v>
      </c>
      <c r="Q100" s="66" t="e">
        <v>#N/A</v>
      </c>
      <c r="R100" s="66" t="e">
        <v>#N/A</v>
      </c>
      <c r="S100" s="66" t="e">
        <v>#N/A</v>
      </c>
      <c r="T100" s="66" t="e">
        <v>#N/A</v>
      </c>
      <c r="U100" s="66" t="e">
        <v>#N/A</v>
      </c>
      <c r="V100" s="66" t="e">
        <v>#N/A</v>
      </c>
      <c r="W100" s="66" t="e">
        <v>#N/A</v>
      </c>
      <c r="X100" s="66" t="e">
        <v>#N/A</v>
      </c>
      <c r="Y100" s="66" t="e">
        <v>#N/A</v>
      </c>
      <c r="Z100" s="66" t="e">
        <v>#N/A</v>
      </c>
      <c r="AA100" s="66" t="e">
        <v>#N/A</v>
      </c>
      <c r="AB100" s="66" t="e">
        <v>#N/A</v>
      </c>
      <c r="AC100" s="66" t="e">
        <v>#N/A</v>
      </c>
    </row>
    <row r="101" spans="1:29" s="43" customFormat="1" x14ac:dyDescent="0.3">
      <c r="A101" s="3"/>
      <c r="B101" s="68" t="str">
        <v>Ilarie</v>
      </c>
      <c r="C101" s="68"/>
      <c r="D101" s="68"/>
      <c r="E101" s="68"/>
      <c r="F101" s="95"/>
      <c r="G101" s="68"/>
      <c r="H101" s="66" t="e">
        <v>#VALUE!</v>
      </c>
      <c r="I101" s="66" t="e">
        <v>#N/A</v>
      </c>
      <c r="J101" s="66" t="e">
        <v>#N/A</v>
      </c>
      <c r="K101" s="66" t="e">
        <v>#N/A</v>
      </c>
      <c r="L101" s="66" t="e">
        <v>#N/A</v>
      </c>
      <c r="M101" s="66" t="e">
        <v>#N/A</v>
      </c>
      <c r="N101" s="66" t="e">
        <v>#N/A</v>
      </c>
      <c r="O101" s="66" t="e">
        <v>#N/A</v>
      </c>
      <c r="P101" s="66" t="e">
        <v>#N/A</v>
      </c>
      <c r="Q101" s="66" t="e">
        <v>#N/A</v>
      </c>
      <c r="R101" s="66" t="e">
        <v>#N/A</v>
      </c>
      <c r="S101" s="66" t="e">
        <v>#N/A</v>
      </c>
      <c r="T101" s="66" t="e">
        <v>#N/A</v>
      </c>
      <c r="U101" s="66" t="e">
        <v>#N/A</v>
      </c>
      <c r="V101" s="66" t="e">
        <v>#N/A</v>
      </c>
      <c r="W101" s="66" t="e">
        <v>#N/A</v>
      </c>
      <c r="X101" s="66" t="e">
        <v>#N/A</v>
      </c>
      <c r="Y101" s="66" t="e">
        <v>#N/A</v>
      </c>
      <c r="Z101" s="66" t="e">
        <v>#N/A</v>
      </c>
      <c r="AA101" s="66" t="e">
        <v>#N/A</v>
      </c>
      <c r="AB101" s="66" t="e">
        <v>#N/A</v>
      </c>
      <c r="AC101" s="66" t="e">
        <v>#N/A</v>
      </c>
    </row>
    <row r="102" spans="1:29" s="43" customFormat="1" x14ac:dyDescent="0.3">
      <c r="A102" s="3"/>
      <c r="B102" s="68" t="str">
        <v>Oscar</v>
      </c>
      <c r="C102" s="68"/>
      <c r="D102" s="68"/>
      <c r="E102" s="68"/>
      <c r="F102" s="95"/>
      <c r="G102" s="68"/>
      <c r="H102" s="66" t="e">
        <v>#VALUE!</v>
      </c>
      <c r="I102" s="66" t="e">
        <v>#N/A</v>
      </c>
      <c r="J102" s="66" t="e">
        <v>#N/A</v>
      </c>
      <c r="K102" s="66" t="e">
        <v>#N/A</v>
      </c>
      <c r="L102" s="66" t="e">
        <v>#N/A</v>
      </c>
      <c r="M102" s="66" t="e">
        <v>#N/A</v>
      </c>
      <c r="N102" s="66" t="e">
        <v>#N/A</v>
      </c>
      <c r="O102" s="66" t="e">
        <v>#N/A</v>
      </c>
      <c r="P102" s="66" t="e">
        <v>#N/A</v>
      </c>
      <c r="Q102" s="66" t="e">
        <v>#N/A</v>
      </c>
      <c r="R102" s="66" t="e">
        <v>#N/A</v>
      </c>
      <c r="S102" s="66" t="e">
        <v>#N/A</v>
      </c>
      <c r="T102" s="66" t="e">
        <v>#N/A</v>
      </c>
      <c r="U102" s="66" t="e">
        <v>#N/A</v>
      </c>
      <c r="V102" s="66" t="e">
        <v>#N/A</v>
      </c>
      <c r="W102" s="66" t="e">
        <v>#N/A</v>
      </c>
      <c r="X102" s="66" t="e">
        <v>#N/A</v>
      </c>
      <c r="Y102" s="66" t="e">
        <v>#N/A</v>
      </c>
      <c r="Z102" s="66" t="e">
        <v>#N/A</v>
      </c>
      <c r="AA102" s="66" t="e">
        <v>#N/A</v>
      </c>
      <c r="AB102" s="66" t="e">
        <v>#N/A</v>
      </c>
      <c r="AC102" s="66" t="e">
        <v>#N/A</v>
      </c>
    </row>
    <row r="103" spans="1:29" s="43" customFormat="1" x14ac:dyDescent="0.3">
      <c r="A103" s="3"/>
      <c r="B103" s="68" t="str">
        <v>Deville</v>
      </c>
      <c r="C103" s="68"/>
      <c r="D103" s="68"/>
      <c r="E103" s="68"/>
      <c r="F103" s="95"/>
      <c r="G103" s="68"/>
      <c r="H103" s="66" t="e">
        <v>#VALUE!</v>
      </c>
      <c r="I103" s="66" t="e">
        <v>#N/A</v>
      </c>
      <c r="J103" s="66" t="e">
        <v>#N/A</v>
      </c>
      <c r="K103" s="66" t="e">
        <v>#N/A</v>
      </c>
      <c r="L103" s="66" t="e">
        <v>#N/A</v>
      </c>
      <c r="M103" s="66" t="e">
        <v>#N/A</v>
      </c>
      <c r="N103" s="66" t="e">
        <v>#N/A</v>
      </c>
      <c r="O103" s="66" t="e">
        <v>#N/A</v>
      </c>
      <c r="P103" s="66" t="e">
        <v>#N/A</v>
      </c>
      <c r="Q103" s="66" t="e">
        <v>#N/A</v>
      </c>
      <c r="R103" s="66" t="e">
        <v>#N/A</v>
      </c>
      <c r="S103" s="66" t="e">
        <v>#N/A</v>
      </c>
      <c r="T103" s="66" t="e">
        <v>#N/A</v>
      </c>
      <c r="U103" s="66" t="e">
        <v>#N/A</v>
      </c>
      <c r="V103" s="66" t="e">
        <v>#N/A</v>
      </c>
      <c r="W103" s="66" t="e">
        <v>#N/A</v>
      </c>
      <c r="X103" s="66" t="e">
        <v>#N/A</v>
      </c>
      <c r="Y103" s="66" t="e">
        <v>#N/A</v>
      </c>
      <c r="Z103" s="66" t="e">
        <v>#N/A</v>
      </c>
      <c r="AA103" s="66" t="e">
        <v>#N/A</v>
      </c>
      <c r="AB103" s="66" t="e">
        <v>#N/A</v>
      </c>
      <c r="AC103" s="66" t="e">
        <v>#N/A</v>
      </c>
    </row>
    <row r="104" spans="1:29" s="43" customFormat="1" x14ac:dyDescent="0.3">
      <c r="A104" s="3"/>
      <c r="B104" s="68" t="str">
        <v>Liz</v>
      </c>
      <c r="C104" s="68"/>
      <c r="D104" s="68"/>
      <c r="E104" s="68"/>
      <c r="F104" s="95"/>
      <c r="G104" s="68"/>
      <c r="H104" s="66" t="e">
        <v>#VALUE!</v>
      </c>
      <c r="I104" s="66" t="e">
        <v>#N/A</v>
      </c>
      <c r="J104" s="66" t="e">
        <v>#N/A</v>
      </c>
      <c r="K104" s="66" t="e">
        <v>#N/A</v>
      </c>
      <c r="L104" s="66" t="e">
        <v>#N/A</v>
      </c>
      <c r="M104" s="66" t="e">
        <v>#N/A</v>
      </c>
      <c r="N104" s="66" t="e">
        <v>#N/A</v>
      </c>
      <c r="O104" s="66" t="e">
        <v>#N/A</v>
      </c>
      <c r="P104" s="66" t="e">
        <v>#N/A</v>
      </c>
      <c r="Q104" s="66" t="e">
        <v>#N/A</v>
      </c>
      <c r="R104" s="66" t="e">
        <v>#N/A</v>
      </c>
      <c r="S104" s="66" t="e">
        <v>#N/A</v>
      </c>
      <c r="T104" s="66" t="e">
        <v>#N/A</v>
      </c>
      <c r="U104" s="66" t="e">
        <v>#N/A</v>
      </c>
      <c r="V104" s="66" t="e">
        <v>#N/A</v>
      </c>
      <c r="W104" s="66" t="e">
        <v>#N/A</v>
      </c>
      <c r="X104" s="66" t="e">
        <v>#N/A</v>
      </c>
      <c r="Y104" s="66" t="e">
        <v>#N/A</v>
      </c>
      <c r="Z104" s="66" t="e">
        <v>#N/A</v>
      </c>
      <c r="AA104" s="66" t="e">
        <v>#N/A</v>
      </c>
      <c r="AB104" s="66" t="e">
        <v>#N/A</v>
      </c>
      <c r="AC104" s="66" t="e">
        <v>#N/A</v>
      </c>
    </row>
    <row r="105" spans="1:29" s="43" customFormat="1" x14ac:dyDescent="0.3">
      <c r="A105" s="3"/>
      <c r="B105" s="68" t="str">
        <v>Nico JR</v>
      </c>
      <c r="C105" s="68"/>
      <c r="D105" s="68"/>
      <c r="E105" s="68"/>
      <c r="F105" s="95"/>
      <c r="G105" s="68"/>
      <c r="H105" s="66" t="e">
        <v>#VALUE!</v>
      </c>
      <c r="I105" s="66" t="e">
        <v>#N/A</v>
      </c>
      <c r="J105" s="66" t="e">
        <v>#N/A</v>
      </c>
      <c r="K105" s="66" t="e">
        <v>#N/A</v>
      </c>
      <c r="L105" s="66" t="e">
        <v>#N/A</v>
      </c>
      <c r="M105" s="66" t="e">
        <v>#N/A</v>
      </c>
      <c r="N105" s="66" t="e">
        <v>#N/A</v>
      </c>
      <c r="O105" s="66" t="e">
        <v>#N/A</v>
      </c>
      <c r="P105" s="66" t="e">
        <v>#N/A</v>
      </c>
      <c r="Q105" s="66" t="e">
        <v>#N/A</v>
      </c>
      <c r="R105" s="66" t="e">
        <v>#N/A</v>
      </c>
      <c r="S105" s="66" t="e">
        <v>#N/A</v>
      </c>
      <c r="T105" s="66" t="e">
        <v>#N/A</v>
      </c>
      <c r="U105" s="66" t="e">
        <v>#N/A</v>
      </c>
      <c r="V105" s="66" t="e">
        <v>#N/A</v>
      </c>
      <c r="W105" s="66" t="e">
        <v>#N/A</v>
      </c>
      <c r="X105" s="66" t="e">
        <v>#N/A</v>
      </c>
      <c r="Y105" s="66" t="e">
        <v>#N/A</v>
      </c>
      <c r="Z105" s="66" t="e">
        <v>#N/A</v>
      </c>
      <c r="AA105" s="66" t="e">
        <v>#N/A</v>
      </c>
      <c r="AB105" s="66" t="e">
        <v>#N/A</v>
      </c>
      <c r="AC105" s="66" t="e">
        <v>#N/A</v>
      </c>
    </row>
    <row r="106" spans="1:29" s="43" customFormat="1" x14ac:dyDescent="0.3">
      <c r="A106" s="3"/>
      <c r="B106" s="68" t="str">
        <v>Alida</v>
      </c>
      <c r="C106" s="68"/>
      <c r="D106" s="68"/>
      <c r="E106" s="68"/>
      <c r="F106" s="95"/>
      <c r="G106" s="68"/>
      <c r="H106" s="66" t="e">
        <v>#VALUE!</v>
      </c>
      <c r="I106" s="66" t="e">
        <v>#N/A</v>
      </c>
      <c r="J106" s="66" t="e">
        <v>#N/A</v>
      </c>
      <c r="K106" s="66" t="e">
        <v>#N/A</v>
      </c>
      <c r="L106" s="66" t="e">
        <v>#N/A</v>
      </c>
      <c r="M106" s="66" t="e">
        <v>#N/A</v>
      </c>
      <c r="N106" s="66" t="e">
        <v>#N/A</v>
      </c>
      <c r="O106" s="66" t="e">
        <v>#N/A</v>
      </c>
      <c r="P106" s="66" t="e">
        <v>#N/A</v>
      </c>
      <c r="Q106" s="66" t="e">
        <v>#N/A</v>
      </c>
      <c r="R106" s="66" t="e">
        <v>#N/A</v>
      </c>
      <c r="S106" s="66" t="e">
        <v>#N/A</v>
      </c>
      <c r="T106" s="66" t="e">
        <v>#N/A</v>
      </c>
      <c r="U106" s="66" t="e">
        <v>#N/A</v>
      </c>
      <c r="V106" s="66" t="e">
        <v>#N/A</v>
      </c>
      <c r="W106" s="66" t="e">
        <v>#N/A</v>
      </c>
      <c r="X106" s="66" t="e">
        <v>#N/A</v>
      </c>
      <c r="Y106" s="66" t="e">
        <v>#N/A</v>
      </c>
      <c r="Z106" s="66" t="e">
        <v>#N/A</v>
      </c>
      <c r="AA106" s="66" t="e">
        <v>#N/A</v>
      </c>
      <c r="AB106" s="66" t="e">
        <v>#N/A</v>
      </c>
      <c r="AC106" s="66" t="e">
        <v>#N/A</v>
      </c>
    </row>
    <row r="107" spans="1:29" s="43" customFormat="1" x14ac:dyDescent="0.3">
      <c r="A107" s="3"/>
      <c r="B107" s="68" t="str">
        <v>Jason</v>
      </c>
      <c r="C107" s="68"/>
      <c r="D107" s="68"/>
      <c r="E107" s="68"/>
      <c r="F107" s="95"/>
      <c r="G107" s="68"/>
      <c r="H107" s="66" t="e">
        <v>#VALUE!</v>
      </c>
      <c r="I107" s="66" t="e">
        <v>#N/A</v>
      </c>
      <c r="J107" s="66" t="e">
        <v>#N/A</v>
      </c>
      <c r="K107" s="66" t="e">
        <v>#N/A</v>
      </c>
      <c r="L107" s="66" t="e">
        <v>#N/A</v>
      </c>
      <c r="M107" s="66" t="e">
        <v>#N/A</v>
      </c>
      <c r="N107" s="66" t="e">
        <v>#N/A</v>
      </c>
      <c r="O107" s="66" t="e">
        <v>#N/A</v>
      </c>
      <c r="P107" s="66" t="e">
        <v>#N/A</v>
      </c>
      <c r="Q107" s="66" t="e">
        <v>#N/A</v>
      </c>
      <c r="R107" s="66" t="e">
        <v>#N/A</v>
      </c>
      <c r="S107" s="66" t="e">
        <v>#N/A</v>
      </c>
      <c r="T107" s="66" t="e">
        <v>#N/A</v>
      </c>
      <c r="U107" s="66" t="e">
        <v>#N/A</v>
      </c>
      <c r="V107" s="66" t="e">
        <v>#N/A</v>
      </c>
      <c r="W107" s="66" t="e">
        <v>#N/A</v>
      </c>
      <c r="X107" s="66" t="e">
        <v>#N/A</v>
      </c>
      <c r="Y107" s="66" t="e">
        <v>#N/A</v>
      </c>
      <c r="Z107" s="66" t="e">
        <v>#N/A</v>
      </c>
      <c r="AA107" s="66" t="e">
        <v>#N/A</v>
      </c>
      <c r="AB107" s="66" t="e">
        <v>#N/A</v>
      </c>
      <c r="AC107" s="66" t="e">
        <v>#N/A</v>
      </c>
    </row>
    <row r="108" spans="1:29" s="43" customFormat="1" x14ac:dyDescent="0.3">
      <c r="A108" s="3"/>
      <c r="B108" s="68" t="str">
        <v>PJ</v>
      </c>
      <c r="C108" s="68"/>
      <c r="D108" s="68"/>
      <c r="E108" s="68"/>
      <c r="F108" s="95"/>
      <c r="G108" s="68"/>
      <c r="H108" s="66" t="e">
        <v>#VALUE!</v>
      </c>
      <c r="I108" s="66" t="e">
        <v>#N/A</v>
      </c>
      <c r="J108" s="66" t="e">
        <v>#N/A</v>
      </c>
      <c r="K108" s="66" t="e">
        <v>#N/A</v>
      </c>
      <c r="L108" s="66" t="e">
        <v>#N/A</v>
      </c>
      <c r="M108" s="66" t="e">
        <v>#N/A</v>
      </c>
      <c r="N108" s="66" t="e">
        <v>#N/A</v>
      </c>
      <c r="O108" s="66" t="e">
        <v>#N/A</v>
      </c>
      <c r="P108" s="66" t="e">
        <v>#N/A</v>
      </c>
      <c r="Q108" s="66" t="e">
        <v>#N/A</v>
      </c>
      <c r="R108" s="66" t="e">
        <v>#N/A</v>
      </c>
      <c r="S108" s="66" t="e">
        <v>#N/A</v>
      </c>
      <c r="T108" s="66" t="e">
        <v>#N/A</v>
      </c>
      <c r="U108" s="66" t="e">
        <v>#N/A</v>
      </c>
      <c r="V108" s="66" t="e">
        <v>#N/A</v>
      </c>
      <c r="W108" s="66" t="e">
        <v>#N/A</v>
      </c>
      <c r="X108" s="66" t="e">
        <v>#N/A</v>
      </c>
      <c r="Y108" s="66" t="e">
        <v>#N/A</v>
      </c>
      <c r="Z108" s="66" t="e">
        <v>#N/A</v>
      </c>
      <c r="AA108" s="66" t="e">
        <v>#N/A</v>
      </c>
      <c r="AB108" s="66" t="e">
        <v>#N/A</v>
      </c>
      <c r="AC108" s="66" t="e">
        <v>#N/A</v>
      </c>
    </row>
    <row r="109" spans="1:29" s="43" customFormat="1" x14ac:dyDescent="0.3">
      <c r="A109" s="3"/>
      <c r="B109" s="68" t="str">
        <v>Bernd</v>
      </c>
      <c r="C109" s="68"/>
      <c r="D109" s="68"/>
      <c r="E109" s="68"/>
      <c r="F109" s="95"/>
      <c r="G109" s="68"/>
      <c r="H109" s="66" t="e">
        <v>#VALUE!</v>
      </c>
      <c r="I109" s="66" t="e">
        <v>#N/A</v>
      </c>
      <c r="J109" s="66" t="e">
        <v>#N/A</v>
      </c>
      <c r="K109" s="66" t="e">
        <v>#N/A</v>
      </c>
      <c r="L109" s="66" t="e">
        <v>#N/A</v>
      </c>
      <c r="M109" s="66" t="e">
        <v>#N/A</v>
      </c>
      <c r="N109" s="66" t="e">
        <v>#N/A</v>
      </c>
      <c r="O109" s="66" t="e">
        <v>#N/A</v>
      </c>
      <c r="P109" s="66" t="e">
        <v>#N/A</v>
      </c>
      <c r="Q109" s="66" t="e">
        <v>#N/A</v>
      </c>
      <c r="R109" s="66" t="e">
        <v>#N/A</v>
      </c>
      <c r="S109" s="66" t="e">
        <v>#N/A</v>
      </c>
      <c r="T109" s="66" t="e">
        <v>#N/A</v>
      </c>
      <c r="U109" s="66" t="e">
        <v>#N/A</v>
      </c>
      <c r="V109" s="66" t="e">
        <v>#N/A</v>
      </c>
      <c r="W109" s="66" t="e">
        <v>#N/A</v>
      </c>
      <c r="X109" s="66" t="e">
        <v>#N/A</v>
      </c>
      <c r="Y109" s="66" t="e">
        <v>#N/A</v>
      </c>
      <c r="Z109" s="66" t="e">
        <v>#N/A</v>
      </c>
      <c r="AA109" s="66" t="e">
        <v>#N/A</v>
      </c>
      <c r="AB109" s="66" t="e">
        <v>#N/A</v>
      </c>
      <c r="AC109" s="66" t="e">
        <v>#N/A</v>
      </c>
    </row>
    <row r="110" spans="1:29" s="43" customFormat="1" x14ac:dyDescent="0.3">
      <c r="A110" s="3"/>
      <c r="B110" s="68" t="str">
        <v>Pam</v>
      </c>
      <c r="C110" s="68"/>
      <c r="D110" s="68"/>
      <c r="E110" s="68"/>
      <c r="F110" s="95"/>
      <c r="G110" s="68"/>
      <c r="H110" s="66" t="e">
        <v>#VALUE!</v>
      </c>
      <c r="I110" s="66" t="e">
        <v>#N/A</v>
      </c>
      <c r="J110" s="66" t="e">
        <v>#N/A</v>
      </c>
      <c r="K110" s="66" t="e">
        <v>#N/A</v>
      </c>
      <c r="L110" s="66" t="e">
        <v>#N/A</v>
      </c>
      <c r="M110" s="66" t="e">
        <v>#N/A</v>
      </c>
      <c r="N110" s="66" t="e">
        <v>#N/A</v>
      </c>
      <c r="O110" s="66" t="e">
        <v>#N/A</v>
      </c>
      <c r="P110" s="66" t="e">
        <v>#N/A</v>
      </c>
      <c r="Q110" s="66" t="e">
        <v>#N/A</v>
      </c>
      <c r="R110" s="66" t="e">
        <v>#N/A</v>
      </c>
      <c r="S110" s="66" t="e">
        <v>#N/A</v>
      </c>
      <c r="T110" s="66" t="e">
        <v>#N/A</v>
      </c>
      <c r="U110" s="66" t="e">
        <v>#N/A</v>
      </c>
      <c r="V110" s="66" t="e">
        <v>#N/A</v>
      </c>
      <c r="W110" s="66" t="e">
        <v>#N/A</v>
      </c>
      <c r="X110" s="66" t="e">
        <v>#N/A</v>
      </c>
      <c r="Y110" s="66" t="e">
        <v>#N/A</v>
      </c>
      <c r="Z110" s="66" t="e">
        <v>#N/A</v>
      </c>
      <c r="AA110" s="66" t="e">
        <v>#N/A</v>
      </c>
      <c r="AB110" s="66" t="e">
        <v>#N/A</v>
      </c>
      <c r="AC110" s="66" t="e">
        <v>#N/A</v>
      </c>
    </row>
    <row r="111" spans="1:29" s="43" customFormat="1" x14ac:dyDescent="0.3">
      <c r="A111" s="3"/>
      <c r="B111" s="68" t="str">
        <v>Reinhard</v>
      </c>
      <c r="C111" s="68"/>
      <c r="D111" s="68"/>
      <c r="E111" s="68"/>
      <c r="F111" s="95"/>
      <c r="G111" s="68"/>
      <c r="H111" s="66" t="e">
        <v>#VALUE!</v>
      </c>
      <c r="I111" s="66" t="e">
        <v>#N/A</v>
      </c>
      <c r="J111" s="66" t="e">
        <v>#N/A</v>
      </c>
      <c r="K111" s="66" t="e">
        <v>#N/A</v>
      </c>
      <c r="L111" s="66" t="e">
        <v>#N/A</v>
      </c>
      <c r="M111" s="66" t="e">
        <v>#N/A</v>
      </c>
      <c r="N111" s="66" t="e">
        <v>#N/A</v>
      </c>
      <c r="O111" s="66" t="e">
        <v>#N/A</v>
      </c>
      <c r="P111" s="66" t="e">
        <v>#N/A</v>
      </c>
      <c r="Q111" s="66" t="e">
        <v>#N/A</v>
      </c>
      <c r="R111" s="66" t="e">
        <v>#N/A</v>
      </c>
      <c r="S111" s="66" t="e">
        <v>#N/A</v>
      </c>
      <c r="T111" s="66" t="e">
        <v>#N/A</v>
      </c>
      <c r="U111" s="66" t="e">
        <v>#N/A</v>
      </c>
      <c r="V111" s="66" t="e">
        <v>#N/A</v>
      </c>
      <c r="W111" s="66" t="e">
        <v>#N/A</v>
      </c>
      <c r="X111" s="66" t="e">
        <v>#N/A</v>
      </c>
      <c r="Y111" s="66" t="e">
        <v>#N/A</v>
      </c>
      <c r="Z111" s="66" t="e">
        <v>#N/A</v>
      </c>
      <c r="AA111" s="66" t="e">
        <v>#N/A</v>
      </c>
      <c r="AB111" s="66" t="e">
        <v>#N/A</v>
      </c>
      <c r="AC111" s="66" t="e">
        <v>#N/A</v>
      </c>
    </row>
    <row r="112" spans="1:29" s="43" customFormat="1" x14ac:dyDescent="0.3">
      <c r="A112" s="3"/>
      <c r="B112" s="68" t="str">
        <v>Liam</v>
      </c>
      <c r="C112" s="68"/>
      <c r="D112" s="68"/>
      <c r="E112" s="68"/>
      <c r="F112" s="95"/>
      <c r="G112" s="68"/>
      <c r="H112" s="66" t="e">
        <v>#VALUE!</v>
      </c>
      <c r="I112" s="66" t="e">
        <v>#N/A</v>
      </c>
      <c r="J112" s="66" t="e">
        <v>#N/A</v>
      </c>
      <c r="K112" s="66" t="e">
        <v>#N/A</v>
      </c>
      <c r="L112" s="66" t="e">
        <v>#N/A</v>
      </c>
      <c r="M112" s="66" t="e">
        <v>#N/A</v>
      </c>
      <c r="N112" s="66" t="e">
        <v>#N/A</v>
      </c>
      <c r="O112" s="66" t="e">
        <v>#N/A</v>
      </c>
      <c r="P112" s="66" t="e">
        <v>#N/A</v>
      </c>
      <c r="Q112" s="66" t="e">
        <v>#N/A</v>
      </c>
      <c r="R112" s="66" t="e">
        <v>#N/A</v>
      </c>
      <c r="S112" s="66" t="e">
        <v>#N/A</v>
      </c>
      <c r="T112" s="66" t="e">
        <v>#N/A</v>
      </c>
      <c r="U112" s="66" t="e">
        <v>#N/A</v>
      </c>
      <c r="V112" s="66" t="e">
        <v>#N/A</v>
      </c>
      <c r="W112" s="66" t="e">
        <v>#N/A</v>
      </c>
      <c r="X112" s="66" t="e">
        <v>#N/A</v>
      </c>
      <c r="Y112" s="66" t="e">
        <v>#N/A</v>
      </c>
      <c r="Z112" s="66" t="e">
        <v>#N/A</v>
      </c>
      <c r="AA112" s="66" t="e">
        <v>#N/A</v>
      </c>
      <c r="AB112" s="66" t="e">
        <v>#N/A</v>
      </c>
      <c r="AC112" s="66" t="e">
        <v>#N/A</v>
      </c>
    </row>
    <row r="113" spans="1:29" s="43" customFormat="1" x14ac:dyDescent="0.3">
      <c r="A113" s="3"/>
      <c r="B113" s="68" t="str">
        <v>Lee</v>
      </c>
      <c r="C113" s="68"/>
      <c r="D113" s="68"/>
      <c r="E113" s="68"/>
      <c r="F113" s="95"/>
      <c r="G113" s="68"/>
      <c r="H113" s="66" t="e">
        <v>#VALUE!</v>
      </c>
      <c r="I113" s="66" t="e">
        <v>#N/A</v>
      </c>
      <c r="J113" s="66" t="e">
        <v>#N/A</v>
      </c>
      <c r="K113" s="66" t="e">
        <v>#N/A</v>
      </c>
      <c r="L113" s="66" t="e">
        <v>#N/A</v>
      </c>
      <c r="M113" s="66" t="e">
        <v>#N/A</v>
      </c>
      <c r="N113" s="66" t="e">
        <v>#N/A</v>
      </c>
      <c r="O113" s="66" t="e">
        <v>#N/A</v>
      </c>
      <c r="P113" s="66" t="e">
        <v>#N/A</v>
      </c>
      <c r="Q113" s="66" t="e">
        <v>#N/A</v>
      </c>
      <c r="R113" s="66" t="e">
        <v>#N/A</v>
      </c>
      <c r="S113" s="66" t="e">
        <v>#N/A</v>
      </c>
      <c r="T113" s="66" t="e">
        <v>#N/A</v>
      </c>
      <c r="U113" s="66" t="e">
        <v>#N/A</v>
      </c>
      <c r="V113" s="66" t="e">
        <v>#N/A</v>
      </c>
      <c r="W113" s="66" t="e">
        <v>#N/A</v>
      </c>
      <c r="X113" s="66" t="e">
        <v>#N/A</v>
      </c>
      <c r="Y113" s="66" t="e">
        <v>#N/A</v>
      </c>
      <c r="Z113" s="66" t="e">
        <v>#N/A</v>
      </c>
      <c r="AA113" s="66" t="e">
        <v>#N/A</v>
      </c>
      <c r="AB113" s="66" t="e">
        <v>#N/A</v>
      </c>
      <c r="AC113" s="66" t="e">
        <v>#N/A</v>
      </c>
    </row>
    <row r="114" spans="1:29" s="43" customFormat="1" x14ac:dyDescent="0.3">
      <c r="A114" s="3"/>
      <c r="B114" s="68" t="str">
        <v>Petra</v>
      </c>
      <c r="C114" s="68"/>
      <c r="D114" s="68"/>
      <c r="E114" s="68"/>
      <c r="F114" s="95"/>
      <c r="G114" s="68"/>
      <c r="H114" s="66" t="e">
        <v>#VALUE!</v>
      </c>
      <c r="I114" s="66" t="e">
        <v>#N/A</v>
      </c>
      <c r="J114" s="66" t="e">
        <v>#N/A</v>
      </c>
      <c r="K114" s="66" t="e">
        <v>#N/A</v>
      </c>
      <c r="L114" s="66" t="e">
        <v>#N/A</v>
      </c>
      <c r="M114" s="66" t="e">
        <v>#N/A</v>
      </c>
      <c r="N114" s="66" t="e">
        <v>#N/A</v>
      </c>
      <c r="O114" s="66" t="e">
        <v>#N/A</v>
      </c>
      <c r="P114" s="66" t="e">
        <v>#N/A</v>
      </c>
      <c r="Q114" s="66" t="e">
        <v>#N/A</v>
      </c>
      <c r="R114" s="66" t="e">
        <v>#N/A</v>
      </c>
      <c r="S114" s="66" t="e">
        <v>#N/A</v>
      </c>
      <c r="T114" s="66" t="e">
        <v>#N/A</v>
      </c>
      <c r="U114" s="66" t="e">
        <v>#N/A</v>
      </c>
      <c r="V114" s="66" t="e">
        <v>#N/A</v>
      </c>
      <c r="W114" s="66" t="e">
        <v>#N/A</v>
      </c>
      <c r="X114" s="66" t="e">
        <v>#N/A</v>
      </c>
      <c r="Y114" s="66" t="e">
        <v>#N/A</v>
      </c>
      <c r="Z114" s="66" t="e">
        <v>#N/A</v>
      </c>
      <c r="AA114" s="66" t="e">
        <v>#N/A</v>
      </c>
      <c r="AB114" s="66" t="e">
        <v>#N/A</v>
      </c>
      <c r="AC114" s="66" t="e">
        <v>#N/A</v>
      </c>
    </row>
    <row r="115" spans="1:29" s="43" customFormat="1" x14ac:dyDescent="0.3">
      <c r="A115" s="3"/>
      <c r="B115" s="68" t="str">
        <v>Smartin</v>
      </c>
      <c r="C115" s="68"/>
      <c r="D115" s="68"/>
      <c r="E115" s="68"/>
      <c r="F115" s="95"/>
      <c r="G115" s="68"/>
      <c r="H115" s="66" t="e">
        <v>#VALUE!</v>
      </c>
      <c r="I115" s="66" t="e">
        <v>#N/A</v>
      </c>
      <c r="J115" s="66" t="e">
        <v>#N/A</v>
      </c>
      <c r="K115" s="66" t="e">
        <v>#N/A</v>
      </c>
      <c r="L115" s="66" t="e">
        <v>#N/A</v>
      </c>
      <c r="M115" s="66" t="e">
        <v>#N/A</v>
      </c>
      <c r="N115" s="66" t="e">
        <v>#N/A</v>
      </c>
      <c r="O115" s="66" t="e">
        <v>#N/A</v>
      </c>
      <c r="P115" s="66" t="e">
        <v>#N/A</v>
      </c>
      <c r="Q115" s="66" t="e">
        <v>#N/A</v>
      </c>
      <c r="R115" s="66" t="e">
        <v>#N/A</v>
      </c>
      <c r="S115" s="66" t="e">
        <v>#N/A</v>
      </c>
      <c r="T115" s="66" t="e">
        <v>#N/A</v>
      </c>
      <c r="U115" s="66" t="e">
        <v>#N/A</v>
      </c>
      <c r="V115" s="66" t="e">
        <v>#N/A</v>
      </c>
      <c r="W115" s="66" t="e">
        <v>#N/A</v>
      </c>
      <c r="X115" s="66" t="e">
        <v>#N/A</v>
      </c>
      <c r="Y115" s="66" t="e">
        <v>#N/A</v>
      </c>
      <c r="Z115" s="66" t="e">
        <v>#N/A</v>
      </c>
      <c r="AA115" s="66" t="e">
        <v>#N/A</v>
      </c>
      <c r="AB115" s="66" t="e">
        <v>#N/A</v>
      </c>
      <c r="AC115" s="66" t="e">
        <v>#N/A</v>
      </c>
    </row>
    <row r="116" spans="1:29" s="43" customFormat="1" x14ac:dyDescent="0.3">
      <c r="A116" s="3"/>
      <c r="B116" s="68" t="str">
        <v>Riaan</v>
      </c>
      <c r="C116" s="68"/>
      <c r="D116" s="68"/>
      <c r="E116" s="68"/>
      <c r="F116" s="95"/>
      <c r="G116" s="68"/>
      <c r="H116" s="67" t="e">
        <v>#VALUE!</v>
      </c>
      <c r="I116" s="66" t="e">
        <v>#N/A</v>
      </c>
      <c r="J116" s="66" t="e">
        <v>#N/A</v>
      </c>
      <c r="K116" s="66" t="e">
        <v>#N/A</v>
      </c>
      <c r="L116" s="66" t="e">
        <v>#N/A</v>
      </c>
      <c r="M116" s="66" t="e">
        <v>#N/A</v>
      </c>
      <c r="N116" s="66" t="e">
        <v>#N/A</v>
      </c>
      <c r="O116" s="66" t="e">
        <v>#N/A</v>
      </c>
      <c r="P116" s="66" t="e">
        <v>#N/A</v>
      </c>
      <c r="Q116" s="66" t="e">
        <v>#N/A</v>
      </c>
      <c r="R116" s="66" t="e">
        <v>#N/A</v>
      </c>
      <c r="S116" s="66" t="e">
        <v>#N/A</v>
      </c>
      <c r="T116" s="66" t="e">
        <v>#N/A</v>
      </c>
      <c r="U116" s="66" t="e">
        <v>#N/A</v>
      </c>
      <c r="V116" s="66" t="e">
        <v>#N/A</v>
      </c>
      <c r="W116" s="66" t="e">
        <v>#N/A</v>
      </c>
      <c r="X116" s="66" t="e">
        <v>#N/A</v>
      </c>
      <c r="Y116" s="66" t="e">
        <v>#N/A</v>
      </c>
      <c r="Z116" s="66" t="e">
        <v>#N/A</v>
      </c>
      <c r="AA116" s="66" t="e">
        <v>#N/A</v>
      </c>
      <c r="AB116" s="66" t="e">
        <v>#N/A</v>
      </c>
      <c r="AC116" s="66" t="e">
        <v>#N/A</v>
      </c>
    </row>
    <row r="117" spans="1:29" s="43" customFormat="1" x14ac:dyDescent="0.3">
      <c r="A117" s="3"/>
      <c r="B117" s="68" t="str">
        <v>Clarice</v>
      </c>
      <c r="C117" s="68"/>
      <c r="D117" s="68"/>
      <c r="E117" s="68"/>
      <c r="F117" s="95"/>
      <c r="G117" s="68"/>
      <c r="H117" s="67" t="e">
        <v>#VALUE!</v>
      </c>
      <c r="I117" s="66" t="e">
        <v>#N/A</v>
      </c>
      <c r="J117" s="66" t="e">
        <v>#N/A</v>
      </c>
      <c r="K117" s="66" t="e">
        <v>#N/A</v>
      </c>
      <c r="L117" s="66" t="e">
        <v>#N/A</v>
      </c>
      <c r="M117" s="66" t="e">
        <v>#N/A</v>
      </c>
      <c r="N117" s="66" t="e">
        <v>#N/A</v>
      </c>
      <c r="O117" s="66" t="e">
        <v>#N/A</v>
      </c>
      <c r="P117" s="66" t="e">
        <v>#N/A</v>
      </c>
      <c r="Q117" s="66" t="e">
        <v>#N/A</v>
      </c>
      <c r="R117" s="66" t="e">
        <v>#N/A</v>
      </c>
      <c r="S117" s="66" t="e">
        <v>#N/A</v>
      </c>
      <c r="T117" s="66" t="e">
        <v>#N/A</v>
      </c>
      <c r="U117" s="66" t="e">
        <v>#N/A</v>
      </c>
      <c r="V117" s="66" t="e">
        <v>#N/A</v>
      </c>
      <c r="W117" s="66" t="e">
        <v>#N/A</v>
      </c>
      <c r="X117" s="66" t="e">
        <v>#N/A</v>
      </c>
      <c r="Y117" s="66" t="e">
        <v>#N/A</v>
      </c>
      <c r="Z117" s="66" t="e">
        <v>#N/A</v>
      </c>
      <c r="AA117" s="66" t="e">
        <v>#N/A</v>
      </c>
      <c r="AB117" s="66" t="e">
        <v>#N/A</v>
      </c>
      <c r="AC117" s="66" t="e">
        <v>#N/A</v>
      </c>
    </row>
    <row r="118" spans="1:29" s="43" customFormat="1" x14ac:dyDescent="0.3">
      <c r="A118" s="3"/>
      <c r="F118" s="4"/>
      <c r="H118" s="67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</row>
    <row r="119" spans="1:29" s="43" customFormat="1" x14ac:dyDescent="0.3">
      <c r="A119" s="3"/>
      <c r="F119" s="4"/>
      <c r="H119" s="45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</row>
    <row r="120" spans="1:29" s="43" customFormat="1" x14ac:dyDescent="0.3">
      <c r="A120" s="3"/>
      <c r="F120" s="4"/>
      <c r="H120" s="45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</row>
    <row r="121" spans="1:29" s="43" customFormat="1" x14ac:dyDescent="0.3">
      <c r="A121" s="3"/>
      <c r="F121" s="4"/>
      <c r="H121" s="45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</row>
    <row r="122" spans="1:29" s="43" customFormat="1" x14ac:dyDescent="0.3">
      <c r="A122" s="3"/>
      <c r="F122" s="4"/>
      <c r="H122" s="45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</row>
    <row r="123" spans="1:29" s="43" customFormat="1" x14ac:dyDescent="0.3">
      <c r="A123" s="3"/>
      <c r="F123" s="4"/>
      <c r="H123" s="45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</row>
    <row r="124" spans="1:29" s="43" customFormat="1" x14ac:dyDescent="0.3">
      <c r="A124" s="3"/>
      <c r="F124" s="4"/>
      <c r="H124" s="45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</row>
    <row r="125" spans="1:29" s="43" customFormat="1" x14ac:dyDescent="0.3">
      <c r="A125" s="3"/>
      <c r="F125" s="4"/>
      <c r="H125" s="45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</row>
    <row r="126" spans="1:29" s="43" customFormat="1" x14ac:dyDescent="0.3">
      <c r="A126" s="3"/>
      <c r="F126" s="4"/>
      <c r="H126" s="45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</row>
    <row r="127" spans="1:29" s="43" customFormat="1" x14ac:dyDescent="0.3">
      <c r="A127" s="3"/>
      <c r="F127" s="4"/>
      <c r="H127" s="45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</row>
    <row r="128" spans="1:29" x14ac:dyDescent="0.3">
      <c r="B128" s="43"/>
      <c r="C128" s="43"/>
      <c r="D128" s="43"/>
      <c r="E128" s="43"/>
      <c r="G128" s="43"/>
      <c r="H128" s="45"/>
      <c r="I128" s="43"/>
      <c r="J128" s="43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</row>
    <row r="129" spans="7:10" x14ac:dyDescent="0.3">
      <c r="G129"/>
      <c r="H129" s="3"/>
      <c r="I129"/>
      <c r="J129" s="5"/>
    </row>
    <row r="130" spans="7:10" x14ac:dyDescent="0.3">
      <c r="G130"/>
      <c r="H130" s="3"/>
      <c r="I130"/>
      <c r="J130" s="5"/>
    </row>
    <row r="131" spans="7:10" x14ac:dyDescent="0.3">
      <c r="G131"/>
      <c r="H131" s="3"/>
      <c r="I131"/>
      <c r="J131" s="5"/>
    </row>
    <row r="132" spans="7:10" x14ac:dyDescent="0.3">
      <c r="G132"/>
      <c r="H132" s="3"/>
      <c r="I132"/>
      <c r="J132" s="5"/>
    </row>
    <row r="133" spans="7:10" x14ac:dyDescent="0.3">
      <c r="G133"/>
      <c r="H133" s="3"/>
      <c r="I133"/>
      <c r="J133" s="5"/>
    </row>
    <row r="134" spans="7:10" x14ac:dyDescent="0.3">
      <c r="G134"/>
      <c r="H134" s="3"/>
      <c r="I134"/>
      <c r="J134" s="5"/>
    </row>
    <row r="135" spans="7:10" x14ac:dyDescent="0.3">
      <c r="G135"/>
      <c r="H135" s="3"/>
      <c r="I135"/>
      <c r="J135" s="5"/>
    </row>
    <row r="136" spans="7:10" x14ac:dyDescent="0.3">
      <c r="G136"/>
      <c r="H136" s="3"/>
      <c r="I136"/>
      <c r="J136" s="5"/>
    </row>
    <row r="137" spans="7:10" x14ac:dyDescent="0.3">
      <c r="G137"/>
      <c r="H137" s="3"/>
      <c r="I137"/>
      <c r="J137" s="5"/>
    </row>
    <row r="138" spans="7:10" x14ac:dyDescent="0.3">
      <c r="G138"/>
      <c r="H138" s="3"/>
      <c r="I138"/>
      <c r="J138" s="5"/>
    </row>
    <row r="139" spans="7:10" x14ac:dyDescent="0.3">
      <c r="G139"/>
      <c r="H139" s="3"/>
      <c r="I139"/>
      <c r="J139" s="5"/>
    </row>
  </sheetData>
  <conditionalFormatting sqref="G39:AC39 B90:F90 T50:AC50 F50:P50 R50 B40:AC41 F51:AC51 F42:AC49 F74:AC89 F52:Z73 AC73">
    <cfRule type="cellIs" dxfId="30" priority="4" operator="greaterThan">
      <formula>0</formula>
    </cfRule>
  </conditionalFormatting>
  <conditionalFormatting sqref="H92:AC118">
    <cfRule type="colorScale" priority="3">
      <colorScale>
        <cfvo type="min"/>
        <cfvo type="max"/>
        <color rgb="FFFCFCFF"/>
        <color rgb="FF63BE7B"/>
      </colorScale>
    </cfRule>
  </conditionalFormatting>
  <conditionalFormatting sqref="G2:G28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{DDA4AEAC-EB23-4415-92FD-36396C34B8FF}</x14:id>
        </ext>
      </extLst>
    </cfRule>
  </conditionalFormatting>
  <conditionalFormatting sqref="H2:AC28">
    <cfRule type="colorScale" priority="6">
      <colorScale>
        <cfvo type="min"/>
        <cfvo type="max"/>
        <color rgb="FFFCFCFF"/>
        <color rgb="FFF8696B"/>
      </colorScale>
    </cfRule>
  </conditionalFormatting>
  <conditionalFormatting sqref="H38:R3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{91281246-A4DD-4F64-9ACA-D39D1F227AF5}</x14:id>
        </ext>
      </extLst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A4AEAC-EB23-4415-92FD-36396C34B8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G2:G28</xm:sqref>
        </x14:conditionalFormatting>
        <x14:conditionalFormatting xmlns:xm="http://schemas.microsoft.com/office/excel/2006/main">
          <x14:cfRule type="dataBar" id="{91281246-A4DD-4F64-9ACA-D39D1F227A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H38:R38</xm:sqref>
        </x14:conditionalFormatting>
        <x14:conditionalFormatting xmlns:xm="http://schemas.microsoft.com/office/excel/2006/main">
          <x14:cfRule type="iconSet" priority="2" id="{9F927015-1979-42CE-B106-644F084B42A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4RedToBlack" iconId="1"/>
              <x14:cfIcon iconSet="3Arrows" iconId="2"/>
            </x14:iconSet>
          </x14:cfRule>
          <xm:sqref>F2:F27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B99DF-6272-4C6F-B990-0996A4553D93}">
  <dimension ref="A1:B4"/>
  <sheetViews>
    <sheetView workbookViewId="0">
      <selection activeCell="A3" sqref="A3"/>
    </sheetView>
  </sheetViews>
  <sheetFormatPr defaultRowHeight="14.4" x14ac:dyDescent="0.3"/>
  <cols>
    <col min="1" max="1" width="57.5546875" bestFit="1" customWidth="1"/>
    <col min="3" max="3" width="17.77734375" bestFit="1" customWidth="1"/>
  </cols>
  <sheetData>
    <row r="1" spans="1:2" x14ac:dyDescent="0.3">
      <c r="A1" t="s">
        <v>145</v>
      </c>
      <c r="B1" s="77" t="s">
        <v>146</v>
      </c>
    </row>
    <row r="2" spans="1:2" x14ac:dyDescent="0.3">
      <c r="A2" t="s">
        <v>147</v>
      </c>
      <c r="B2" s="77" t="s">
        <v>146</v>
      </c>
    </row>
    <row r="3" spans="1:2" x14ac:dyDescent="0.3">
      <c r="A3" t="s">
        <v>148</v>
      </c>
    </row>
    <row r="4" spans="1:2" x14ac:dyDescent="0.3">
      <c r="A4" t="s">
        <v>149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1D528-ED0A-434F-B2AE-8B705B1ACD5D}">
  <dimension ref="C3:W29"/>
  <sheetViews>
    <sheetView workbookViewId="0">
      <selection activeCell="K30" sqref="K30"/>
    </sheetView>
  </sheetViews>
  <sheetFormatPr defaultRowHeight="14.4" x14ac:dyDescent="0.3"/>
  <sheetData>
    <row r="3" spans="3:23" x14ac:dyDescent="0.3">
      <c r="I3" t="s">
        <v>201</v>
      </c>
      <c r="J3" t="s">
        <v>202</v>
      </c>
      <c r="K3" t="s">
        <v>203</v>
      </c>
      <c r="L3" t="s">
        <v>204</v>
      </c>
      <c r="P3">
        <v>0.25</v>
      </c>
      <c r="Q3">
        <v>0.5</v>
      </c>
      <c r="R3">
        <v>0.75</v>
      </c>
      <c r="S3">
        <v>1</v>
      </c>
      <c r="T3">
        <v>1.25</v>
      </c>
      <c r="U3">
        <v>1.5</v>
      </c>
      <c r="V3">
        <v>1.75</v>
      </c>
      <c r="W3">
        <v>2</v>
      </c>
    </row>
    <row r="4" spans="3:23" x14ac:dyDescent="0.3">
      <c r="C4">
        <v>1</v>
      </c>
      <c r="D4" t="s">
        <v>46</v>
      </c>
      <c r="E4">
        <v>85.5</v>
      </c>
      <c r="F4">
        <v>3</v>
      </c>
      <c r="G4">
        <v>1</v>
      </c>
      <c r="H4">
        <v>2</v>
      </c>
      <c r="J4">
        <f>AVERAGE(M4:M29)</f>
        <v>76.932692307692307</v>
      </c>
      <c r="K4">
        <f>_xlfn.STDEV.P(M4:M29)</f>
        <v>20.216325002275589</v>
      </c>
      <c r="L4">
        <f>SUM(M4:M29)</f>
        <v>2000.25</v>
      </c>
      <c r="M4">
        <v>110.5</v>
      </c>
      <c r="N4">
        <f>M4/$J$4</f>
        <v>1.4363204599425072</v>
      </c>
      <c r="O4">
        <f t="shared" ref="O4:O29" si="0">_xlfn.NORM.DIST(M4,$J$4,$K$4,FALSE)</f>
        <v>4.9721494290009037E-3</v>
      </c>
      <c r="P4">
        <f>IF($N4&lt;=P$3,$N4,0)</f>
        <v>0</v>
      </c>
      <c r="Q4">
        <f t="shared" ref="Q4:W19" si="1">IF($N4&lt;=Q$3,$N4,0)</f>
        <v>0</v>
      </c>
      <c r="R4">
        <f t="shared" si="1"/>
        <v>0</v>
      </c>
      <c r="S4">
        <f t="shared" si="1"/>
        <v>0</v>
      </c>
      <c r="T4">
        <f t="shared" si="1"/>
        <v>0</v>
      </c>
      <c r="U4" s="103">
        <f t="shared" si="1"/>
        <v>1.4363204599425072</v>
      </c>
      <c r="V4">
        <f t="shared" si="1"/>
        <v>1.4363204599425072</v>
      </c>
      <c r="W4">
        <f t="shared" si="1"/>
        <v>1.4363204599425072</v>
      </c>
    </row>
    <row r="5" spans="3:23" x14ac:dyDescent="0.3">
      <c r="C5">
        <v>2</v>
      </c>
      <c r="D5" t="s">
        <v>48</v>
      </c>
      <c r="E5">
        <v>84.5</v>
      </c>
      <c r="F5">
        <v>4</v>
      </c>
      <c r="G5">
        <v>2</v>
      </c>
      <c r="H5">
        <v>2</v>
      </c>
      <c r="M5">
        <v>109.5</v>
      </c>
      <c r="N5">
        <f t="shared" ref="N5:N29" si="2">M5/$J$4</f>
        <v>1.4233220847394077</v>
      </c>
      <c r="O5">
        <f t="shared" si="0"/>
        <v>5.3911610868546903E-3</v>
      </c>
      <c r="P5">
        <f t="shared" ref="P5:P29" si="3">IF(N5&lt;=$P$3,N5,0)</f>
        <v>0</v>
      </c>
      <c r="Q5">
        <f t="shared" si="1"/>
        <v>0</v>
      </c>
      <c r="R5">
        <f t="shared" si="1"/>
        <v>0</v>
      </c>
      <c r="S5">
        <f t="shared" si="1"/>
        <v>0</v>
      </c>
      <c r="T5">
        <f t="shared" si="1"/>
        <v>0</v>
      </c>
      <c r="U5" s="103">
        <f t="shared" si="1"/>
        <v>1.4233220847394077</v>
      </c>
      <c r="V5">
        <f t="shared" si="1"/>
        <v>1.4233220847394077</v>
      </c>
      <c r="W5">
        <f t="shared" si="1"/>
        <v>1.4233220847394077</v>
      </c>
    </row>
    <row r="6" spans="3:23" x14ac:dyDescent="0.3">
      <c r="C6">
        <v>3</v>
      </c>
      <c r="D6" t="s">
        <v>45</v>
      </c>
      <c r="E6">
        <v>95.5</v>
      </c>
      <c r="F6">
        <v>2</v>
      </c>
      <c r="G6">
        <v>3</v>
      </c>
      <c r="H6">
        <v>-1</v>
      </c>
      <c r="M6">
        <v>108</v>
      </c>
      <c r="N6">
        <f t="shared" si="2"/>
        <v>1.4038245219347583</v>
      </c>
      <c r="O6">
        <f t="shared" si="0"/>
        <v>6.0589461445767611E-3</v>
      </c>
      <c r="P6">
        <f t="shared" si="3"/>
        <v>0</v>
      </c>
      <c r="Q6">
        <f t="shared" si="1"/>
        <v>0</v>
      </c>
      <c r="R6">
        <f t="shared" si="1"/>
        <v>0</v>
      </c>
      <c r="S6">
        <f t="shared" si="1"/>
        <v>0</v>
      </c>
      <c r="T6">
        <f t="shared" si="1"/>
        <v>0</v>
      </c>
      <c r="U6" s="103">
        <f t="shared" si="1"/>
        <v>1.4038245219347583</v>
      </c>
      <c r="V6">
        <f t="shared" si="1"/>
        <v>1.4038245219347583</v>
      </c>
      <c r="W6">
        <f t="shared" si="1"/>
        <v>1.4038245219347583</v>
      </c>
    </row>
    <row r="7" spans="3:23" x14ac:dyDescent="0.3">
      <c r="C7">
        <v>4</v>
      </c>
      <c r="D7" t="s">
        <v>44</v>
      </c>
      <c r="E7">
        <v>106</v>
      </c>
      <c r="F7">
        <v>1</v>
      </c>
      <c r="G7">
        <v>4</v>
      </c>
      <c r="H7">
        <v>-3</v>
      </c>
      <c r="M7">
        <v>107</v>
      </c>
      <c r="N7">
        <f t="shared" si="2"/>
        <v>1.3908261467316585</v>
      </c>
      <c r="O7">
        <f t="shared" si="0"/>
        <v>6.5294810704919961E-3</v>
      </c>
      <c r="P7">
        <f t="shared" si="3"/>
        <v>0</v>
      </c>
      <c r="Q7">
        <f t="shared" si="1"/>
        <v>0</v>
      </c>
      <c r="R7">
        <f t="shared" si="1"/>
        <v>0</v>
      </c>
      <c r="S7">
        <f t="shared" si="1"/>
        <v>0</v>
      </c>
      <c r="T7">
        <f t="shared" si="1"/>
        <v>0</v>
      </c>
      <c r="U7" s="103">
        <f t="shared" si="1"/>
        <v>1.3908261467316585</v>
      </c>
      <c r="V7">
        <f t="shared" si="1"/>
        <v>1.3908261467316585</v>
      </c>
      <c r="W7">
        <f t="shared" si="1"/>
        <v>1.3908261467316585</v>
      </c>
    </row>
    <row r="8" spans="3:23" x14ac:dyDescent="0.3">
      <c r="C8">
        <v>5</v>
      </c>
      <c r="D8" t="s">
        <v>53</v>
      </c>
      <c r="E8">
        <v>75.5</v>
      </c>
      <c r="F8">
        <v>10</v>
      </c>
      <c r="G8">
        <v>5</v>
      </c>
      <c r="H8">
        <v>5</v>
      </c>
      <c r="M8">
        <v>100.5</v>
      </c>
      <c r="N8">
        <f t="shared" si="2"/>
        <v>1.3063367079115111</v>
      </c>
      <c r="O8">
        <f t="shared" si="0"/>
        <v>1.0002473926913539E-2</v>
      </c>
      <c r="P8">
        <f t="shared" si="3"/>
        <v>0</v>
      </c>
      <c r="Q8">
        <f t="shared" si="1"/>
        <v>0</v>
      </c>
      <c r="R8">
        <f t="shared" si="1"/>
        <v>0</v>
      </c>
      <c r="S8">
        <f t="shared" si="1"/>
        <v>0</v>
      </c>
      <c r="T8">
        <f t="shared" si="1"/>
        <v>0</v>
      </c>
      <c r="U8" s="103">
        <f t="shared" si="1"/>
        <v>1.3063367079115111</v>
      </c>
      <c r="V8">
        <f t="shared" si="1"/>
        <v>1.3063367079115111</v>
      </c>
      <c r="W8">
        <f t="shared" si="1"/>
        <v>1.3063367079115111</v>
      </c>
    </row>
    <row r="9" spans="3:23" x14ac:dyDescent="0.3">
      <c r="C9">
        <v>6</v>
      </c>
      <c r="D9" t="s">
        <v>50</v>
      </c>
      <c r="E9">
        <v>84</v>
      </c>
      <c r="F9">
        <v>6</v>
      </c>
      <c r="G9">
        <v>6</v>
      </c>
      <c r="H9">
        <v>0</v>
      </c>
      <c r="M9">
        <v>96.5</v>
      </c>
      <c r="N9">
        <f t="shared" si="2"/>
        <v>1.2543432070991127</v>
      </c>
      <c r="O9">
        <f t="shared" si="0"/>
        <v>1.235319337642031E-2</v>
      </c>
      <c r="P9">
        <f t="shared" si="3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1"/>
        <v>0</v>
      </c>
      <c r="U9" s="103">
        <f t="shared" si="1"/>
        <v>1.2543432070991127</v>
      </c>
      <c r="V9">
        <f t="shared" si="1"/>
        <v>1.2543432070991127</v>
      </c>
      <c r="W9">
        <f t="shared" si="1"/>
        <v>1.2543432070991127</v>
      </c>
    </row>
    <row r="10" spans="3:23" x14ac:dyDescent="0.3">
      <c r="C10">
        <v>7</v>
      </c>
      <c r="D10" t="s">
        <v>57</v>
      </c>
      <c r="E10">
        <v>69.5</v>
      </c>
      <c r="F10">
        <v>14</v>
      </c>
      <c r="G10">
        <v>7</v>
      </c>
      <c r="H10">
        <v>7</v>
      </c>
      <c r="M10">
        <v>94.5</v>
      </c>
      <c r="N10">
        <f t="shared" si="2"/>
        <v>1.2283464566929134</v>
      </c>
      <c r="O10">
        <f t="shared" si="0"/>
        <v>1.352818077080723E-2</v>
      </c>
      <c r="P10">
        <f t="shared" si="3"/>
        <v>0</v>
      </c>
      <c r="Q10">
        <f t="shared" si="1"/>
        <v>0</v>
      </c>
      <c r="R10">
        <f t="shared" si="1"/>
        <v>0</v>
      </c>
      <c r="S10">
        <f t="shared" si="1"/>
        <v>0</v>
      </c>
      <c r="T10" s="103">
        <f t="shared" si="1"/>
        <v>1.2283464566929134</v>
      </c>
      <c r="U10">
        <f t="shared" si="1"/>
        <v>1.2283464566929134</v>
      </c>
      <c r="V10">
        <f t="shared" si="1"/>
        <v>1.2283464566929134</v>
      </c>
      <c r="W10">
        <f t="shared" si="1"/>
        <v>1.2283464566929134</v>
      </c>
    </row>
    <row r="11" spans="3:23" x14ac:dyDescent="0.3">
      <c r="C11">
        <v>8</v>
      </c>
      <c r="D11" t="s">
        <v>49</v>
      </c>
      <c r="E11">
        <v>84</v>
      </c>
      <c r="F11">
        <v>7</v>
      </c>
      <c r="G11">
        <v>8</v>
      </c>
      <c r="H11">
        <v>-1</v>
      </c>
      <c r="M11">
        <v>91.5</v>
      </c>
      <c r="N11">
        <f t="shared" si="2"/>
        <v>1.1893513310836146</v>
      </c>
      <c r="O11">
        <f t="shared" si="0"/>
        <v>1.522158755042829E-2</v>
      </c>
      <c r="P11">
        <f t="shared" si="3"/>
        <v>0</v>
      </c>
      <c r="Q11">
        <f t="shared" si="1"/>
        <v>0</v>
      </c>
      <c r="R11">
        <f t="shared" si="1"/>
        <v>0</v>
      </c>
      <c r="S11">
        <f t="shared" si="1"/>
        <v>0</v>
      </c>
      <c r="T11" s="103">
        <f t="shared" si="1"/>
        <v>1.1893513310836146</v>
      </c>
      <c r="U11">
        <f t="shared" si="1"/>
        <v>1.1893513310836146</v>
      </c>
      <c r="V11">
        <f t="shared" si="1"/>
        <v>1.1893513310836146</v>
      </c>
      <c r="W11">
        <f t="shared" si="1"/>
        <v>1.1893513310836146</v>
      </c>
    </row>
    <row r="12" spans="3:23" x14ac:dyDescent="0.3">
      <c r="C12">
        <v>9</v>
      </c>
      <c r="D12" t="s">
        <v>56</v>
      </c>
      <c r="E12">
        <v>71</v>
      </c>
      <c r="F12">
        <v>13</v>
      </c>
      <c r="G12">
        <v>9</v>
      </c>
      <c r="H12">
        <v>4</v>
      </c>
      <c r="M12">
        <v>86</v>
      </c>
      <c r="N12">
        <f t="shared" si="2"/>
        <v>1.1178602674665667</v>
      </c>
      <c r="O12">
        <f t="shared" si="0"/>
        <v>1.7845365361361228E-2</v>
      </c>
      <c r="P12">
        <f t="shared" si="3"/>
        <v>0</v>
      </c>
      <c r="Q12">
        <f t="shared" si="1"/>
        <v>0</v>
      </c>
      <c r="R12">
        <f t="shared" si="1"/>
        <v>0</v>
      </c>
      <c r="S12">
        <f t="shared" si="1"/>
        <v>0</v>
      </c>
      <c r="T12" s="103">
        <f t="shared" si="1"/>
        <v>1.1178602674665667</v>
      </c>
      <c r="U12">
        <f t="shared" si="1"/>
        <v>1.1178602674665667</v>
      </c>
      <c r="V12">
        <f t="shared" si="1"/>
        <v>1.1178602674665667</v>
      </c>
      <c r="W12">
        <f t="shared" si="1"/>
        <v>1.1178602674665667</v>
      </c>
    </row>
    <row r="13" spans="3:23" x14ac:dyDescent="0.3">
      <c r="C13">
        <v>10</v>
      </c>
      <c r="D13" t="s">
        <v>47</v>
      </c>
      <c r="E13">
        <v>84.5</v>
      </c>
      <c r="F13">
        <v>5</v>
      </c>
      <c r="G13">
        <v>10</v>
      </c>
      <c r="H13">
        <v>-5</v>
      </c>
      <c r="M13">
        <v>85.5</v>
      </c>
      <c r="N13">
        <f t="shared" si="2"/>
        <v>1.1113610798650169</v>
      </c>
      <c r="O13">
        <f t="shared" si="0"/>
        <v>1.8038905701912862E-2</v>
      </c>
      <c r="P13">
        <f t="shared" si="3"/>
        <v>0</v>
      </c>
      <c r="Q13">
        <f t="shared" si="1"/>
        <v>0</v>
      </c>
      <c r="R13">
        <f t="shared" si="1"/>
        <v>0</v>
      </c>
      <c r="S13">
        <f t="shared" si="1"/>
        <v>0</v>
      </c>
      <c r="T13" s="103">
        <f t="shared" si="1"/>
        <v>1.1113610798650169</v>
      </c>
      <c r="U13">
        <f t="shared" si="1"/>
        <v>1.1113610798650169</v>
      </c>
      <c r="V13">
        <f t="shared" si="1"/>
        <v>1.1113610798650169</v>
      </c>
      <c r="W13">
        <f t="shared" si="1"/>
        <v>1.1113610798650169</v>
      </c>
    </row>
    <row r="14" spans="3:23" x14ac:dyDescent="0.3">
      <c r="C14">
        <v>11</v>
      </c>
      <c r="D14" t="s">
        <v>51</v>
      </c>
      <c r="E14">
        <v>80.5</v>
      </c>
      <c r="F14">
        <v>8</v>
      </c>
      <c r="G14">
        <v>11</v>
      </c>
      <c r="H14">
        <v>-3</v>
      </c>
      <c r="M14">
        <v>81.5</v>
      </c>
      <c r="N14">
        <f t="shared" si="2"/>
        <v>1.0593675790526185</v>
      </c>
      <c r="O14">
        <f t="shared" si="0"/>
        <v>1.9236431958174888E-2</v>
      </c>
      <c r="P14">
        <f t="shared" si="3"/>
        <v>0</v>
      </c>
      <c r="Q14">
        <f t="shared" si="1"/>
        <v>0</v>
      </c>
      <c r="R14">
        <f t="shared" si="1"/>
        <v>0</v>
      </c>
      <c r="S14">
        <f t="shared" si="1"/>
        <v>0</v>
      </c>
      <c r="T14" s="103">
        <f t="shared" si="1"/>
        <v>1.0593675790526185</v>
      </c>
      <c r="U14">
        <f t="shared" si="1"/>
        <v>1.0593675790526185</v>
      </c>
      <c r="V14">
        <f t="shared" si="1"/>
        <v>1.0593675790526185</v>
      </c>
      <c r="W14">
        <f t="shared" si="1"/>
        <v>1.0593675790526185</v>
      </c>
    </row>
    <row r="15" spans="3:23" x14ac:dyDescent="0.3">
      <c r="C15">
        <v>12</v>
      </c>
      <c r="D15" t="s">
        <v>52</v>
      </c>
      <c r="E15">
        <v>76.25</v>
      </c>
      <c r="F15">
        <v>9</v>
      </c>
      <c r="G15">
        <v>12</v>
      </c>
      <c r="H15">
        <v>-3</v>
      </c>
      <c r="M15">
        <v>76.5</v>
      </c>
      <c r="N15">
        <f t="shared" si="2"/>
        <v>0.99437570303712042</v>
      </c>
      <c r="O15">
        <f t="shared" si="0"/>
        <v>1.9729150299583661E-2</v>
      </c>
      <c r="P15">
        <f t="shared" si="3"/>
        <v>0</v>
      </c>
      <c r="Q15">
        <f t="shared" si="1"/>
        <v>0</v>
      </c>
      <c r="R15">
        <f t="shared" si="1"/>
        <v>0</v>
      </c>
      <c r="S15" s="103">
        <f t="shared" si="1"/>
        <v>0.99437570303712042</v>
      </c>
      <c r="T15">
        <f t="shared" si="1"/>
        <v>0.99437570303712042</v>
      </c>
      <c r="U15">
        <f t="shared" si="1"/>
        <v>0.99437570303712042</v>
      </c>
      <c r="V15">
        <f t="shared" si="1"/>
        <v>0.99437570303712042</v>
      </c>
      <c r="W15">
        <f t="shared" si="1"/>
        <v>0.99437570303712042</v>
      </c>
    </row>
    <row r="16" spans="3:23" x14ac:dyDescent="0.3">
      <c r="C16">
        <v>13</v>
      </c>
      <c r="D16" t="s">
        <v>54</v>
      </c>
      <c r="E16">
        <v>75</v>
      </c>
      <c r="F16">
        <v>11</v>
      </c>
      <c r="G16">
        <v>13</v>
      </c>
      <c r="H16">
        <v>-2</v>
      </c>
      <c r="M16">
        <v>76</v>
      </c>
      <c r="N16">
        <f t="shared" si="2"/>
        <v>0.98787651543557053</v>
      </c>
      <c r="O16">
        <f t="shared" si="0"/>
        <v>1.9712679388423301E-2</v>
      </c>
      <c r="P16">
        <f t="shared" si="3"/>
        <v>0</v>
      </c>
      <c r="Q16">
        <f t="shared" si="1"/>
        <v>0</v>
      </c>
      <c r="R16">
        <f t="shared" si="1"/>
        <v>0</v>
      </c>
      <c r="S16" s="103">
        <f t="shared" si="1"/>
        <v>0.98787651543557053</v>
      </c>
      <c r="T16">
        <f t="shared" si="1"/>
        <v>0.98787651543557053</v>
      </c>
      <c r="U16">
        <f t="shared" si="1"/>
        <v>0.98787651543557053</v>
      </c>
      <c r="V16">
        <f t="shared" si="1"/>
        <v>0.98787651543557053</v>
      </c>
      <c r="W16">
        <f t="shared" si="1"/>
        <v>0.98787651543557053</v>
      </c>
    </row>
    <row r="17" spans="3:23" x14ac:dyDescent="0.3">
      <c r="C17">
        <v>14</v>
      </c>
      <c r="D17" t="s">
        <v>55</v>
      </c>
      <c r="E17">
        <v>72</v>
      </c>
      <c r="F17">
        <v>12</v>
      </c>
      <c r="G17">
        <v>14</v>
      </c>
      <c r="H17">
        <v>-2</v>
      </c>
      <c r="M17">
        <v>74</v>
      </c>
      <c r="N17">
        <f t="shared" si="2"/>
        <v>0.96187976502937134</v>
      </c>
      <c r="O17">
        <f t="shared" si="0"/>
        <v>1.9527120465561199E-2</v>
      </c>
      <c r="P17">
        <f t="shared" si="3"/>
        <v>0</v>
      </c>
      <c r="Q17">
        <f t="shared" si="1"/>
        <v>0</v>
      </c>
      <c r="R17">
        <f t="shared" si="1"/>
        <v>0</v>
      </c>
      <c r="S17" s="103">
        <f t="shared" si="1"/>
        <v>0.96187976502937134</v>
      </c>
      <c r="T17">
        <f t="shared" si="1"/>
        <v>0.96187976502937134</v>
      </c>
      <c r="U17">
        <f t="shared" si="1"/>
        <v>0.96187976502937134</v>
      </c>
      <c r="V17">
        <f t="shared" si="1"/>
        <v>0.96187976502937134</v>
      </c>
      <c r="W17">
        <f t="shared" si="1"/>
        <v>0.96187976502937134</v>
      </c>
    </row>
    <row r="18" spans="3:23" x14ac:dyDescent="0.3">
      <c r="C18">
        <v>15</v>
      </c>
      <c r="D18" t="s">
        <v>62</v>
      </c>
      <c r="E18">
        <v>58.5</v>
      </c>
      <c r="F18">
        <v>19</v>
      </c>
      <c r="G18">
        <v>15</v>
      </c>
      <c r="H18">
        <v>4</v>
      </c>
      <c r="M18">
        <v>71</v>
      </c>
      <c r="N18">
        <f t="shared" si="2"/>
        <v>0.92288463942007248</v>
      </c>
      <c r="O18">
        <f t="shared" si="0"/>
        <v>1.8901981816387279E-2</v>
      </c>
      <c r="P18">
        <f t="shared" si="3"/>
        <v>0</v>
      </c>
      <c r="Q18">
        <f t="shared" si="1"/>
        <v>0</v>
      </c>
      <c r="R18">
        <f t="shared" si="1"/>
        <v>0</v>
      </c>
      <c r="S18" s="103">
        <f t="shared" si="1"/>
        <v>0.92288463942007248</v>
      </c>
      <c r="T18">
        <f t="shared" si="1"/>
        <v>0.92288463942007248</v>
      </c>
      <c r="U18">
        <f t="shared" si="1"/>
        <v>0.92288463942007248</v>
      </c>
      <c r="V18">
        <f t="shared" si="1"/>
        <v>0.92288463942007248</v>
      </c>
      <c r="W18">
        <f t="shared" si="1"/>
        <v>0.92288463942007248</v>
      </c>
    </row>
    <row r="19" spans="3:23" x14ac:dyDescent="0.3">
      <c r="C19">
        <v>16</v>
      </c>
      <c r="D19" t="s">
        <v>65</v>
      </c>
      <c r="E19">
        <v>54.25</v>
      </c>
      <c r="F19">
        <v>22</v>
      </c>
      <c r="G19">
        <v>16</v>
      </c>
      <c r="H19">
        <v>6</v>
      </c>
      <c r="M19">
        <v>66.75</v>
      </c>
      <c r="N19">
        <f t="shared" si="2"/>
        <v>0.86764154480689915</v>
      </c>
      <c r="O19">
        <f t="shared" si="0"/>
        <v>1.7382712820256909E-2</v>
      </c>
      <c r="P19">
        <f t="shared" si="3"/>
        <v>0</v>
      </c>
      <c r="Q19">
        <f t="shared" si="1"/>
        <v>0</v>
      </c>
      <c r="R19">
        <f t="shared" si="1"/>
        <v>0</v>
      </c>
      <c r="S19" s="103">
        <f t="shared" si="1"/>
        <v>0.86764154480689915</v>
      </c>
      <c r="T19">
        <f t="shared" si="1"/>
        <v>0.86764154480689915</v>
      </c>
      <c r="U19">
        <f t="shared" si="1"/>
        <v>0.86764154480689915</v>
      </c>
      <c r="V19">
        <f t="shared" si="1"/>
        <v>0.86764154480689915</v>
      </c>
      <c r="W19">
        <f t="shared" si="1"/>
        <v>0.86764154480689915</v>
      </c>
    </row>
    <row r="20" spans="3:23" x14ac:dyDescent="0.3">
      <c r="C20">
        <v>17</v>
      </c>
      <c r="D20" t="s">
        <v>59</v>
      </c>
      <c r="E20">
        <v>63</v>
      </c>
      <c r="F20">
        <v>16</v>
      </c>
      <c r="G20">
        <v>17</v>
      </c>
      <c r="H20">
        <v>-1</v>
      </c>
      <c r="M20">
        <v>64</v>
      </c>
      <c r="N20">
        <f t="shared" si="2"/>
        <v>0.83189601299837523</v>
      </c>
      <c r="O20">
        <f t="shared" si="0"/>
        <v>1.608212601961553E-2</v>
      </c>
      <c r="P20">
        <f t="shared" si="3"/>
        <v>0</v>
      </c>
      <c r="Q20">
        <f t="shared" ref="Q20:W29" si="4">IF($N20&lt;=Q$3,$N20,0)</f>
        <v>0</v>
      </c>
      <c r="R20">
        <f t="shared" si="4"/>
        <v>0</v>
      </c>
      <c r="S20" s="103">
        <f t="shared" si="4"/>
        <v>0.83189601299837523</v>
      </c>
      <c r="T20">
        <f t="shared" si="4"/>
        <v>0.83189601299837523</v>
      </c>
      <c r="U20">
        <f t="shared" si="4"/>
        <v>0.83189601299837523</v>
      </c>
      <c r="V20">
        <f t="shared" si="4"/>
        <v>0.83189601299837523</v>
      </c>
      <c r="W20">
        <f t="shared" si="4"/>
        <v>0.83189601299837523</v>
      </c>
    </row>
    <row r="21" spans="3:23" x14ac:dyDescent="0.3">
      <c r="C21">
        <v>18</v>
      </c>
      <c r="D21" t="s">
        <v>58</v>
      </c>
      <c r="E21">
        <v>64</v>
      </c>
      <c r="F21">
        <v>15</v>
      </c>
      <c r="G21">
        <v>18</v>
      </c>
      <c r="H21">
        <v>-3</v>
      </c>
      <c r="M21">
        <v>64</v>
      </c>
      <c r="N21">
        <f t="shared" si="2"/>
        <v>0.83189601299837523</v>
      </c>
      <c r="O21">
        <f t="shared" si="0"/>
        <v>1.608212601961553E-2</v>
      </c>
      <c r="P21">
        <f t="shared" si="3"/>
        <v>0</v>
      </c>
      <c r="Q21">
        <f t="shared" si="4"/>
        <v>0</v>
      </c>
      <c r="R21">
        <f t="shared" si="4"/>
        <v>0</v>
      </c>
      <c r="S21" s="103">
        <f t="shared" si="4"/>
        <v>0.83189601299837523</v>
      </c>
      <c r="T21">
        <f t="shared" si="4"/>
        <v>0.83189601299837523</v>
      </c>
      <c r="U21">
        <f t="shared" si="4"/>
        <v>0.83189601299837523</v>
      </c>
      <c r="V21">
        <f t="shared" si="4"/>
        <v>0.83189601299837523</v>
      </c>
      <c r="W21">
        <f t="shared" si="4"/>
        <v>0.83189601299837523</v>
      </c>
    </row>
    <row r="22" spans="3:23" x14ac:dyDescent="0.3">
      <c r="C22">
        <v>19</v>
      </c>
      <c r="D22" t="s">
        <v>61</v>
      </c>
      <c r="E22">
        <v>60.5</v>
      </c>
      <c r="F22">
        <v>18</v>
      </c>
      <c r="G22">
        <v>19</v>
      </c>
      <c r="H22">
        <v>-1</v>
      </c>
      <c r="M22">
        <v>62.5</v>
      </c>
      <c r="N22">
        <f t="shared" si="2"/>
        <v>0.81239845019372581</v>
      </c>
      <c r="O22">
        <f t="shared" si="0"/>
        <v>1.5294458716747268E-2</v>
      </c>
      <c r="P22">
        <f t="shared" si="3"/>
        <v>0</v>
      </c>
      <c r="Q22">
        <f t="shared" si="4"/>
        <v>0</v>
      </c>
      <c r="R22">
        <f t="shared" si="4"/>
        <v>0</v>
      </c>
      <c r="S22" s="103">
        <f t="shared" si="4"/>
        <v>0.81239845019372581</v>
      </c>
      <c r="T22">
        <f t="shared" si="4"/>
        <v>0.81239845019372581</v>
      </c>
      <c r="U22">
        <f t="shared" si="4"/>
        <v>0.81239845019372581</v>
      </c>
      <c r="V22">
        <f t="shared" si="4"/>
        <v>0.81239845019372581</v>
      </c>
      <c r="W22">
        <f t="shared" si="4"/>
        <v>0.81239845019372581</v>
      </c>
    </row>
    <row r="23" spans="3:23" x14ac:dyDescent="0.3">
      <c r="C23">
        <v>20</v>
      </c>
      <c r="D23" t="s">
        <v>60</v>
      </c>
      <c r="E23">
        <v>62.5</v>
      </c>
      <c r="F23">
        <v>17</v>
      </c>
      <c r="G23">
        <v>20</v>
      </c>
      <c r="H23">
        <v>-3</v>
      </c>
      <c r="M23">
        <v>62.5</v>
      </c>
      <c r="N23">
        <f t="shared" si="2"/>
        <v>0.81239845019372581</v>
      </c>
      <c r="O23">
        <f t="shared" si="0"/>
        <v>1.5294458716747268E-2</v>
      </c>
      <c r="P23">
        <f t="shared" si="3"/>
        <v>0</v>
      </c>
      <c r="Q23">
        <f t="shared" si="4"/>
        <v>0</v>
      </c>
      <c r="R23">
        <f t="shared" si="4"/>
        <v>0</v>
      </c>
      <c r="S23" s="103">
        <f t="shared" si="4"/>
        <v>0.81239845019372581</v>
      </c>
      <c r="T23">
        <f t="shared" si="4"/>
        <v>0.81239845019372581</v>
      </c>
      <c r="U23">
        <f t="shared" si="4"/>
        <v>0.81239845019372581</v>
      </c>
      <c r="V23">
        <f t="shared" si="4"/>
        <v>0.81239845019372581</v>
      </c>
      <c r="W23">
        <f t="shared" si="4"/>
        <v>0.81239845019372581</v>
      </c>
    </row>
    <row r="24" spans="3:23" x14ac:dyDescent="0.3">
      <c r="C24">
        <v>21</v>
      </c>
      <c r="D24" t="s">
        <v>68</v>
      </c>
      <c r="E24">
        <v>46</v>
      </c>
      <c r="F24">
        <v>24</v>
      </c>
      <c r="G24">
        <v>21</v>
      </c>
      <c r="H24">
        <v>3</v>
      </c>
      <c r="M24">
        <v>58.5</v>
      </c>
      <c r="N24">
        <f t="shared" si="2"/>
        <v>0.7604049493813273</v>
      </c>
      <c r="O24">
        <f t="shared" si="0"/>
        <v>1.3022278386586397E-2</v>
      </c>
      <c r="P24">
        <f t="shared" si="3"/>
        <v>0</v>
      </c>
      <c r="Q24">
        <f t="shared" si="4"/>
        <v>0</v>
      </c>
      <c r="R24">
        <f t="shared" si="4"/>
        <v>0</v>
      </c>
      <c r="S24" s="103">
        <f t="shared" si="4"/>
        <v>0.7604049493813273</v>
      </c>
      <c r="T24">
        <f t="shared" si="4"/>
        <v>0.7604049493813273</v>
      </c>
      <c r="U24">
        <f t="shared" si="4"/>
        <v>0.7604049493813273</v>
      </c>
      <c r="V24">
        <f t="shared" si="4"/>
        <v>0.7604049493813273</v>
      </c>
      <c r="W24">
        <f t="shared" si="4"/>
        <v>0.7604049493813273</v>
      </c>
    </row>
    <row r="25" spans="3:23" x14ac:dyDescent="0.3">
      <c r="C25">
        <v>22</v>
      </c>
      <c r="D25" t="s">
        <v>63</v>
      </c>
      <c r="E25">
        <v>56</v>
      </c>
      <c r="F25">
        <v>20</v>
      </c>
      <c r="G25">
        <v>22</v>
      </c>
      <c r="H25">
        <v>-2</v>
      </c>
      <c r="M25">
        <v>57</v>
      </c>
      <c r="N25">
        <f t="shared" si="2"/>
        <v>0.74090738657667787</v>
      </c>
      <c r="O25">
        <f t="shared" si="0"/>
        <v>1.2136989396893441E-2</v>
      </c>
      <c r="P25">
        <f t="shared" si="3"/>
        <v>0</v>
      </c>
      <c r="Q25">
        <f t="shared" si="4"/>
        <v>0</v>
      </c>
      <c r="R25" s="103">
        <f t="shared" si="4"/>
        <v>0.74090738657667787</v>
      </c>
      <c r="S25">
        <f t="shared" si="4"/>
        <v>0.74090738657667787</v>
      </c>
      <c r="T25">
        <f t="shared" si="4"/>
        <v>0.74090738657667787</v>
      </c>
      <c r="U25">
        <f t="shared" si="4"/>
        <v>0.74090738657667787</v>
      </c>
      <c r="V25">
        <f t="shared" si="4"/>
        <v>0.74090738657667787</v>
      </c>
      <c r="W25">
        <f t="shared" si="4"/>
        <v>0.74090738657667787</v>
      </c>
    </row>
    <row r="26" spans="3:23" x14ac:dyDescent="0.3">
      <c r="C26">
        <v>23</v>
      </c>
      <c r="D26" t="s">
        <v>64</v>
      </c>
      <c r="E26">
        <v>55</v>
      </c>
      <c r="F26">
        <v>21</v>
      </c>
      <c r="G26">
        <v>23</v>
      </c>
      <c r="H26">
        <v>-2</v>
      </c>
      <c r="M26">
        <v>55</v>
      </c>
      <c r="N26">
        <f t="shared" si="2"/>
        <v>0.71491063617047867</v>
      </c>
      <c r="O26">
        <f t="shared" si="0"/>
        <v>1.0955287581715141E-2</v>
      </c>
      <c r="P26">
        <f t="shared" si="3"/>
        <v>0</v>
      </c>
      <c r="Q26">
        <f t="shared" si="4"/>
        <v>0</v>
      </c>
      <c r="R26" s="103">
        <f t="shared" si="4"/>
        <v>0.71491063617047867</v>
      </c>
      <c r="S26">
        <f t="shared" si="4"/>
        <v>0.71491063617047867</v>
      </c>
      <c r="T26">
        <f t="shared" si="4"/>
        <v>0.71491063617047867</v>
      </c>
      <c r="U26">
        <f t="shared" si="4"/>
        <v>0.71491063617047867</v>
      </c>
      <c r="V26">
        <f t="shared" si="4"/>
        <v>0.71491063617047867</v>
      </c>
      <c r="W26">
        <f t="shared" si="4"/>
        <v>0.71491063617047867</v>
      </c>
    </row>
    <row r="27" spans="3:23" x14ac:dyDescent="0.3">
      <c r="C27">
        <v>24</v>
      </c>
      <c r="D27" t="s">
        <v>67</v>
      </c>
      <c r="E27">
        <v>46</v>
      </c>
      <c r="F27">
        <v>25</v>
      </c>
      <c r="G27">
        <v>24</v>
      </c>
      <c r="H27">
        <v>1</v>
      </c>
      <c r="M27">
        <v>53.5</v>
      </c>
      <c r="N27">
        <f t="shared" si="2"/>
        <v>0.69541307336582925</v>
      </c>
      <c r="O27">
        <f t="shared" si="0"/>
        <v>1.0080196547497765E-2</v>
      </c>
      <c r="P27">
        <f t="shared" si="3"/>
        <v>0</v>
      </c>
      <c r="Q27">
        <f t="shared" si="4"/>
        <v>0</v>
      </c>
      <c r="R27" s="103">
        <f t="shared" si="4"/>
        <v>0.69541307336582925</v>
      </c>
      <c r="S27">
        <f t="shared" si="4"/>
        <v>0.69541307336582925</v>
      </c>
      <c r="T27">
        <f t="shared" si="4"/>
        <v>0.69541307336582925</v>
      </c>
      <c r="U27">
        <f t="shared" si="4"/>
        <v>0.69541307336582925</v>
      </c>
      <c r="V27">
        <f t="shared" si="4"/>
        <v>0.69541307336582925</v>
      </c>
      <c r="W27">
        <f t="shared" si="4"/>
        <v>0.69541307336582925</v>
      </c>
    </row>
    <row r="28" spans="3:23" x14ac:dyDescent="0.3">
      <c r="C28">
        <v>25</v>
      </c>
      <c r="D28" t="s">
        <v>66</v>
      </c>
      <c r="E28">
        <v>49</v>
      </c>
      <c r="F28">
        <v>23</v>
      </c>
      <c r="G28">
        <v>25</v>
      </c>
      <c r="H28">
        <v>-2</v>
      </c>
      <c r="M28">
        <v>51</v>
      </c>
      <c r="N28">
        <f t="shared" si="2"/>
        <v>0.66291713535808028</v>
      </c>
      <c r="O28">
        <f t="shared" si="0"/>
        <v>8.6675809521073056E-3</v>
      </c>
      <c r="P28">
        <f t="shared" si="3"/>
        <v>0</v>
      </c>
      <c r="Q28">
        <f t="shared" si="4"/>
        <v>0</v>
      </c>
      <c r="R28" s="103">
        <f t="shared" si="4"/>
        <v>0.66291713535808028</v>
      </c>
      <c r="S28">
        <f t="shared" si="4"/>
        <v>0.66291713535808028</v>
      </c>
      <c r="T28">
        <f t="shared" si="4"/>
        <v>0.66291713535808028</v>
      </c>
      <c r="U28">
        <f t="shared" si="4"/>
        <v>0.66291713535808028</v>
      </c>
      <c r="V28">
        <f t="shared" si="4"/>
        <v>0.66291713535808028</v>
      </c>
      <c r="W28">
        <f t="shared" si="4"/>
        <v>0.66291713535808028</v>
      </c>
    </row>
    <row r="29" spans="3:23" x14ac:dyDescent="0.3">
      <c r="C29">
        <v>26</v>
      </c>
      <c r="D29" t="s">
        <v>69</v>
      </c>
      <c r="E29">
        <v>35</v>
      </c>
      <c r="F29">
        <v>26</v>
      </c>
      <c r="G29">
        <v>26</v>
      </c>
      <c r="H29">
        <v>0</v>
      </c>
      <c r="M29">
        <v>37</v>
      </c>
      <c r="N29">
        <f t="shared" si="2"/>
        <v>0.48093988251468567</v>
      </c>
      <c r="O29">
        <f t="shared" si="0"/>
        <v>2.8052181072260487E-3</v>
      </c>
      <c r="P29">
        <f t="shared" si="3"/>
        <v>0</v>
      </c>
      <c r="Q29" s="103">
        <f t="shared" si="4"/>
        <v>0.48093988251468567</v>
      </c>
      <c r="R29">
        <f t="shared" si="4"/>
        <v>0.48093988251468567</v>
      </c>
      <c r="S29">
        <f t="shared" si="4"/>
        <v>0.48093988251468567</v>
      </c>
      <c r="T29">
        <f t="shared" si="4"/>
        <v>0.48093988251468567</v>
      </c>
      <c r="U29">
        <f t="shared" si="4"/>
        <v>0.48093988251468567</v>
      </c>
      <c r="V29">
        <f t="shared" si="4"/>
        <v>0.48093988251468567</v>
      </c>
      <c r="W29">
        <f t="shared" si="4"/>
        <v>0.48093988251468567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D0569-2D46-4D44-97BB-D38DA5E949C4}">
  <sheetPr codeName="Sheet2">
    <tabColor rgb="FFFF0000"/>
  </sheetPr>
  <dimension ref="A1:I99"/>
  <sheetViews>
    <sheetView showGridLines="0" workbookViewId="0">
      <selection activeCell="H84" sqref="H84"/>
    </sheetView>
  </sheetViews>
  <sheetFormatPr defaultColWidth="27.5546875" defaultRowHeight="14.4" x14ac:dyDescent="0.3"/>
  <cols>
    <col min="1" max="1" width="18" style="24" bestFit="1" customWidth="1"/>
    <col min="2" max="2" width="14.5546875" style="24" bestFit="1" customWidth="1"/>
    <col min="3" max="3" width="21.21875" style="24" bestFit="1" customWidth="1"/>
    <col min="4" max="5" width="29.77734375" style="24" bestFit="1" customWidth="1"/>
    <col min="6" max="6" width="1.44140625" customWidth="1"/>
    <col min="7" max="7" width="11" style="41" customWidth="1"/>
    <col min="8" max="8" width="2" customWidth="1"/>
  </cols>
  <sheetData>
    <row r="1" spans="1:8" s="2" customFormat="1" x14ac:dyDescent="0.3">
      <c r="A1" s="26"/>
      <c r="B1" s="26"/>
      <c r="C1" s="26"/>
      <c r="D1" s="26"/>
      <c r="E1" s="26"/>
      <c r="F1" s="30"/>
      <c r="G1" s="40"/>
    </row>
    <row r="2" spans="1:8" ht="15" thickBot="1" x14ac:dyDescent="0.35">
      <c r="A2" s="25"/>
      <c r="B2" s="25"/>
      <c r="C2" s="25"/>
      <c r="D2" s="25"/>
      <c r="E2" s="25"/>
      <c r="F2" s="22"/>
    </row>
    <row r="3" spans="1:8" ht="15" thickBot="1" x14ac:dyDescent="0.35">
      <c r="A3" s="23"/>
      <c r="B3" s="23"/>
      <c r="C3" s="23"/>
      <c r="D3" s="23"/>
      <c r="E3" s="23"/>
      <c r="F3" s="22"/>
    </row>
    <row r="4" spans="1:8" ht="15" thickBot="1" x14ac:dyDescent="0.35">
      <c r="A4" s="23"/>
      <c r="B4" s="23"/>
      <c r="C4" s="23"/>
      <c r="D4" s="23"/>
      <c r="E4" s="23"/>
      <c r="F4" s="22"/>
    </row>
    <row r="5" spans="1:8" ht="15" thickBot="1" x14ac:dyDescent="0.35">
      <c r="A5" s="23"/>
      <c r="B5" s="23"/>
      <c r="C5" s="23"/>
      <c r="D5" s="23"/>
      <c r="E5" s="23"/>
      <c r="F5" s="22"/>
    </row>
    <row r="6" spans="1:8" ht="15" thickBot="1" x14ac:dyDescent="0.35">
      <c r="A6" s="23"/>
      <c r="B6" s="23"/>
      <c r="C6" s="23"/>
      <c r="D6" s="23"/>
      <c r="E6" s="23"/>
      <c r="F6" s="22"/>
    </row>
    <row r="7" spans="1:8" ht="15" thickBot="1" x14ac:dyDescent="0.35">
      <c r="A7" s="23"/>
      <c r="B7" s="23"/>
      <c r="C7" s="23"/>
      <c r="D7" s="23"/>
      <c r="E7" s="23"/>
      <c r="F7" s="22"/>
    </row>
    <row r="8" spans="1:8" ht="15" thickBot="1" x14ac:dyDescent="0.35">
      <c r="A8" s="23"/>
      <c r="B8" s="23"/>
      <c r="C8" s="23"/>
      <c r="D8" s="23"/>
      <c r="E8" s="23"/>
      <c r="F8" s="22"/>
    </row>
    <row r="9" spans="1:8" ht="15" thickBot="1" x14ac:dyDescent="0.35">
      <c r="A9" s="23"/>
      <c r="B9" s="23"/>
      <c r="C9" s="23"/>
      <c r="D9" s="23"/>
      <c r="E9" s="23"/>
      <c r="F9" s="22"/>
    </row>
    <row r="10" spans="1:8" ht="15" thickBot="1" x14ac:dyDescent="0.35">
      <c r="A10" s="23"/>
      <c r="B10" s="23"/>
      <c r="C10" s="23"/>
      <c r="D10" s="23"/>
      <c r="E10" s="23"/>
      <c r="F10" s="22"/>
      <c r="H10" s="21"/>
    </row>
    <row r="11" spans="1:8" ht="15" thickBot="1" x14ac:dyDescent="0.35">
      <c r="A11" s="23"/>
      <c r="B11" s="23"/>
      <c r="C11" s="23"/>
      <c r="D11" s="23"/>
      <c r="E11" s="23"/>
      <c r="F11" s="22"/>
    </row>
    <row r="12" spans="1:8" ht="15" thickBot="1" x14ac:dyDescent="0.35">
      <c r="A12" s="23"/>
      <c r="B12" s="23"/>
      <c r="C12" s="23"/>
      <c r="D12" s="23"/>
      <c r="E12" s="23"/>
      <c r="F12" s="22"/>
    </row>
    <row r="13" spans="1:8" ht="15" thickBot="1" x14ac:dyDescent="0.35">
      <c r="A13" s="23"/>
      <c r="B13" s="23"/>
      <c r="C13" s="23"/>
      <c r="D13" s="23"/>
      <c r="E13" s="23"/>
      <c r="F13" s="22"/>
    </row>
    <row r="14" spans="1:8" ht="15" thickBot="1" x14ac:dyDescent="0.35">
      <c r="A14" s="23"/>
      <c r="B14" s="23"/>
      <c r="C14" s="23"/>
      <c r="D14" s="23"/>
      <c r="E14" s="23"/>
      <c r="F14" s="22"/>
    </row>
    <row r="15" spans="1:8" ht="15" thickBot="1" x14ac:dyDescent="0.35">
      <c r="A15" s="23"/>
      <c r="B15" s="23"/>
      <c r="C15" s="23"/>
      <c r="D15" s="23"/>
      <c r="E15" s="23"/>
      <c r="F15" s="22"/>
    </row>
    <row r="16" spans="1:8" ht="15" thickBot="1" x14ac:dyDescent="0.35">
      <c r="A16" s="23"/>
      <c r="B16" s="23"/>
      <c r="C16" s="23"/>
      <c r="D16" s="23"/>
      <c r="E16" s="23"/>
      <c r="F16" s="22"/>
    </row>
    <row r="17" spans="1:6" ht="15" thickBot="1" x14ac:dyDescent="0.35">
      <c r="A17" s="23"/>
      <c r="B17" s="23"/>
      <c r="C17" s="23"/>
      <c r="D17" s="23"/>
      <c r="E17" s="23"/>
      <c r="F17" s="22"/>
    </row>
    <row r="18" spans="1:6" ht="15" thickBot="1" x14ac:dyDescent="0.35">
      <c r="A18" s="23"/>
      <c r="B18" s="23"/>
      <c r="C18" s="23"/>
      <c r="D18" s="23"/>
      <c r="E18" s="23"/>
      <c r="F18" s="22"/>
    </row>
    <row r="19" spans="1:6" ht="15" thickBot="1" x14ac:dyDescent="0.35">
      <c r="A19" s="23"/>
      <c r="B19" s="23"/>
      <c r="C19" s="23"/>
      <c r="D19" s="23"/>
      <c r="E19" s="23"/>
      <c r="F19" s="22"/>
    </row>
    <row r="20" spans="1:6" ht="15" thickBot="1" x14ac:dyDescent="0.35">
      <c r="A20" s="23"/>
      <c r="B20" s="23"/>
      <c r="C20" s="23"/>
      <c r="D20" s="23"/>
      <c r="E20" s="23"/>
      <c r="F20" s="22"/>
    </row>
    <row r="21" spans="1:6" ht="15" thickBot="1" x14ac:dyDescent="0.35">
      <c r="A21" s="23"/>
      <c r="B21" s="23"/>
      <c r="C21" s="23"/>
      <c r="D21" s="23"/>
      <c r="E21" s="23"/>
      <c r="F21" s="22"/>
    </row>
    <row r="22" spans="1:6" ht="15" thickBot="1" x14ac:dyDescent="0.35">
      <c r="A22" s="23"/>
      <c r="B22" s="23"/>
      <c r="C22" s="23"/>
      <c r="D22" s="23"/>
      <c r="E22" s="23"/>
      <c r="F22" s="22"/>
    </row>
    <row r="23" spans="1:6" ht="15" thickBot="1" x14ac:dyDescent="0.35">
      <c r="A23" s="23"/>
      <c r="B23" s="23"/>
      <c r="C23" s="23"/>
      <c r="D23" s="23"/>
      <c r="E23" s="23"/>
      <c r="F23" s="22"/>
    </row>
    <row r="24" spans="1:6" ht="15" thickBot="1" x14ac:dyDescent="0.35">
      <c r="A24" s="23"/>
      <c r="B24" s="23"/>
      <c r="C24" s="23"/>
      <c r="D24" s="23"/>
      <c r="E24" s="23"/>
      <c r="F24" s="22"/>
    </row>
    <row r="25" spans="1:6" ht="15" thickBot="1" x14ac:dyDescent="0.35">
      <c r="A25" s="23"/>
      <c r="B25" s="23"/>
      <c r="C25" s="23"/>
      <c r="D25" s="23"/>
      <c r="E25" s="23"/>
      <c r="F25" s="22"/>
    </row>
    <row r="26" spans="1:6" ht="15" thickBot="1" x14ac:dyDescent="0.35">
      <c r="A26" s="23"/>
      <c r="B26" s="23"/>
      <c r="C26" s="23"/>
      <c r="D26" s="23"/>
      <c r="E26" s="23"/>
      <c r="F26" s="22"/>
    </row>
    <row r="27" spans="1:6" ht="15" thickBot="1" x14ac:dyDescent="0.35">
      <c r="A27" s="23"/>
      <c r="B27" s="23"/>
      <c r="C27" s="23"/>
      <c r="D27" s="23"/>
      <c r="E27" s="23"/>
      <c r="F27" s="22"/>
    </row>
    <row r="28" spans="1:6" ht="15" thickBot="1" x14ac:dyDescent="0.35">
      <c r="A28" s="23"/>
      <c r="B28" s="23"/>
      <c r="C28" s="23"/>
      <c r="D28" s="23"/>
      <c r="E28" s="23"/>
      <c r="F28" s="22"/>
    </row>
    <row r="29" spans="1:6" ht="15" thickBot="1" x14ac:dyDescent="0.35">
      <c r="A29" s="23"/>
      <c r="B29" s="23"/>
      <c r="C29" s="23"/>
      <c r="D29" s="23"/>
      <c r="E29" s="23"/>
      <c r="F29" s="22"/>
    </row>
    <row r="30" spans="1:6" ht="15" thickBot="1" x14ac:dyDescent="0.35">
      <c r="A30" s="23"/>
      <c r="B30" s="23"/>
      <c r="C30" s="23"/>
      <c r="D30" s="23"/>
      <c r="E30" s="23"/>
      <c r="F30" s="22"/>
    </row>
    <row r="31" spans="1:6" ht="15" thickBot="1" x14ac:dyDescent="0.35">
      <c r="A31" s="23"/>
      <c r="B31" s="23"/>
      <c r="C31" s="23"/>
      <c r="D31" s="23"/>
      <c r="E31" s="23"/>
      <c r="F31" s="22"/>
    </row>
    <row r="32" spans="1:6" ht="15" thickBot="1" x14ac:dyDescent="0.35">
      <c r="A32" s="23"/>
      <c r="B32" s="23"/>
      <c r="C32" s="23"/>
      <c r="D32" s="23"/>
      <c r="E32" s="23"/>
      <c r="F32" s="22"/>
    </row>
    <row r="33" spans="1:6" ht="15" thickBot="1" x14ac:dyDescent="0.35">
      <c r="A33" s="23"/>
      <c r="B33" s="23"/>
      <c r="C33" s="23"/>
      <c r="D33" s="23"/>
      <c r="E33" s="23"/>
      <c r="F33" s="22"/>
    </row>
    <row r="34" spans="1:6" ht="15" thickBot="1" x14ac:dyDescent="0.35">
      <c r="A34" s="23"/>
      <c r="B34" s="23"/>
      <c r="C34" s="23"/>
      <c r="D34" s="23"/>
      <c r="E34" s="23"/>
      <c r="F34" s="22"/>
    </row>
    <row r="35" spans="1:6" ht="15" thickBot="1" x14ac:dyDescent="0.35">
      <c r="A35" s="23"/>
      <c r="B35" s="23"/>
      <c r="C35" s="23"/>
      <c r="D35" s="23"/>
      <c r="E35" s="23"/>
      <c r="F35" s="22"/>
    </row>
    <row r="36" spans="1:6" ht="15" thickBot="1" x14ac:dyDescent="0.35">
      <c r="A36" s="23"/>
      <c r="B36" s="23"/>
      <c r="C36" s="23"/>
      <c r="D36" s="23"/>
      <c r="E36" s="23"/>
      <c r="F36" s="22"/>
    </row>
    <row r="37" spans="1:6" ht="15" thickBot="1" x14ac:dyDescent="0.35">
      <c r="A37" s="23"/>
      <c r="B37" s="23"/>
      <c r="C37" s="23"/>
      <c r="D37" s="23"/>
      <c r="E37" s="23"/>
      <c r="F37" s="22"/>
    </row>
    <row r="38" spans="1:6" ht="15" thickBot="1" x14ac:dyDescent="0.35">
      <c r="A38" s="23"/>
      <c r="B38" s="23"/>
      <c r="C38" s="23"/>
      <c r="D38" s="23"/>
      <c r="E38" s="23"/>
      <c r="F38" s="22"/>
    </row>
    <row r="39" spans="1:6" ht="15" thickBot="1" x14ac:dyDescent="0.35">
      <c r="A39" s="23"/>
      <c r="B39" s="23"/>
      <c r="C39" s="23"/>
      <c r="D39" s="23"/>
      <c r="E39" s="23"/>
      <c r="F39" s="22"/>
    </row>
    <row r="40" spans="1:6" ht="15" thickBot="1" x14ac:dyDescent="0.35">
      <c r="A40" s="23"/>
      <c r="B40" s="23"/>
      <c r="C40" s="23"/>
      <c r="D40" s="23"/>
      <c r="E40" s="23"/>
      <c r="F40" s="22"/>
    </row>
    <row r="41" spans="1:6" ht="15" thickBot="1" x14ac:dyDescent="0.35">
      <c r="A41" s="23"/>
      <c r="B41" s="23"/>
      <c r="C41" s="23"/>
      <c r="D41" s="23"/>
      <c r="E41" s="23"/>
      <c r="F41" s="22"/>
    </row>
    <row r="42" spans="1:6" ht="15" thickBot="1" x14ac:dyDescent="0.35">
      <c r="A42" s="23"/>
      <c r="B42" s="23"/>
      <c r="C42" s="23"/>
      <c r="D42" s="23"/>
      <c r="E42" s="23"/>
      <c r="F42" s="22"/>
    </row>
    <row r="43" spans="1:6" ht="15" thickBot="1" x14ac:dyDescent="0.35">
      <c r="A43" s="23"/>
      <c r="B43" s="23"/>
      <c r="C43" s="23"/>
      <c r="D43" s="23"/>
      <c r="E43" s="23"/>
      <c r="F43" s="22"/>
    </row>
    <row r="44" spans="1:6" ht="12.75" customHeight="1" thickBot="1" x14ac:dyDescent="0.35">
      <c r="A44" s="23"/>
      <c r="B44" s="23"/>
      <c r="C44" s="23"/>
      <c r="D44" s="23"/>
      <c r="E44" s="23"/>
      <c r="F44" s="22"/>
    </row>
    <row r="45" spans="1:6" ht="15" thickBot="1" x14ac:dyDescent="0.35">
      <c r="A45" s="23"/>
      <c r="B45" s="23"/>
      <c r="C45" s="23"/>
      <c r="D45" s="23"/>
      <c r="E45" s="23"/>
      <c r="F45" s="22"/>
    </row>
    <row r="46" spans="1:6" ht="15" thickBot="1" x14ac:dyDescent="0.35">
      <c r="A46" s="23"/>
      <c r="B46" s="23"/>
      <c r="C46" s="23"/>
      <c r="D46" s="23"/>
      <c r="E46" s="23"/>
      <c r="F46" s="22"/>
    </row>
    <row r="47" spans="1:6" ht="15" thickBot="1" x14ac:dyDescent="0.35">
      <c r="A47" s="23"/>
      <c r="B47" s="23"/>
      <c r="C47" s="23"/>
      <c r="D47" s="23"/>
      <c r="E47" s="23"/>
      <c r="F47" s="22"/>
    </row>
    <row r="48" spans="1:6" ht="15" thickBot="1" x14ac:dyDescent="0.35">
      <c r="A48" s="23"/>
      <c r="B48" s="23"/>
      <c r="C48" s="23"/>
      <c r="D48" s="23"/>
      <c r="E48" s="23"/>
      <c r="F48" s="22"/>
    </row>
    <row r="49" spans="1:9" ht="15" customHeight="1" thickBot="1" x14ac:dyDescent="0.35">
      <c r="A49" s="23"/>
      <c r="B49" s="23"/>
      <c r="C49" s="23"/>
      <c r="D49" s="23"/>
      <c r="E49" s="23"/>
      <c r="F49" s="22"/>
    </row>
    <row r="50" spans="1:9" ht="15" customHeight="1" thickBot="1" x14ac:dyDescent="0.35">
      <c r="A50" s="23"/>
      <c r="B50" s="23"/>
      <c r="C50" s="23"/>
      <c r="D50" s="23"/>
      <c r="E50" s="33"/>
      <c r="F50" s="22"/>
      <c r="I50" s="75"/>
    </row>
    <row r="51" spans="1:9" ht="15" customHeight="1" thickBot="1" x14ac:dyDescent="0.35">
      <c r="A51" s="23"/>
      <c r="B51" s="23"/>
      <c r="C51" s="23"/>
      <c r="D51" s="23"/>
      <c r="E51" s="33"/>
      <c r="F51" s="22"/>
      <c r="I51" s="75"/>
    </row>
    <row r="52" spans="1:9" ht="15" customHeight="1" thickBot="1" x14ac:dyDescent="0.35">
      <c r="A52" s="23"/>
      <c r="B52" s="23"/>
      <c r="C52" s="23"/>
      <c r="D52" s="23"/>
      <c r="E52" s="23"/>
      <c r="F52" s="22"/>
      <c r="I52" s="75"/>
    </row>
    <row r="53" spans="1:9" ht="15" customHeight="1" thickBot="1" x14ac:dyDescent="0.35">
      <c r="A53" s="23"/>
      <c r="B53" s="23"/>
      <c r="C53" s="23"/>
      <c r="D53" s="23"/>
      <c r="E53" s="23"/>
      <c r="F53" s="35"/>
      <c r="I53" s="75"/>
    </row>
    <row r="54" spans="1:9" ht="15" customHeight="1" thickBot="1" x14ac:dyDescent="0.35">
      <c r="A54" s="23"/>
      <c r="B54" s="23"/>
      <c r="C54" s="23"/>
      <c r="D54" s="23"/>
      <c r="E54" s="23"/>
      <c r="F54" s="22"/>
      <c r="I54" s="75"/>
    </row>
    <row r="55" spans="1:9" ht="15" customHeight="1" thickBot="1" x14ac:dyDescent="0.35">
      <c r="A55" s="23"/>
      <c r="B55" s="23"/>
      <c r="C55" s="23"/>
      <c r="D55" s="23"/>
      <c r="E55" s="23"/>
      <c r="F55" s="22"/>
      <c r="I55" s="75"/>
    </row>
    <row r="56" spans="1:9" ht="15" customHeight="1" thickBot="1" x14ac:dyDescent="0.35">
      <c r="A56" s="23"/>
      <c r="B56" s="23"/>
      <c r="C56" s="23"/>
      <c r="D56" s="23"/>
      <c r="E56" s="23"/>
      <c r="F56" s="22"/>
      <c r="I56" s="75"/>
    </row>
    <row r="57" spans="1:9" ht="15" customHeight="1" thickBot="1" x14ac:dyDescent="0.35">
      <c r="A57" s="23"/>
      <c r="B57" s="23"/>
      <c r="C57" s="23"/>
      <c r="D57" s="23"/>
      <c r="E57" s="23"/>
      <c r="F57" s="22"/>
      <c r="I57" s="75"/>
    </row>
    <row r="58" spans="1:9" ht="15" customHeight="1" thickBot="1" x14ac:dyDescent="0.35">
      <c r="A58" s="23"/>
      <c r="B58" s="23"/>
      <c r="C58" s="23"/>
      <c r="D58" s="33"/>
      <c r="E58" s="23"/>
      <c r="F58" s="36"/>
      <c r="I58" s="75"/>
    </row>
    <row r="59" spans="1:9" ht="15" customHeight="1" thickBot="1" x14ac:dyDescent="0.35">
      <c r="A59" s="23"/>
      <c r="B59" s="23"/>
      <c r="C59" s="23"/>
      <c r="D59" s="23"/>
      <c r="E59" s="23"/>
      <c r="F59" s="22"/>
      <c r="I59" s="75"/>
    </row>
    <row r="60" spans="1:9" ht="15" customHeight="1" thickBot="1" x14ac:dyDescent="0.35">
      <c r="A60" s="23"/>
      <c r="B60" s="23"/>
      <c r="C60" s="23"/>
      <c r="D60" s="23"/>
      <c r="E60" s="23"/>
      <c r="F60" s="22"/>
      <c r="I60" s="75"/>
    </row>
    <row r="61" spans="1:9" ht="15" customHeight="1" thickBot="1" x14ac:dyDescent="0.35">
      <c r="A61" s="23"/>
      <c r="B61" s="23"/>
      <c r="C61" s="23"/>
      <c r="D61" s="23"/>
      <c r="E61" s="23"/>
      <c r="F61" s="22"/>
      <c r="I61" s="75"/>
    </row>
    <row r="62" spans="1:9" ht="15" customHeight="1" thickBot="1" x14ac:dyDescent="0.35">
      <c r="A62" s="23"/>
      <c r="B62" s="23"/>
      <c r="C62" s="23"/>
      <c r="D62" s="33"/>
      <c r="E62" s="23"/>
      <c r="F62" s="22"/>
      <c r="I62" s="75"/>
    </row>
    <row r="63" spans="1:9" ht="15" customHeight="1" thickBot="1" x14ac:dyDescent="0.35">
      <c r="A63" s="23"/>
      <c r="B63" s="23"/>
      <c r="C63" s="23"/>
      <c r="D63" s="23"/>
      <c r="E63" s="23"/>
      <c r="F63" s="35"/>
      <c r="I63" s="75"/>
    </row>
    <row r="64" spans="1:9" ht="15" customHeight="1" thickBot="1" x14ac:dyDescent="0.35">
      <c r="A64" s="23"/>
      <c r="B64" s="23"/>
      <c r="C64" s="23"/>
      <c r="D64" s="23"/>
      <c r="E64" s="23"/>
      <c r="F64" s="22"/>
      <c r="I64" s="75"/>
    </row>
    <row r="65" spans="1:9" ht="15" customHeight="1" thickBot="1" x14ac:dyDescent="0.35">
      <c r="A65" s="23"/>
      <c r="B65" s="23"/>
      <c r="C65" s="23"/>
      <c r="D65" s="23"/>
      <c r="E65" s="34"/>
      <c r="F65" s="35"/>
      <c r="I65" s="75"/>
    </row>
    <row r="66" spans="1:9" ht="15" customHeight="1" thickBot="1" x14ac:dyDescent="0.35">
      <c r="A66" s="23"/>
      <c r="B66" s="23"/>
      <c r="C66" s="23"/>
      <c r="D66" s="23"/>
      <c r="E66" s="23"/>
      <c r="F66" s="22"/>
      <c r="I66" s="75"/>
    </row>
    <row r="67" spans="1:9" ht="15" customHeight="1" thickBot="1" x14ac:dyDescent="0.35">
      <c r="A67" s="23"/>
      <c r="B67" s="23"/>
      <c r="C67" s="23"/>
      <c r="D67" s="23"/>
      <c r="E67" s="23"/>
      <c r="F67" s="22"/>
      <c r="I67" s="75"/>
    </row>
    <row r="68" spans="1:9" ht="15" customHeight="1" thickBot="1" x14ac:dyDescent="0.35">
      <c r="A68" s="23"/>
      <c r="B68" s="23"/>
      <c r="C68" s="23"/>
      <c r="D68" s="23"/>
      <c r="E68" s="23"/>
      <c r="F68" s="22"/>
      <c r="I68" s="75"/>
    </row>
    <row r="69" spans="1:9" ht="15" customHeight="1" thickBot="1" x14ac:dyDescent="0.35">
      <c r="A69" s="23"/>
      <c r="B69" s="23"/>
      <c r="C69" s="23"/>
      <c r="D69" s="23"/>
      <c r="E69" s="23"/>
      <c r="F69" s="22"/>
      <c r="I69" s="75"/>
    </row>
    <row r="70" spans="1:9" ht="15" customHeight="1" thickBot="1" x14ac:dyDescent="0.35">
      <c r="A70" s="23"/>
      <c r="B70" s="23"/>
      <c r="C70" s="23"/>
      <c r="D70" s="23"/>
      <c r="E70" s="33"/>
      <c r="F70" s="22"/>
      <c r="I70" s="75"/>
    </row>
    <row r="71" spans="1:9" ht="15" customHeight="1" thickBot="1" x14ac:dyDescent="0.35">
      <c r="A71" s="23"/>
      <c r="B71" s="23"/>
      <c r="C71" s="23"/>
      <c r="D71" s="23"/>
      <c r="E71" s="23"/>
      <c r="F71" s="22"/>
      <c r="I71" s="75"/>
    </row>
    <row r="72" spans="1:9" ht="15" customHeight="1" thickBot="1" x14ac:dyDescent="0.35">
      <c r="A72" s="23"/>
      <c r="B72" s="23"/>
      <c r="C72" s="23"/>
      <c r="D72" s="33"/>
      <c r="E72" s="23"/>
      <c r="F72" s="36"/>
      <c r="I72" s="75"/>
    </row>
    <row r="73" spans="1:9" ht="15" customHeight="1" thickBot="1" x14ac:dyDescent="0.35">
      <c r="A73" s="23"/>
      <c r="B73" s="23"/>
      <c r="C73" s="23"/>
      <c r="D73" s="23"/>
      <c r="E73" s="23"/>
      <c r="F73" s="22"/>
      <c r="I73" s="75"/>
    </row>
    <row r="74" spans="1:9" ht="15" customHeight="1" thickBot="1" x14ac:dyDescent="0.35">
      <c r="A74" s="23"/>
      <c r="B74" s="23"/>
      <c r="C74" s="23"/>
      <c r="D74" s="23"/>
      <c r="E74" s="23"/>
      <c r="F74" s="22"/>
      <c r="I74" s="75"/>
    </row>
    <row r="75" spans="1:9" ht="15" customHeight="1" thickBot="1" x14ac:dyDescent="0.35">
      <c r="A75" s="23"/>
      <c r="B75" s="23"/>
      <c r="C75" s="23"/>
      <c r="D75" s="23"/>
      <c r="E75" s="47"/>
    </row>
    <row r="76" spans="1:9" ht="15" customHeight="1" thickBot="1" x14ac:dyDescent="0.35">
      <c r="A76" s="23"/>
      <c r="B76" s="23"/>
      <c r="C76" s="23"/>
      <c r="D76" s="23"/>
      <c r="E76" s="48"/>
    </row>
    <row r="77" spans="1:9" ht="15" customHeight="1" thickBot="1" x14ac:dyDescent="0.35">
      <c r="A77" s="23"/>
      <c r="B77" s="23"/>
      <c r="C77" s="23"/>
      <c r="D77" s="23"/>
      <c r="E77" s="48"/>
    </row>
    <row r="78" spans="1:9" ht="15" customHeight="1" thickBot="1" x14ac:dyDescent="0.35">
      <c r="A78" s="23"/>
      <c r="B78" s="23"/>
      <c r="C78" s="23"/>
      <c r="D78" s="23"/>
      <c r="E78" s="48"/>
    </row>
    <row r="79" spans="1:9" ht="15" customHeight="1" thickBot="1" x14ac:dyDescent="0.35">
      <c r="A79" s="23"/>
      <c r="B79" s="23"/>
      <c r="C79" s="23"/>
      <c r="D79" s="23"/>
      <c r="E79" s="48"/>
    </row>
    <row r="80" spans="1:9" ht="15" customHeight="1" thickBot="1" x14ac:dyDescent="0.35">
      <c r="A80" s="23"/>
      <c r="B80" s="23"/>
      <c r="C80" s="23"/>
      <c r="D80" s="23"/>
      <c r="E80" s="48"/>
    </row>
    <row r="81" spans="1:5" ht="15" customHeight="1" thickBot="1" x14ac:dyDescent="0.35">
      <c r="A81" s="23"/>
      <c r="B81" s="23"/>
      <c r="C81" s="23"/>
      <c r="D81" s="23"/>
      <c r="E81" s="48"/>
    </row>
    <row r="82" spans="1:5" ht="15" customHeight="1" thickBot="1" x14ac:dyDescent="0.35">
      <c r="A82" s="23"/>
      <c r="B82" s="23"/>
      <c r="C82" s="23"/>
      <c r="D82" s="23"/>
      <c r="E82" s="48"/>
    </row>
    <row r="83" spans="1:5" ht="15" customHeight="1" thickBot="1" x14ac:dyDescent="0.35">
      <c r="A83" s="23"/>
      <c r="B83" s="23"/>
      <c r="C83" s="23"/>
      <c r="D83" s="23"/>
      <c r="E83" s="48"/>
    </row>
    <row r="84" spans="1:5" ht="15" customHeight="1" thickBot="1" x14ac:dyDescent="0.35">
      <c r="A84" s="23"/>
      <c r="B84" s="23"/>
      <c r="C84" s="23"/>
      <c r="D84" s="23"/>
      <c r="E84" s="48"/>
    </row>
    <row r="85" spans="1:5" ht="15" customHeight="1" thickBot="1" x14ac:dyDescent="0.35">
      <c r="A85" s="23"/>
      <c r="B85" s="23"/>
      <c r="C85" s="23"/>
      <c r="D85" s="23"/>
      <c r="E85" s="48"/>
    </row>
    <row r="86" spans="1:5" ht="15" customHeight="1" thickBot="1" x14ac:dyDescent="0.35">
      <c r="A86" s="23"/>
      <c r="B86" s="23"/>
      <c r="C86" s="23"/>
      <c r="D86" s="23"/>
      <c r="E86" s="48"/>
    </row>
    <row r="87" spans="1:5" ht="15" customHeight="1" thickBot="1" x14ac:dyDescent="0.35">
      <c r="A87" s="23"/>
      <c r="B87" s="23"/>
      <c r="C87" s="23"/>
      <c r="D87" s="23"/>
      <c r="E87" s="48"/>
    </row>
    <row r="88" spans="1:5" ht="15" customHeight="1" thickBot="1" x14ac:dyDescent="0.35">
      <c r="A88" s="23"/>
      <c r="B88" s="23"/>
      <c r="C88" s="23"/>
      <c r="D88" s="23"/>
      <c r="E88" s="48"/>
    </row>
    <row r="89" spans="1:5" ht="15" customHeight="1" thickBot="1" x14ac:dyDescent="0.35">
      <c r="A89" s="23"/>
      <c r="B89" s="23"/>
      <c r="C89" s="23"/>
      <c r="D89" s="23"/>
      <c r="E89" s="48"/>
    </row>
    <row r="90" spans="1:5" ht="15" customHeight="1" thickBot="1" x14ac:dyDescent="0.35">
      <c r="A90" s="23"/>
      <c r="B90" s="23"/>
      <c r="C90" s="23"/>
      <c r="D90" s="23"/>
      <c r="E90" s="48"/>
    </row>
    <row r="91" spans="1:5" ht="15" customHeight="1" thickBot="1" x14ac:dyDescent="0.35">
      <c r="A91" s="23"/>
      <c r="B91" s="23"/>
      <c r="C91" s="23"/>
      <c r="D91" s="23"/>
      <c r="E91" s="48"/>
    </row>
    <row r="92" spans="1:5" ht="15" customHeight="1" thickBot="1" x14ac:dyDescent="0.35">
      <c r="A92" s="23"/>
      <c r="B92" s="23"/>
      <c r="C92" s="23"/>
      <c r="D92" s="23"/>
      <c r="E92" s="48"/>
    </row>
    <row r="93" spans="1:5" ht="15" customHeight="1" thickBot="1" x14ac:dyDescent="0.35">
      <c r="A93" s="23"/>
      <c r="B93" s="23"/>
      <c r="C93" s="23"/>
      <c r="D93" s="23"/>
      <c r="E93" s="48"/>
    </row>
    <row r="94" spans="1:5" ht="15" customHeight="1" thickBot="1" x14ac:dyDescent="0.35">
      <c r="A94" s="23"/>
      <c r="B94" s="23"/>
      <c r="C94" s="23"/>
      <c r="D94" s="23"/>
      <c r="E94" s="48"/>
    </row>
    <row r="95" spans="1:5" ht="15" customHeight="1" thickBot="1" x14ac:dyDescent="0.35">
      <c r="A95" s="23"/>
      <c r="B95" s="23"/>
      <c r="C95" s="23"/>
      <c r="D95" s="23"/>
      <c r="E95" s="48"/>
    </row>
    <row r="96" spans="1:5" ht="15" customHeight="1" thickBot="1" x14ac:dyDescent="0.35">
      <c r="A96" s="23"/>
      <c r="B96" s="23"/>
      <c r="C96" s="23"/>
      <c r="D96" s="23"/>
      <c r="E96" s="48"/>
    </row>
    <row r="97" spans="1:5" ht="15" customHeight="1" thickBot="1" x14ac:dyDescent="0.35">
      <c r="A97" s="23"/>
      <c r="B97" s="23"/>
      <c r="C97" s="23"/>
      <c r="D97" s="23"/>
      <c r="E97" s="48"/>
    </row>
    <row r="98" spans="1:5" ht="15" customHeight="1" thickBot="1" x14ac:dyDescent="0.35">
      <c r="A98" s="23"/>
      <c r="B98" s="23"/>
      <c r="C98" s="23"/>
      <c r="D98" s="23"/>
      <c r="E98" s="48"/>
    </row>
    <row r="99" spans="1:5" ht="15" customHeight="1" thickBot="1" x14ac:dyDescent="0.35">
      <c r="A99" s="23"/>
      <c r="B99" s="37"/>
      <c r="C99" s="37"/>
      <c r="D99" s="37"/>
      <c r="E99" s="49"/>
    </row>
  </sheetData>
  <conditionalFormatting sqref="G2:G83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{6EA5EDBE-0616-4533-A4DE-75DC6509A9B8}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A5EDBE-0616-4533-A4DE-75DC6509A9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G2:G838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15E37-9B81-4860-858E-DDE95B9DEC14}">
  <sheetPr codeName="Sheet4"/>
  <dimension ref="B2:E47"/>
  <sheetViews>
    <sheetView workbookViewId="0">
      <selection activeCell="E26" sqref="E26"/>
    </sheetView>
  </sheetViews>
  <sheetFormatPr defaultRowHeight="14.4" x14ac:dyDescent="0.3"/>
  <sheetData>
    <row r="2" spans="2:5" ht="18" x14ac:dyDescent="0.35">
      <c r="B2" s="16" t="s">
        <v>144</v>
      </c>
      <c r="C2" s="17"/>
      <c r="D2" s="18"/>
      <c r="E2" s="18"/>
    </row>
    <row r="3" spans="2:5" x14ac:dyDescent="0.3">
      <c r="B3" s="15" t="s">
        <v>150</v>
      </c>
      <c r="C3" s="17" t="e">
        <f>SUM(#REF!)</f>
        <v>#REF!</v>
      </c>
      <c r="D3" s="18">
        <v>0</v>
      </c>
      <c r="E3" s="18">
        <v>0</v>
      </c>
    </row>
    <row r="4" spans="2:5" x14ac:dyDescent="0.3">
      <c r="B4" s="15" t="s">
        <v>151</v>
      </c>
      <c r="C4" s="17" t="e">
        <f>SUM(#REF!)</f>
        <v>#REF!</v>
      </c>
      <c r="D4" s="18">
        <v>0</v>
      </c>
      <c r="E4" s="18">
        <v>0</v>
      </c>
    </row>
    <row r="5" spans="2:5" x14ac:dyDescent="0.3">
      <c r="B5" s="15" t="s">
        <v>152</v>
      </c>
      <c r="C5" s="17" t="e">
        <f>SUM(#REF!)</f>
        <v>#REF!</v>
      </c>
      <c r="D5" s="18">
        <v>0</v>
      </c>
      <c r="E5" s="19">
        <v>15</v>
      </c>
    </row>
    <row r="6" spans="2:5" ht="28.8" x14ac:dyDescent="0.3">
      <c r="B6" s="15" t="s">
        <v>153</v>
      </c>
      <c r="C6" s="17" t="e">
        <f>SUM(#REF!)</f>
        <v>#REF!</v>
      </c>
      <c r="D6" s="18">
        <v>2</v>
      </c>
      <c r="E6" s="18" t="s">
        <v>154</v>
      </c>
    </row>
    <row r="7" spans="2:5" x14ac:dyDescent="0.3">
      <c r="B7" s="15" t="s">
        <v>155</v>
      </c>
      <c r="C7" s="17" t="e">
        <f>SUM(#REF!)</f>
        <v>#REF!</v>
      </c>
      <c r="D7" s="20">
        <v>18</v>
      </c>
      <c r="E7" s="18" t="s">
        <v>156</v>
      </c>
    </row>
    <row r="8" spans="2:5" x14ac:dyDescent="0.3">
      <c r="B8" s="15" t="s">
        <v>157</v>
      </c>
      <c r="C8" s="17" t="e">
        <f>SUM(#REF!)</f>
        <v>#REF!</v>
      </c>
      <c r="D8" s="18">
        <v>1</v>
      </c>
      <c r="E8" s="18">
        <v>0</v>
      </c>
    </row>
    <row r="9" spans="2:5" x14ac:dyDescent="0.3">
      <c r="B9" s="15" t="s">
        <v>158</v>
      </c>
      <c r="C9" s="17" t="e">
        <f>SUM(#REF!)</f>
        <v>#REF!</v>
      </c>
      <c r="D9" s="18">
        <v>10</v>
      </c>
      <c r="E9" s="18">
        <v>8</v>
      </c>
    </row>
    <row r="10" spans="2:5" x14ac:dyDescent="0.3">
      <c r="B10" t="s">
        <v>159</v>
      </c>
      <c r="C10" s="5" t="e">
        <f>SUM(#REF!)</f>
        <v>#REF!</v>
      </c>
      <c r="D10" s="9">
        <v>8</v>
      </c>
      <c r="E10" s="9">
        <v>0</v>
      </c>
    </row>
    <row r="11" spans="2:5" x14ac:dyDescent="0.3">
      <c r="B11" t="s">
        <v>160</v>
      </c>
      <c r="C11" s="7" t="e">
        <f>SUM(#REF!)</f>
        <v>#REF!</v>
      </c>
      <c r="D11" s="10">
        <v>25</v>
      </c>
      <c r="E11" s="9">
        <v>0</v>
      </c>
    </row>
    <row r="12" spans="2:5" x14ac:dyDescent="0.3">
      <c r="B12" t="s">
        <v>161</v>
      </c>
      <c r="C12" s="5" t="e">
        <f>SUM(#REF!)</f>
        <v>#REF!</v>
      </c>
      <c r="D12" s="9">
        <v>0</v>
      </c>
      <c r="E12" s="9">
        <v>4</v>
      </c>
    </row>
    <row r="13" spans="2:5" x14ac:dyDescent="0.3">
      <c r="B13" t="s">
        <v>162</v>
      </c>
      <c r="C13" s="5" t="e">
        <f>SUM(#REF!)</f>
        <v>#REF!</v>
      </c>
      <c r="D13" s="9">
        <v>12</v>
      </c>
      <c r="E13" s="9" t="s">
        <v>163</v>
      </c>
    </row>
    <row r="14" spans="2:5" x14ac:dyDescent="0.3">
      <c r="B14" t="s">
        <v>164</v>
      </c>
      <c r="C14" s="5" t="e">
        <f>SUM(#REF!)</f>
        <v>#REF!</v>
      </c>
      <c r="D14" s="9">
        <v>0</v>
      </c>
      <c r="E14" s="9">
        <v>1</v>
      </c>
    </row>
    <row r="15" spans="2:5" x14ac:dyDescent="0.3">
      <c r="B15" t="s">
        <v>165</v>
      </c>
      <c r="C15" s="5" t="e">
        <f>SUM(#REF!)</f>
        <v>#REF!</v>
      </c>
      <c r="D15" s="9">
        <v>0.5</v>
      </c>
      <c r="E15" s="9">
        <v>12</v>
      </c>
    </row>
    <row r="16" spans="2:5" x14ac:dyDescent="0.3">
      <c r="B16" t="s">
        <v>166</v>
      </c>
      <c r="C16" s="5" t="e">
        <f>SUM(#REF!)</f>
        <v>#REF!</v>
      </c>
      <c r="D16" s="9">
        <v>0</v>
      </c>
      <c r="E16" s="9">
        <v>0</v>
      </c>
    </row>
    <row r="17" spans="2:5" x14ac:dyDescent="0.3">
      <c r="B17" t="s">
        <v>167</v>
      </c>
      <c r="C17" s="5" t="e">
        <f>SUM(#REF!)</f>
        <v>#REF!</v>
      </c>
      <c r="D17" s="9">
        <v>4</v>
      </c>
      <c r="E17" s="9">
        <v>10</v>
      </c>
    </row>
    <row r="18" spans="2:5" x14ac:dyDescent="0.3">
      <c r="B18" t="s">
        <v>168</v>
      </c>
      <c r="C18" s="5" t="e">
        <f>SUM(#REF!)</f>
        <v>#REF!</v>
      </c>
      <c r="D18" s="9">
        <v>0</v>
      </c>
      <c r="E18" s="9">
        <v>0</v>
      </c>
    </row>
    <row r="19" spans="2:5" x14ac:dyDescent="0.3">
      <c r="B19" t="s">
        <v>169</v>
      </c>
      <c r="C19" s="5" t="e">
        <f>SUM(#REF!)</f>
        <v>#REF!</v>
      </c>
      <c r="D19" s="9">
        <v>0</v>
      </c>
      <c r="E19" s="9">
        <v>0</v>
      </c>
    </row>
    <row r="20" spans="2:5" x14ac:dyDescent="0.3">
      <c r="B20" t="s">
        <v>170</v>
      </c>
      <c r="C20" s="6" t="e">
        <f>SUM(#REF!)</f>
        <v>#REF!</v>
      </c>
      <c r="D20" s="12">
        <v>15</v>
      </c>
      <c r="E20" s="10">
        <v>25</v>
      </c>
    </row>
    <row r="21" spans="2:5" x14ac:dyDescent="0.3">
      <c r="B21" t="s">
        <v>171</v>
      </c>
      <c r="C21" s="5" t="e">
        <f>SUM(#REF!)</f>
        <v>#REF!</v>
      </c>
      <c r="D21" s="9">
        <v>0</v>
      </c>
      <c r="E21" s="9">
        <v>0</v>
      </c>
    </row>
    <row r="22" spans="2:5" x14ac:dyDescent="0.3">
      <c r="B22" t="s">
        <v>172</v>
      </c>
      <c r="C22" s="8" t="e">
        <f>SUM(#REF!)</f>
        <v>#REF!</v>
      </c>
      <c r="D22" s="9">
        <v>6</v>
      </c>
      <c r="E22" s="11">
        <v>18</v>
      </c>
    </row>
    <row r="23" spans="2:5" x14ac:dyDescent="0.3">
      <c r="C23" s="5"/>
      <c r="D23" s="9"/>
      <c r="E23" s="9"/>
    </row>
    <row r="24" spans="2:5" ht="18" x14ac:dyDescent="0.35">
      <c r="B24" s="1" t="s">
        <v>173</v>
      </c>
      <c r="C24" s="5"/>
      <c r="D24" s="9"/>
      <c r="E24" s="9"/>
    </row>
    <row r="25" spans="2:5" x14ac:dyDescent="0.3">
      <c r="B25" t="s">
        <v>150</v>
      </c>
      <c r="C25" s="5"/>
      <c r="D25" s="9"/>
      <c r="E25" s="9" t="s">
        <v>174</v>
      </c>
    </row>
    <row r="26" spans="2:5" x14ac:dyDescent="0.3">
      <c r="B26" t="s">
        <v>151</v>
      </c>
      <c r="C26" s="5"/>
      <c r="D26" s="9"/>
      <c r="E26" s="9" t="s">
        <v>175</v>
      </c>
    </row>
    <row r="27" spans="2:5" x14ac:dyDescent="0.3">
      <c r="B27" t="s">
        <v>152</v>
      </c>
      <c r="C27" s="5"/>
      <c r="D27" s="9"/>
      <c r="E27" s="9" t="s">
        <v>176</v>
      </c>
    </row>
    <row r="28" spans="2:5" x14ac:dyDescent="0.3">
      <c r="B28" t="s">
        <v>153</v>
      </c>
      <c r="C28" s="5"/>
      <c r="D28" s="9"/>
      <c r="E28" s="9" t="s">
        <v>177</v>
      </c>
    </row>
    <row r="29" spans="2:5" x14ac:dyDescent="0.3">
      <c r="B29" t="s">
        <v>155</v>
      </c>
      <c r="C29" s="5"/>
      <c r="D29" s="9"/>
      <c r="E29" s="9" t="s">
        <v>178</v>
      </c>
    </row>
    <row r="30" spans="2:5" x14ac:dyDescent="0.3">
      <c r="B30" t="s">
        <v>157</v>
      </c>
      <c r="C30" s="5"/>
      <c r="D30" s="9"/>
      <c r="E30" s="9" t="s">
        <v>179</v>
      </c>
    </row>
    <row r="31" spans="2:5" x14ac:dyDescent="0.3">
      <c r="B31" t="s">
        <v>158</v>
      </c>
      <c r="C31" s="5"/>
      <c r="D31" s="9"/>
      <c r="E31" s="9" t="s">
        <v>180</v>
      </c>
    </row>
    <row r="32" spans="2:5" x14ac:dyDescent="0.3">
      <c r="B32" t="s">
        <v>159</v>
      </c>
      <c r="C32" s="5"/>
      <c r="D32" s="9"/>
      <c r="E32" s="9" t="s">
        <v>181</v>
      </c>
    </row>
    <row r="33" spans="2:5" x14ac:dyDescent="0.3">
      <c r="B33" t="s">
        <v>160</v>
      </c>
      <c r="C33" s="5"/>
      <c r="D33" s="9"/>
      <c r="E33" s="9" t="s">
        <v>182</v>
      </c>
    </row>
    <row r="34" spans="2:5" x14ac:dyDescent="0.3">
      <c r="B34" t="s">
        <v>161</v>
      </c>
      <c r="C34" s="5"/>
      <c r="D34" s="9"/>
      <c r="E34" s="9" t="s">
        <v>183</v>
      </c>
    </row>
    <row r="35" spans="2:5" x14ac:dyDescent="0.3">
      <c r="B35" t="s">
        <v>162</v>
      </c>
      <c r="C35" s="5"/>
      <c r="D35" s="9"/>
      <c r="E35" s="9" t="s">
        <v>184</v>
      </c>
    </row>
    <row r="36" spans="2:5" x14ac:dyDescent="0.3">
      <c r="B36" t="s">
        <v>164</v>
      </c>
      <c r="C36" s="5"/>
      <c r="D36" s="9"/>
      <c r="E36" s="9" t="s">
        <v>185</v>
      </c>
    </row>
    <row r="37" spans="2:5" x14ac:dyDescent="0.3">
      <c r="B37" t="s">
        <v>165</v>
      </c>
      <c r="C37" s="5"/>
      <c r="D37" s="9"/>
      <c r="E37" s="9" t="s">
        <v>186</v>
      </c>
    </row>
    <row r="38" spans="2:5" x14ac:dyDescent="0.3">
      <c r="B38" t="s">
        <v>166</v>
      </c>
      <c r="C38" s="5"/>
      <c r="D38" s="9"/>
      <c r="E38" s="9" t="s">
        <v>187</v>
      </c>
    </row>
    <row r="39" spans="2:5" x14ac:dyDescent="0.3">
      <c r="B39" t="s">
        <v>167</v>
      </c>
      <c r="C39" s="5"/>
      <c r="D39" s="9"/>
      <c r="E39" s="9" t="s">
        <v>188</v>
      </c>
    </row>
    <row r="40" spans="2:5" x14ac:dyDescent="0.3">
      <c r="B40" t="s">
        <v>168</v>
      </c>
      <c r="C40" s="5"/>
      <c r="D40" s="9"/>
      <c r="E40" s="9" t="s">
        <v>189</v>
      </c>
    </row>
    <row r="41" spans="2:5" x14ac:dyDescent="0.3">
      <c r="B41" t="s">
        <v>169</v>
      </c>
      <c r="C41" s="5"/>
      <c r="D41" s="9"/>
      <c r="E41" s="9" t="s">
        <v>190</v>
      </c>
    </row>
    <row r="42" spans="2:5" x14ac:dyDescent="0.3">
      <c r="B42" t="s">
        <v>170</v>
      </c>
      <c r="C42" s="5"/>
      <c r="D42" s="9"/>
      <c r="E42" s="9" t="s">
        <v>191</v>
      </c>
    </row>
    <row r="43" spans="2:5" x14ac:dyDescent="0.3">
      <c r="B43" t="s">
        <v>171</v>
      </c>
      <c r="C43" s="5"/>
      <c r="D43" s="9"/>
      <c r="E43" s="9" t="s">
        <v>192</v>
      </c>
    </row>
    <row r="44" spans="2:5" x14ac:dyDescent="0.3">
      <c r="B44" t="s">
        <v>172</v>
      </c>
      <c r="C44" s="5"/>
      <c r="D44" s="9"/>
      <c r="E44" s="9" t="s">
        <v>193</v>
      </c>
    </row>
    <row r="45" spans="2:5" x14ac:dyDescent="0.3">
      <c r="B45" s="3"/>
      <c r="E45" s="3"/>
    </row>
    <row r="46" spans="2:5" x14ac:dyDescent="0.3">
      <c r="B46" s="3"/>
      <c r="E46" s="3"/>
    </row>
    <row r="47" spans="2:5" x14ac:dyDescent="0.3">
      <c r="B47" s="3"/>
      <c r="E47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40D16C-80B2-4AAF-9C5C-80EF7CF9B9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Points</vt:lpstr>
      <vt:lpstr>Sheet1</vt:lpstr>
      <vt:lpstr>Race Results</vt:lpstr>
      <vt:lpstr>DriverNameMapping</vt:lpstr>
      <vt:lpstr>Results (2)</vt:lpstr>
      <vt:lpstr>Todo</vt:lpstr>
      <vt:lpstr>Stats</vt:lpstr>
      <vt:lpstr>Guesses</vt:lpstr>
      <vt:lpstr>SS</vt:lpstr>
      <vt:lpstr>'Results (2)'!max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 Bell</dc:creator>
  <cp:keywords/>
  <dc:description/>
  <cp:lastModifiedBy>Frank Kusel</cp:lastModifiedBy>
  <cp:revision/>
  <dcterms:created xsi:type="dcterms:W3CDTF">2023-03-19T18:02:24Z</dcterms:created>
  <dcterms:modified xsi:type="dcterms:W3CDTF">2024-03-02T16:49:15Z</dcterms:modified>
  <cp:category/>
  <cp:contentStatus/>
</cp:coreProperties>
</file>