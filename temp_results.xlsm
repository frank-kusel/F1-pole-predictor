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k\F1-pole-predictor\"/>
    </mc:Choice>
  </mc:AlternateContent>
  <xr:revisionPtr revIDLastSave="0" documentId="13_ncr:1_{11C41489-6F45-4FCA-A655-56438A86F123}" xr6:coauthVersionLast="47" xr6:coauthVersionMax="47" xr10:uidLastSave="{00000000-0000-0000-0000-000000000000}"/>
  <bookViews>
    <workbookView xWindow="27972" yWindow="984" windowWidth="18120" windowHeight="10728" tabRatio="803" activeTab="2" xr2:uid="{180F4083-D0CF-442F-8840-C1C1F906FB2A}"/>
  </bookViews>
  <sheets>
    <sheet name="Points" sheetId="12" r:id="rId1"/>
    <sheet name="Sheet1" sheetId="20" r:id="rId2"/>
    <sheet name="Race Results" sheetId="5" r:id="rId3"/>
    <sheet name="DriverNameMapping" sheetId="7" r:id="rId4"/>
    <sheet name="Results (2)" sheetId="16" r:id="rId5"/>
    <sheet name="Todo" sheetId="8" state="hidden" r:id="rId6"/>
    <sheet name="Stats" sheetId="15" state="hidden" r:id="rId7"/>
    <sheet name="Guesses" sheetId="2" state="hidden" r:id="rId8"/>
    <sheet name="SS" sheetId="4" state="hidden" r:id="rId9"/>
  </sheets>
  <definedNames>
    <definedName name="_xlnm._FilterDatabase" localSheetId="7" hidden="1">Guesses!$A$1:$G$838</definedName>
    <definedName name="ExternalData_1" localSheetId="0" hidden="1">Points!$A$1:$I$515</definedName>
    <definedName name="ExternalData_1" localSheetId="2" hidden="1">'Race Results'!$A$2:$D$22</definedName>
    <definedName name="max" localSheetId="4">'Results (2)'!$G$34</definedName>
    <definedName name="max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5" l="1"/>
  <c r="I4" i="5"/>
  <c r="I5" i="5"/>
  <c r="I6" i="5"/>
  <c r="I7" i="5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B92" i="16" a="1"/>
  <c r="B92" i="16" s="1"/>
  <c r="C89" i="16"/>
  <c r="D89" i="16" s="1"/>
  <c r="AC27" i="16" a="1"/>
  <c r="AC27" i="16" s="1"/>
  <c r="J27" i="16" s="1" a="1"/>
  <c r="J27" i="16" s="1"/>
  <c r="AB27" i="16" a="1"/>
  <c r="AB27" i="16" s="1"/>
  <c r="I27" i="16" s="1" a="1"/>
  <c r="I27" i="16" s="1"/>
  <c r="AA27" i="16" a="1"/>
  <c r="AA27" i="16" s="1"/>
  <c r="H27" i="16" s="1" a="1"/>
  <c r="H27" i="16" s="1"/>
  <c r="Z27" i="16" a="1"/>
  <c r="Z27" i="16" s="1"/>
  <c r="Y27" i="16" a="1"/>
  <c r="Y27" i="16" s="1"/>
  <c r="X27" i="16" a="1"/>
  <c r="X27" i="16" s="1"/>
  <c r="W27" i="16" a="1"/>
  <c r="W27" i="16" s="1"/>
  <c r="V27" i="16" a="1"/>
  <c r="V27" i="16" s="1"/>
  <c r="T27" i="16" a="1"/>
  <c r="T27" i="16" s="1"/>
  <c r="S27" i="16" a="1"/>
  <c r="S27" i="16" s="1"/>
  <c r="P27" i="16" a="1"/>
  <c r="P27" i="16" s="1"/>
  <c r="L27" i="16" a="1"/>
  <c r="L27" i="16" s="1"/>
  <c r="AA26" i="16" a="1"/>
  <c r="AA26" i="16" s="1"/>
  <c r="H26" i="16" s="1" a="1"/>
  <c r="H26" i="16" s="1"/>
  <c r="Z26" i="16" a="1"/>
  <c r="Z26" i="16" s="1"/>
  <c r="Y26" i="16" a="1"/>
  <c r="Y26" i="16" s="1"/>
  <c r="V26" i="16" a="1"/>
  <c r="V26" i="16" s="1"/>
  <c r="U26" i="16" a="1"/>
  <c r="U26" i="16" s="1"/>
  <c r="T26" i="16" a="1"/>
  <c r="T26" i="16" s="1"/>
  <c r="L26" i="16" a="1"/>
  <c r="L26" i="16" s="1"/>
  <c r="K26" i="16" a="1"/>
  <c r="K26" i="16" s="1"/>
  <c r="AB25" i="16" a="1"/>
  <c r="AB25" i="16" s="1"/>
  <c r="I25" i="16" s="1" a="1"/>
  <c r="I25" i="16" s="1"/>
  <c r="L25" i="16" a="1"/>
  <c r="L25" i="16" s="1"/>
  <c r="T24" i="16" a="1"/>
  <c r="T24" i="16" s="1"/>
  <c r="L24" i="16" a="1"/>
  <c r="L24" i="16" s="1"/>
  <c r="L23" i="16" a="1"/>
  <c r="L23" i="16" s="1"/>
  <c r="L22" i="16" a="1"/>
  <c r="L22" i="16" s="1"/>
  <c r="AA21" i="16" a="1"/>
  <c r="AA21" i="16" s="1"/>
  <c r="H21" i="16" s="1" a="1"/>
  <c r="H21" i="16" s="1"/>
  <c r="Y21" i="16" a="1"/>
  <c r="Y21" i="16" s="1"/>
  <c r="N21" i="16" a="1"/>
  <c r="N21" i="16" s="1"/>
  <c r="L21" i="16" a="1"/>
  <c r="L21" i="16" s="1"/>
  <c r="L20" i="16" a="1"/>
  <c r="L20" i="16" s="1"/>
  <c r="AA19" i="16" a="1"/>
  <c r="AA19" i="16" s="1"/>
  <c r="H19" i="16" s="1" a="1"/>
  <c r="H19" i="16" s="1"/>
  <c r="U19" i="16" a="1"/>
  <c r="U19" i="16" s="1"/>
  <c r="T19" i="16" a="1"/>
  <c r="T19" i="16" s="1"/>
  <c r="L19" i="16" a="1"/>
  <c r="L19" i="16" s="1"/>
  <c r="L18" i="16" a="1"/>
  <c r="L18" i="16" s="1"/>
  <c r="AC17" i="16" a="1"/>
  <c r="AC17" i="16" s="1"/>
  <c r="J17" i="16" s="1" a="1"/>
  <c r="J17" i="16" s="1"/>
  <c r="L17" i="16" a="1"/>
  <c r="L17" i="16" s="1"/>
  <c r="L16" i="16" a="1"/>
  <c r="L16" i="16" s="1"/>
  <c r="L15" i="16" a="1"/>
  <c r="L15" i="16" s="1"/>
  <c r="L14" i="16" a="1"/>
  <c r="L14" i="16" s="1"/>
  <c r="L13" i="16" a="1"/>
  <c r="L13" i="16" s="1"/>
  <c r="L12" i="16" a="1"/>
  <c r="L12" i="16" s="1"/>
  <c r="W11" i="16" a="1"/>
  <c r="W11" i="16" s="1"/>
  <c r="L11" i="16" a="1"/>
  <c r="L11" i="16" s="1"/>
  <c r="L10" i="16" a="1"/>
  <c r="L10" i="16" s="1"/>
  <c r="L9" i="16" a="1"/>
  <c r="L9" i="16" s="1"/>
  <c r="L8" i="16" a="1"/>
  <c r="L8" i="16" s="1"/>
  <c r="Z7" i="16" a="1"/>
  <c r="Z7" i="16" s="1"/>
  <c r="W7" i="16" a="1"/>
  <c r="W7" i="16" s="1"/>
  <c r="L7" i="16" a="1"/>
  <c r="L7" i="16" s="1"/>
  <c r="L6" i="16" a="1"/>
  <c r="L6" i="16" s="1"/>
  <c r="L5" i="16" a="1"/>
  <c r="L5" i="16" s="1"/>
  <c r="L4" i="16" a="1"/>
  <c r="L4" i="16" s="1"/>
  <c r="L3" i="16" a="1"/>
  <c r="L3" i="16" s="1"/>
  <c r="L2" i="16" a="1"/>
  <c r="L2" i="16" s="1"/>
  <c r="Q5" i="15"/>
  <c r="R5" i="15"/>
  <c r="S5" i="15"/>
  <c r="T5" i="15"/>
  <c r="U5" i="15"/>
  <c r="V5" i="15"/>
  <c r="W5" i="15"/>
  <c r="Q6" i="15"/>
  <c r="R6" i="15"/>
  <c r="S6" i="15"/>
  <c r="T6" i="15"/>
  <c r="U6" i="15"/>
  <c r="V6" i="15"/>
  <c r="W6" i="15"/>
  <c r="Q7" i="15"/>
  <c r="R7" i="15"/>
  <c r="S7" i="15"/>
  <c r="T7" i="15"/>
  <c r="U7" i="15"/>
  <c r="V7" i="15"/>
  <c r="W7" i="15"/>
  <c r="Q8" i="15"/>
  <c r="R8" i="15"/>
  <c r="S8" i="15"/>
  <c r="T8" i="15"/>
  <c r="U8" i="15"/>
  <c r="V8" i="15"/>
  <c r="W8" i="15"/>
  <c r="Q9" i="15"/>
  <c r="R9" i="15"/>
  <c r="S9" i="15"/>
  <c r="T9" i="15"/>
  <c r="U9" i="15"/>
  <c r="V9" i="15"/>
  <c r="W9" i="15"/>
  <c r="Q10" i="15"/>
  <c r="R10" i="15"/>
  <c r="S10" i="15"/>
  <c r="T10" i="15"/>
  <c r="U10" i="15"/>
  <c r="V10" i="15"/>
  <c r="W10" i="15"/>
  <c r="Q11" i="15"/>
  <c r="R11" i="15"/>
  <c r="S11" i="15"/>
  <c r="T11" i="15"/>
  <c r="U11" i="15"/>
  <c r="V11" i="15"/>
  <c r="W11" i="15"/>
  <c r="Q12" i="15"/>
  <c r="R12" i="15"/>
  <c r="S12" i="15"/>
  <c r="T12" i="15"/>
  <c r="U12" i="15"/>
  <c r="V12" i="15"/>
  <c r="W12" i="15"/>
  <c r="Q13" i="15"/>
  <c r="R13" i="15"/>
  <c r="S13" i="15"/>
  <c r="T13" i="15"/>
  <c r="U13" i="15"/>
  <c r="V13" i="15"/>
  <c r="W13" i="15"/>
  <c r="Q14" i="15"/>
  <c r="R14" i="15"/>
  <c r="S14" i="15"/>
  <c r="T14" i="15"/>
  <c r="U14" i="15"/>
  <c r="V14" i="15"/>
  <c r="W14" i="15"/>
  <c r="Q15" i="15"/>
  <c r="R15" i="15"/>
  <c r="S15" i="15"/>
  <c r="T15" i="15"/>
  <c r="U15" i="15"/>
  <c r="V15" i="15"/>
  <c r="W15" i="15"/>
  <c r="Q16" i="15"/>
  <c r="R16" i="15"/>
  <c r="S16" i="15"/>
  <c r="T16" i="15"/>
  <c r="U16" i="15"/>
  <c r="V16" i="15"/>
  <c r="W16" i="15"/>
  <c r="Q17" i="15"/>
  <c r="R17" i="15"/>
  <c r="S17" i="15"/>
  <c r="T17" i="15"/>
  <c r="U17" i="15"/>
  <c r="V17" i="15"/>
  <c r="W17" i="15"/>
  <c r="Q18" i="15"/>
  <c r="R18" i="15"/>
  <c r="S18" i="15"/>
  <c r="T18" i="15"/>
  <c r="U18" i="15"/>
  <c r="V18" i="15"/>
  <c r="W18" i="15"/>
  <c r="Q19" i="15"/>
  <c r="R19" i="15"/>
  <c r="S19" i="15"/>
  <c r="T19" i="15"/>
  <c r="U19" i="15"/>
  <c r="V19" i="15"/>
  <c r="W19" i="15"/>
  <c r="Q20" i="15"/>
  <c r="R20" i="15"/>
  <c r="S20" i="15"/>
  <c r="T20" i="15"/>
  <c r="U20" i="15"/>
  <c r="V20" i="15"/>
  <c r="W20" i="15"/>
  <c r="Q21" i="15"/>
  <c r="R21" i="15"/>
  <c r="S21" i="15"/>
  <c r="T21" i="15"/>
  <c r="U21" i="15"/>
  <c r="V21" i="15"/>
  <c r="W21" i="15"/>
  <c r="Q22" i="15"/>
  <c r="R22" i="15"/>
  <c r="S22" i="15"/>
  <c r="T22" i="15"/>
  <c r="U22" i="15"/>
  <c r="V22" i="15"/>
  <c r="W22" i="15"/>
  <c r="Q23" i="15"/>
  <c r="R23" i="15"/>
  <c r="S23" i="15"/>
  <c r="T23" i="15"/>
  <c r="U23" i="15"/>
  <c r="V23" i="15"/>
  <c r="W23" i="15"/>
  <c r="Q24" i="15"/>
  <c r="R24" i="15"/>
  <c r="S24" i="15"/>
  <c r="T24" i="15"/>
  <c r="U24" i="15"/>
  <c r="V24" i="15"/>
  <c r="W24" i="15"/>
  <c r="Q25" i="15"/>
  <c r="R25" i="15"/>
  <c r="S25" i="15"/>
  <c r="T25" i="15"/>
  <c r="U25" i="15"/>
  <c r="V25" i="15"/>
  <c r="W25" i="15"/>
  <c r="Q26" i="15"/>
  <c r="R26" i="15"/>
  <c r="S26" i="15"/>
  <c r="T26" i="15"/>
  <c r="U26" i="15"/>
  <c r="V26" i="15"/>
  <c r="W26" i="15"/>
  <c r="Q27" i="15"/>
  <c r="R27" i="15"/>
  <c r="S27" i="15"/>
  <c r="T27" i="15"/>
  <c r="U27" i="15"/>
  <c r="V27" i="15"/>
  <c r="W27" i="15"/>
  <c r="Q28" i="15"/>
  <c r="R28" i="15"/>
  <c r="S28" i="15"/>
  <c r="T28" i="15"/>
  <c r="U28" i="15"/>
  <c r="V28" i="15"/>
  <c r="W28" i="15"/>
  <c r="Q29" i="15"/>
  <c r="R29" i="15"/>
  <c r="S29" i="15"/>
  <c r="T29" i="15"/>
  <c r="U29" i="15"/>
  <c r="V29" i="15"/>
  <c r="W29" i="15"/>
  <c r="Q4" i="15"/>
  <c r="R4" i="15"/>
  <c r="S4" i="15"/>
  <c r="T4" i="15"/>
  <c r="U4" i="15"/>
  <c r="V4" i="15"/>
  <c r="W4" i="15"/>
  <c r="P4" i="15"/>
  <c r="P5" i="15"/>
  <c r="P6" i="15"/>
  <c r="P7" i="15"/>
  <c r="P8" i="15"/>
  <c r="P9" i="15"/>
  <c r="P10" i="15"/>
  <c r="P11" i="15"/>
  <c r="P12" i="15"/>
  <c r="P13" i="15"/>
  <c r="P14" i="15"/>
  <c r="P15" i="15"/>
  <c r="P16" i="15"/>
  <c r="P17" i="15"/>
  <c r="P18" i="15"/>
  <c r="P19" i="15"/>
  <c r="P20" i="15"/>
  <c r="P21" i="15"/>
  <c r="P22" i="15"/>
  <c r="P23" i="15"/>
  <c r="P24" i="15"/>
  <c r="P25" i="15"/>
  <c r="P26" i="15"/>
  <c r="P27" i="15"/>
  <c r="P28" i="15"/>
  <c r="P29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4" i="15"/>
  <c r="K4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J4" i="15"/>
  <c r="L4" i="15"/>
  <c r="G4" i="5"/>
  <c r="H4" i="5" s="1"/>
  <c r="L4" i="5" s="1" a="1"/>
  <c r="L4" i="5" s="1"/>
  <c r="G5" i="5"/>
  <c r="K5" i="5" s="1"/>
  <c r="G3" i="5"/>
  <c r="J3" i="5" s="1"/>
  <c r="G6" i="5"/>
  <c r="J6" i="5" s="1"/>
  <c r="G7" i="5"/>
  <c r="J7" i="5" s="1"/>
  <c r="G8" i="5"/>
  <c r="J8" i="5" s="1"/>
  <c r="G9" i="5"/>
  <c r="J9" i="5" s="1"/>
  <c r="G10" i="5"/>
  <c r="K10" i="5" s="1"/>
  <c r="G11" i="5"/>
  <c r="K11" i="5" s="1"/>
  <c r="G12" i="5"/>
  <c r="H12" i="5" s="1"/>
  <c r="L12" i="5" s="1" a="1"/>
  <c r="L12" i="5" s="1"/>
  <c r="G13" i="5"/>
  <c r="K13" i="5" s="1"/>
  <c r="G14" i="5"/>
  <c r="H14" i="5" s="1"/>
  <c r="L14" i="5" s="1" a="1"/>
  <c r="L14" i="5" s="1"/>
  <c r="G15" i="5"/>
  <c r="H15" i="5" s="1"/>
  <c r="L15" i="5" s="1" a="1"/>
  <c r="L15" i="5" s="1"/>
  <c r="G16" i="5"/>
  <c r="K16" i="5" s="1"/>
  <c r="G17" i="5"/>
  <c r="K17" i="5" s="1"/>
  <c r="G18" i="5"/>
  <c r="K18" i="5" s="1"/>
  <c r="G19" i="5"/>
  <c r="H19" i="5" s="1"/>
  <c r="L19" i="5" s="1" a="1"/>
  <c r="L19" i="5" s="1"/>
  <c r="G20" i="5"/>
  <c r="H20" i="5" s="1"/>
  <c r="L20" i="5" s="1" a="1"/>
  <c r="L20" i="5" s="1"/>
  <c r="G21" i="5"/>
  <c r="K21" i="5" s="1"/>
  <c r="G22" i="5"/>
  <c r="H22" i="5" s="1"/>
  <c r="L22" i="5" s="1" a="1"/>
  <c r="L22" i="5" s="1"/>
  <c r="K4" i="5"/>
  <c r="J4" i="5"/>
  <c r="C22" i="4"/>
  <c r="J2" i="12" l="1" a="1"/>
  <c r="J2" i="12" s="1"/>
  <c r="J501" i="12" a="1"/>
  <c r="J501" i="12" s="1"/>
  <c r="J481" i="12" a="1"/>
  <c r="J481" i="12" s="1"/>
  <c r="J461" i="12" a="1"/>
  <c r="J461" i="12" s="1"/>
  <c r="J441" i="12" a="1"/>
  <c r="J441" i="12" s="1"/>
  <c r="J421" i="12" a="1"/>
  <c r="J421" i="12" s="1"/>
  <c r="J401" i="12" a="1"/>
  <c r="J401" i="12" s="1"/>
  <c r="J381" i="12" a="1"/>
  <c r="J381" i="12" s="1"/>
  <c r="J361" i="12" a="1"/>
  <c r="J361" i="12" s="1"/>
  <c r="J341" i="12" a="1"/>
  <c r="J341" i="12" s="1"/>
  <c r="J321" i="12" a="1"/>
  <c r="J321" i="12" s="1"/>
  <c r="J301" i="12" a="1"/>
  <c r="J301" i="12" s="1"/>
  <c r="J281" i="12" a="1"/>
  <c r="J281" i="12" s="1"/>
  <c r="J261" i="12" a="1"/>
  <c r="J261" i="12" s="1"/>
  <c r="J241" i="12" a="1"/>
  <c r="J241" i="12" s="1"/>
  <c r="J221" i="12" a="1"/>
  <c r="J221" i="12" s="1"/>
  <c r="J201" i="12" a="1"/>
  <c r="J201" i="12" s="1"/>
  <c r="J181" i="12" a="1"/>
  <c r="J181" i="12" s="1"/>
  <c r="J161" i="12" a="1"/>
  <c r="J161" i="12" s="1"/>
  <c r="J141" i="12" a="1"/>
  <c r="J141" i="12" s="1"/>
  <c r="J121" i="12" a="1"/>
  <c r="J121" i="12" s="1"/>
  <c r="J101" i="12" a="1"/>
  <c r="J101" i="12" s="1"/>
  <c r="J81" i="12" a="1"/>
  <c r="J81" i="12" s="1"/>
  <c r="J61" i="12" a="1"/>
  <c r="J61" i="12" s="1"/>
  <c r="J41" i="12" a="1"/>
  <c r="J41" i="12" s="1"/>
  <c r="J21" i="12" a="1"/>
  <c r="J21" i="12" s="1"/>
  <c r="J500" i="12" a="1"/>
  <c r="J500" i="12" s="1"/>
  <c r="J480" i="12" a="1"/>
  <c r="J480" i="12" s="1"/>
  <c r="J460" i="12" a="1"/>
  <c r="J460" i="12" s="1"/>
  <c r="J440" i="12" a="1"/>
  <c r="J440" i="12" s="1"/>
  <c r="J420" i="12" a="1"/>
  <c r="J420" i="12" s="1"/>
  <c r="J400" i="12" a="1"/>
  <c r="J400" i="12" s="1"/>
  <c r="J380" i="12" a="1"/>
  <c r="J380" i="12" s="1"/>
  <c r="J360" i="12" a="1"/>
  <c r="J360" i="12" s="1"/>
  <c r="J340" i="12" a="1"/>
  <c r="J340" i="12" s="1"/>
  <c r="J320" i="12" a="1"/>
  <c r="J320" i="12" s="1"/>
  <c r="J300" i="12" a="1"/>
  <c r="J300" i="12" s="1"/>
  <c r="J280" i="12" a="1"/>
  <c r="J280" i="12" s="1"/>
  <c r="J260" i="12" a="1"/>
  <c r="J260" i="12" s="1"/>
  <c r="J240" i="12" a="1"/>
  <c r="J240" i="12" s="1"/>
  <c r="J220" i="12" a="1"/>
  <c r="J220" i="12" s="1"/>
  <c r="J200" i="12" a="1"/>
  <c r="J200" i="12" s="1"/>
  <c r="J180" i="12" a="1"/>
  <c r="J180" i="12" s="1"/>
  <c r="J160" i="12" a="1"/>
  <c r="J160" i="12" s="1"/>
  <c r="J140" i="12" a="1"/>
  <c r="J140" i="12" s="1"/>
  <c r="J120" i="12" a="1"/>
  <c r="J120" i="12" s="1"/>
  <c r="J100" i="12" a="1"/>
  <c r="J100" i="12" s="1"/>
  <c r="J80" i="12" a="1"/>
  <c r="J80" i="12" s="1"/>
  <c r="J60" i="12" a="1"/>
  <c r="J60" i="12" s="1"/>
  <c r="J40" i="12" a="1"/>
  <c r="J40" i="12" s="1"/>
  <c r="J20" i="12" a="1"/>
  <c r="J20" i="12" s="1"/>
  <c r="J499" i="12" a="1"/>
  <c r="J499" i="12" s="1"/>
  <c r="J479" i="12" a="1"/>
  <c r="J479" i="12" s="1"/>
  <c r="J459" i="12" a="1"/>
  <c r="J459" i="12" s="1"/>
  <c r="J439" i="12" a="1"/>
  <c r="J439" i="12" s="1"/>
  <c r="J419" i="12" a="1"/>
  <c r="J419" i="12" s="1"/>
  <c r="J399" i="12" a="1"/>
  <c r="J399" i="12" s="1"/>
  <c r="J379" i="12" a="1"/>
  <c r="J379" i="12" s="1"/>
  <c r="J359" i="12" a="1"/>
  <c r="J359" i="12" s="1"/>
  <c r="J339" i="12" a="1"/>
  <c r="J339" i="12" s="1"/>
  <c r="J319" i="12" a="1"/>
  <c r="J319" i="12" s="1"/>
  <c r="J299" i="12" a="1"/>
  <c r="J299" i="12" s="1"/>
  <c r="J279" i="12" a="1"/>
  <c r="J279" i="12" s="1"/>
  <c r="J259" i="12" a="1"/>
  <c r="J259" i="12" s="1"/>
  <c r="J239" i="12" a="1"/>
  <c r="J239" i="12" s="1"/>
  <c r="J219" i="12" a="1"/>
  <c r="J219" i="12" s="1"/>
  <c r="J199" i="12" a="1"/>
  <c r="J199" i="12" s="1"/>
  <c r="J179" i="12" a="1"/>
  <c r="J179" i="12" s="1"/>
  <c r="J159" i="12" a="1"/>
  <c r="J159" i="12" s="1"/>
  <c r="J139" i="12" a="1"/>
  <c r="J139" i="12" s="1"/>
  <c r="J119" i="12" a="1"/>
  <c r="J119" i="12" s="1"/>
  <c r="J99" i="12" a="1"/>
  <c r="J99" i="12" s="1"/>
  <c r="J79" i="12" a="1"/>
  <c r="J79" i="12" s="1"/>
  <c r="J59" i="12" a="1"/>
  <c r="J59" i="12" s="1"/>
  <c r="J39" i="12" a="1"/>
  <c r="J39" i="12" s="1"/>
  <c r="J19" i="12" a="1"/>
  <c r="J19" i="12" s="1"/>
  <c r="K22" i="5"/>
  <c r="J498" i="12" a="1"/>
  <c r="J498" i="12" s="1"/>
  <c r="J478" i="12" a="1"/>
  <c r="J478" i="12" s="1"/>
  <c r="J458" i="12" a="1"/>
  <c r="J458" i="12" s="1"/>
  <c r="J438" i="12" a="1"/>
  <c r="J438" i="12" s="1"/>
  <c r="J418" i="12" a="1"/>
  <c r="J418" i="12" s="1"/>
  <c r="J398" i="12" a="1"/>
  <c r="J398" i="12" s="1"/>
  <c r="J378" i="12" a="1"/>
  <c r="J378" i="12" s="1"/>
  <c r="J358" i="12" a="1"/>
  <c r="J358" i="12" s="1"/>
  <c r="J338" i="12" a="1"/>
  <c r="J338" i="12" s="1"/>
  <c r="J318" i="12" a="1"/>
  <c r="J318" i="12" s="1"/>
  <c r="J298" i="12" a="1"/>
  <c r="J298" i="12" s="1"/>
  <c r="J278" i="12" a="1"/>
  <c r="J278" i="12" s="1"/>
  <c r="J258" i="12" a="1"/>
  <c r="J258" i="12" s="1"/>
  <c r="J238" i="12" a="1"/>
  <c r="J238" i="12" s="1"/>
  <c r="J218" i="12" a="1"/>
  <c r="J218" i="12" s="1"/>
  <c r="J198" i="12" a="1"/>
  <c r="J198" i="12" s="1"/>
  <c r="J178" i="12" a="1"/>
  <c r="J178" i="12" s="1"/>
  <c r="J158" i="12" a="1"/>
  <c r="J158" i="12" s="1"/>
  <c r="J138" i="12" a="1"/>
  <c r="J138" i="12" s="1"/>
  <c r="J118" i="12" a="1"/>
  <c r="J118" i="12" s="1"/>
  <c r="J98" i="12" a="1"/>
  <c r="J98" i="12" s="1"/>
  <c r="J78" i="12" a="1"/>
  <c r="J78" i="12" s="1"/>
  <c r="J58" i="12" a="1"/>
  <c r="J58" i="12" s="1"/>
  <c r="J38" i="12" a="1"/>
  <c r="J38" i="12" s="1"/>
  <c r="J18" i="12" a="1"/>
  <c r="J18" i="12" s="1"/>
  <c r="J497" i="12" a="1"/>
  <c r="J497" i="12" s="1"/>
  <c r="J477" i="12" a="1"/>
  <c r="J477" i="12" s="1"/>
  <c r="J457" i="12" a="1"/>
  <c r="J457" i="12" s="1"/>
  <c r="J437" i="12" a="1"/>
  <c r="J437" i="12" s="1"/>
  <c r="J417" i="12" a="1"/>
  <c r="J417" i="12" s="1"/>
  <c r="J397" i="12" a="1"/>
  <c r="J397" i="12" s="1"/>
  <c r="J377" i="12" a="1"/>
  <c r="J377" i="12" s="1"/>
  <c r="J357" i="12" a="1"/>
  <c r="J357" i="12" s="1"/>
  <c r="J337" i="12" a="1"/>
  <c r="J337" i="12" s="1"/>
  <c r="J317" i="12" a="1"/>
  <c r="J317" i="12" s="1"/>
  <c r="J297" i="12" a="1"/>
  <c r="J297" i="12" s="1"/>
  <c r="J277" i="12" a="1"/>
  <c r="J277" i="12" s="1"/>
  <c r="J257" i="12" a="1"/>
  <c r="J257" i="12" s="1"/>
  <c r="J237" i="12" a="1"/>
  <c r="J237" i="12" s="1"/>
  <c r="J217" i="12" a="1"/>
  <c r="J217" i="12" s="1"/>
  <c r="J197" i="12" a="1"/>
  <c r="J197" i="12" s="1"/>
  <c r="J177" i="12" a="1"/>
  <c r="J177" i="12" s="1"/>
  <c r="J157" i="12" a="1"/>
  <c r="J157" i="12" s="1"/>
  <c r="J137" i="12" a="1"/>
  <c r="J137" i="12" s="1"/>
  <c r="J117" i="12" a="1"/>
  <c r="J117" i="12" s="1"/>
  <c r="J97" i="12" a="1"/>
  <c r="J97" i="12" s="1"/>
  <c r="J77" i="12" a="1"/>
  <c r="J77" i="12" s="1"/>
  <c r="J57" i="12" a="1"/>
  <c r="J57" i="12" s="1"/>
  <c r="J37" i="12" a="1"/>
  <c r="J37" i="12" s="1"/>
  <c r="J17" i="12" a="1"/>
  <c r="J17" i="12" s="1"/>
  <c r="J496" i="12" a="1"/>
  <c r="J496" i="12" s="1"/>
  <c r="J476" i="12" a="1"/>
  <c r="J476" i="12" s="1"/>
  <c r="J456" i="12" a="1"/>
  <c r="J456" i="12" s="1"/>
  <c r="J436" i="12" a="1"/>
  <c r="J436" i="12" s="1"/>
  <c r="J416" i="12" a="1"/>
  <c r="J416" i="12" s="1"/>
  <c r="J396" i="12" a="1"/>
  <c r="J396" i="12" s="1"/>
  <c r="J376" i="12" a="1"/>
  <c r="J376" i="12" s="1"/>
  <c r="J356" i="12" a="1"/>
  <c r="J356" i="12" s="1"/>
  <c r="J336" i="12" a="1"/>
  <c r="J336" i="12" s="1"/>
  <c r="J316" i="12" a="1"/>
  <c r="J316" i="12" s="1"/>
  <c r="J296" i="12" a="1"/>
  <c r="J296" i="12" s="1"/>
  <c r="J276" i="12" a="1"/>
  <c r="J276" i="12" s="1"/>
  <c r="J256" i="12" a="1"/>
  <c r="J256" i="12" s="1"/>
  <c r="J236" i="12" a="1"/>
  <c r="J236" i="12" s="1"/>
  <c r="J216" i="12" a="1"/>
  <c r="J216" i="12" s="1"/>
  <c r="J196" i="12" a="1"/>
  <c r="J196" i="12" s="1"/>
  <c r="J176" i="12" a="1"/>
  <c r="J176" i="12" s="1"/>
  <c r="J156" i="12" a="1"/>
  <c r="J156" i="12" s="1"/>
  <c r="J136" i="12" a="1"/>
  <c r="J136" i="12" s="1"/>
  <c r="J116" i="12" a="1"/>
  <c r="J116" i="12" s="1"/>
  <c r="J96" i="12" a="1"/>
  <c r="J96" i="12" s="1"/>
  <c r="J76" i="12" a="1"/>
  <c r="J76" i="12" s="1"/>
  <c r="J56" i="12" a="1"/>
  <c r="J56" i="12" s="1"/>
  <c r="J36" i="12" a="1"/>
  <c r="J36" i="12" s="1"/>
  <c r="J16" i="12" a="1"/>
  <c r="J16" i="12" s="1"/>
  <c r="J515" i="12" a="1"/>
  <c r="J515" i="12" s="1"/>
  <c r="J495" i="12" a="1"/>
  <c r="J495" i="12" s="1"/>
  <c r="J475" i="12" a="1"/>
  <c r="J475" i="12" s="1"/>
  <c r="J455" i="12" a="1"/>
  <c r="J455" i="12" s="1"/>
  <c r="J435" i="12" a="1"/>
  <c r="J435" i="12" s="1"/>
  <c r="J415" i="12" a="1"/>
  <c r="J415" i="12" s="1"/>
  <c r="J395" i="12" a="1"/>
  <c r="J395" i="12" s="1"/>
  <c r="J375" i="12" a="1"/>
  <c r="J375" i="12" s="1"/>
  <c r="J355" i="12" a="1"/>
  <c r="J355" i="12" s="1"/>
  <c r="J335" i="12" a="1"/>
  <c r="J335" i="12" s="1"/>
  <c r="J315" i="12" a="1"/>
  <c r="J315" i="12" s="1"/>
  <c r="J295" i="12" a="1"/>
  <c r="J295" i="12" s="1"/>
  <c r="J275" i="12" a="1"/>
  <c r="J275" i="12" s="1"/>
  <c r="J255" i="12" a="1"/>
  <c r="J255" i="12" s="1"/>
  <c r="J235" i="12" a="1"/>
  <c r="J235" i="12" s="1"/>
  <c r="J215" i="12" a="1"/>
  <c r="J215" i="12" s="1"/>
  <c r="J195" i="12" a="1"/>
  <c r="J195" i="12" s="1"/>
  <c r="J175" i="12" a="1"/>
  <c r="J175" i="12" s="1"/>
  <c r="J155" i="12" a="1"/>
  <c r="J155" i="12" s="1"/>
  <c r="J135" i="12" a="1"/>
  <c r="J135" i="12" s="1"/>
  <c r="J115" i="12" a="1"/>
  <c r="J115" i="12" s="1"/>
  <c r="J95" i="12" a="1"/>
  <c r="J95" i="12" s="1"/>
  <c r="J75" i="12" a="1"/>
  <c r="J75" i="12" s="1"/>
  <c r="J55" i="12" a="1"/>
  <c r="J55" i="12" s="1"/>
  <c r="J35" i="12" a="1"/>
  <c r="J35" i="12" s="1"/>
  <c r="J15" i="12" a="1"/>
  <c r="J15" i="12" s="1"/>
  <c r="J514" i="12" a="1"/>
  <c r="J514" i="12" s="1"/>
  <c r="J494" i="12" a="1"/>
  <c r="J494" i="12" s="1"/>
  <c r="J474" i="12" a="1"/>
  <c r="J474" i="12" s="1"/>
  <c r="J454" i="12" a="1"/>
  <c r="J454" i="12" s="1"/>
  <c r="J434" i="12" a="1"/>
  <c r="J434" i="12" s="1"/>
  <c r="J414" i="12" a="1"/>
  <c r="J414" i="12" s="1"/>
  <c r="J394" i="12" a="1"/>
  <c r="J394" i="12" s="1"/>
  <c r="J374" i="12" a="1"/>
  <c r="J374" i="12" s="1"/>
  <c r="J354" i="12" a="1"/>
  <c r="J354" i="12" s="1"/>
  <c r="J334" i="12" a="1"/>
  <c r="J334" i="12" s="1"/>
  <c r="J314" i="12" a="1"/>
  <c r="J314" i="12" s="1"/>
  <c r="J294" i="12" a="1"/>
  <c r="J294" i="12" s="1"/>
  <c r="J274" i="12" a="1"/>
  <c r="J274" i="12" s="1"/>
  <c r="J254" i="12" a="1"/>
  <c r="J254" i="12" s="1"/>
  <c r="J234" i="12" a="1"/>
  <c r="J234" i="12" s="1"/>
  <c r="J214" i="12" a="1"/>
  <c r="J214" i="12" s="1"/>
  <c r="J194" i="12" a="1"/>
  <c r="J194" i="12" s="1"/>
  <c r="J174" i="12" a="1"/>
  <c r="J174" i="12" s="1"/>
  <c r="J154" i="12" a="1"/>
  <c r="J154" i="12" s="1"/>
  <c r="J134" i="12" a="1"/>
  <c r="J134" i="12" s="1"/>
  <c r="J114" i="12" a="1"/>
  <c r="J114" i="12" s="1"/>
  <c r="J94" i="12" a="1"/>
  <c r="J94" i="12" s="1"/>
  <c r="J74" i="12" a="1"/>
  <c r="J74" i="12" s="1"/>
  <c r="J54" i="12" a="1"/>
  <c r="J54" i="12" s="1"/>
  <c r="J34" i="12" a="1"/>
  <c r="J34" i="12" s="1"/>
  <c r="J14" i="12" a="1"/>
  <c r="J14" i="12" s="1"/>
  <c r="J513" i="12" a="1"/>
  <c r="J513" i="12" s="1"/>
  <c r="J493" i="12" a="1"/>
  <c r="J493" i="12" s="1"/>
  <c r="J473" i="12" a="1"/>
  <c r="J473" i="12" s="1"/>
  <c r="J453" i="12" a="1"/>
  <c r="J453" i="12" s="1"/>
  <c r="J433" i="12" a="1"/>
  <c r="J433" i="12" s="1"/>
  <c r="J413" i="12" a="1"/>
  <c r="J413" i="12" s="1"/>
  <c r="J393" i="12" a="1"/>
  <c r="J393" i="12" s="1"/>
  <c r="J373" i="12" a="1"/>
  <c r="J373" i="12" s="1"/>
  <c r="J353" i="12" a="1"/>
  <c r="J353" i="12" s="1"/>
  <c r="J333" i="12" a="1"/>
  <c r="J333" i="12" s="1"/>
  <c r="J313" i="12" a="1"/>
  <c r="J313" i="12" s="1"/>
  <c r="J293" i="12" a="1"/>
  <c r="J293" i="12" s="1"/>
  <c r="J273" i="12" a="1"/>
  <c r="J273" i="12" s="1"/>
  <c r="J253" i="12" a="1"/>
  <c r="J253" i="12" s="1"/>
  <c r="J233" i="12" a="1"/>
  <c r="J233" i="12" s="1"/>
  <c r="J213" i="12" a="1"/>
  <c r="J213" i="12" s="1"/>
  <c r="J193" i="12" a="1"/>
  <c r="J193" i="12" s="1"/>
  <c r="J173" i="12" a="1"/>
  <c r="J173" i="12" s="1"/>
  <c r="J153" i="12" a="1"/>
  <c r="J153" i="12" s="1"/>
  <c r="J133" i="12" a="1"/>
  <c r="J133" i="12" s="1"/>
  <c r="J113" i="12" a="1"/>
  <c r="J113" i="12" s="1"/>
  <c r="J93" i="12" a="1"/>
  <c r="J93" i="12" s="1"/>
  <c r="J73" i="12" a="1"/>
  <c r="J73" i="12" s="1"/>
  <c r="J53" i="12" a="1"/>
  <c r="J53" i="12" s="1"/>
  <c r="J33" i="12" a="1"/>
  <c r="J33" i="12" s="1"/>
  <c r="J13" i="12" a="1"/>
  <c r="J13" i="12" s="1"/>
  <c r="J512" i="12" a="1"/>
  <c r="J512" i="12" s="1"/>
  <c r="J492" i="12" a="1"/>
  <c r="J492" i="12" s="1"/>
  <c r="J472" i="12" a="1"/>
  <c r="J472" i="12" s="1"/>
  <c r="J452" i="12" a="1"/>
  <c r="J452" i="12" s="1"/>
  <c r="J432" i="12" a="1"/>
  <c r="J432" i="12" s="1"/>
  <c r="J412" i="12" a="1"/>
  <c r="J412" i="12" s="1"/>
  <c r="J392" i="12" a="1"/>
  <c r="J392" i="12" s="1"/>
  <c r="J372" i="12" a="1"/>
  <c r="J372" i="12" s="1"/>
  <c r="J352" i="12" a="1"/>
  <c r="J352" i="12" s="1"/>
  <c r="J332" i="12" a="1"/>
  <c r="J332" i="12" s="1"/>
  <c r="J312" i="12" a="1"/>
  <c r="J312" i="12" s="1"/>
  <c r="J292" i="12" a="1"/>
  <c r="J292" i="12" s="1"/>
  <c r="J272" i="12" a="1"/>
  <c r="J272" i="12" s="1"/>
  <c r="J252" i="12" a="1"/>
  <c r="J252" i="12" s="1"/>
  <c r="J232" i="12" a="1"/>
  <c r="J232" i="12" s="1"/>
  <c r="J212" i="12" a="1"/>
  <c r="J212" i="12" s="1"/>
  <c r="J192" i="12" a="1"/>
  <c r="J192" i="12" s="1"/>
  <c r="J172" i="12" a="1"/>
  <c r="J172" i="12" s="1"/>
  <c r="J152" i="12" a="1"/>
  <c r="J152" i="12" s="1"/>
  <c r="J132" i="12" a="1"/>
  <c r="J132" i="12" s="1"/>
  <c r="J112" i="12" a="1"/>
  <c r="J112" i="12" s="1"/>
  <c r="J92" i="12" a="1"/>
  <c r="J92" i="12" s="1"/>
  <c r="J72" i="12" a="1"/>
  <c r="J72" i="12" s="1"/>
  <c r="J52" i="12" a="1"/>
  <c r="J52" i="12" s="1"/>
  <c r="J32" i="12" a="1"/>
  <c r="J32" i="12" s="1"/>
  <c r="J12" i="12" a="1"/>
  <c r="J12" i="12" s="1"/>
  <c r="J511" i="12" a="1"/>
  <c r="J511" i="12" s="1"/>
  <c r="J491" i="12" a="1"/>
  <c r="J491" i="12" s="1"/>
  <c r="J471" i="12" a="1"/>
  <c r="J471" i="12" s="1"/>
  <c r="J451" i="12" a="1"/>
  <c r="J451" i="12" s="1"/>
  <c r="J431" i="12" a="1"/>
  <c r="J431" i="12" s="1"/>
  <c r="J411" i="12" a="1"/>
  <c r="J411" i="12" s="1"/>
  <c r="J391" i="12" a="1"/>
  <c r="J391" i="12" s="1"/>
  <c r="J371" i="12" a="1"/>
  <c r="J371" i="12" s="1"/>
  <c r="J351" i="12" a="1"/>
  <c r="J351" i="12" s="1"/>
  <c r="J331" i="12" a="1"/>
  <c r="J331" i="12" s="1"/>
  <c r="J311" i="12" a="1"/>
  <c r="J311" i="12" s="1"/>
  <c r="J291" i="12" a="1"/>
  <c r="J291" i="12" s="1"/>
  <c r="J271" i="12" a="1"/>
  <c r="J271" i="12" s="1"/>
  <c r="J251" i="12" a="1"/>
  <c r="J251" i="12" s="1"/>
  <c r="J231" i="12" a="1"/>
  <c r="J231" i="12" s="1"/>
  <c r="J211" i="12" a="1"/>
  <c r="J211" i="12" s="1"/>
  <c r="J191" i="12" a="1"/>
  <c r="J191" i="12" s="1"/>
  <c r="J171" i="12" a="1"/>
  <c r="J171" i="12" s="1"/>
  <c r="J151" i="12" a="1"/>
  <c r="J151" i="12" s="1"/>
  <c r="J131" i="12" a="1"/>
  <c r="J131" i="12" s="1"/>
  <c r="J111" i="12" a="1"/>
  <c r="J111" i="12" s="1"/>
  <c r="J91" i="12" a="1"/>
  <c r="J91" i="12" s="1"/>
  <c r="J71" i="12" a="1"/>
  <c r="J71" i="12" s="1"/>
  <c r="J51" i="12" a="1"/>
  <c r="J51" i="12" s="1"/>
  <c r="J31" i="12" a="1"/>
  <c r="J31" i="12" s="1"/>
  <c r="J11" i="12" a="1"/>
  <c r="J11" i="12" s="1"/>
  <c r="J510" i="12" a="1"/>
  <c r="J510" i="12" s="1"/>
  <c r="J490" i="12" a="1"/>
  <c r="J490" i="12" s="1"/>
  <c r="J470" i="12" a="1"/>
  <c r="J470" i="12" s="1"/>
  <c r="J450" i="12" a="1"/>
  <c r="J450" i="12" s="1"/>
  <c r="J430" i="12" a="1"/>
  <c r="J430" i="12" s="1"/>
  <c r="J410" i="12" a="1"/>
  <c r="J410" i="12" s="1"/>
  <c r="J390" i="12" a="1"/>
  <c r="J390" i="12" s="1"/>
  <c r="J370" i="12" a="1"/>
  <c r="J370" i="12" s="1"/>
  <c r="J350" i="12" a="1"/>
  <c r="J350" i="12" s="1"/>
  <c r="J330" i="12" a="1"/>
  <c r="J330" i="12" s="1"/>
  <c r="J310" i="12" a="1"/>
  <c r="J310" i="12" s="1"/>
  <c r="J290" i="12" a="1"/>
  <c r="J290" i="12" s="1"/>
  <c r="J270" i="12" a="1"/>
  <c r="J270" i="12" s="1"/>
  <c r="J250" i="12" a="1"/>
  <c r="J250" i="12" s="1"/>
  <c r="J230" i="12" a="1"/>
  <c r="J230" i="12" s="1"/>
  <c r="J210" i="12" a="1"/>
  <c r="J210" i="12" s="1"/>
  <c r="J190" i="12" a="1"/>
  <c r="J190" i="12" s="1"/>
  <c r="J170" i="12" a="1"/>
  <c r="J170" i="12" s="1"/>
  <c r="J150" i="12" a="1"/>
  <c r="J150" i="12" s="1"/>
  <c r="J130" i="12" a="1"/>
  <c r="J130" i="12" s="1"/>
  <c r="J110" i="12" a="1"/>
  <c r="J110" i="12" s="1"/>
  <c r="J90" i="12" a="1"/>
  <c r="J90" i="12" s="1"/>
  <c r="J70" i="12" a="1"/>
  <c r="J70" i="12" s="1"/>
  <c r="J50" i="12" a="1"/>
  <c r="J50" i="12" s="1"/>
  <c r="J30" i="12" a="1"/>
  <c r="J30" i="12" s="1"/>
  <c r="J10" i="12" a="1"/>
  <c r="J10" i="12" s="1"/>
  <c r="J509" i="12" a="1"/>
  <c r="J509" i="12" s="1"/>
  <c r="J489" i="12" a="1"/>
  <c r="J489" i="12" s="1"/>
  <c r="J469" i="12" a="1"/>
  <c r="J469" i="12" s="1"/>
  <c r="J449" i="12" a="1"/>
  <c r="J449" i="12" s="1"/>
  <c r="J429" i="12" a="1"/>
  <c r="J429" i="12" s="1"/>
  <c r="J409" i="12" a="1"/>
  <c r="J409" i="12" s="1"/>
  <c r="J389" i="12" a="1"/>
  <c r="J389" i="12" s="1"/>
  <c r="J369" i="12" a="1"/>
  <c r="J369" i="12" s="1"/>
  <c r="J349" i="12" a="1"/>
  <c r="J349" i="12" s="1"/>
  <c r="J329" i="12" a="1"/>
  <c r="J329" i="12" s="1"/>
  <c r="J309" i="12" a="1"/>
  <c r="J309" i="12" s="1"/>
  <c r="J289" i="12" a="1"/>
  <c r="J289" i="12" s="1"/>
  <c r="J269" i="12" a="1"/>
  <c r="J269" i="12" s="1"/>
  <c r="J249" i="12" a="1"/>
  <c r="J249" i="12" s="1"/>
  <c r="J229" i="12" a="1"/>
  <c r="J229" i="12" s="1"/>
  <c r="J209" i="12" a="1"/>
  <c r="J209" i="12" s="1"/>
  <c r="J189" i="12" a="1"/>
  <c r="J189" i="12" s="1"/>
  <c r="J169" i="12" a="1"/>
  <c r="J169" i="12" s="1"/>
  <c r="J149" i="12" a="1"/>
  <c r="J149" i="12" s="1"/>
  <c r="J129" i="12" a="1"/>
  <c r="J129" i="12" s="1"/>
  <c r="J109" i="12" a="1"/>
  <c r="J109" i="12" s="1"/>
  <c r="J89" i="12" a="1"/>
  <c r="J89" i="12" s="1"/>
  <c r="J69" i="12" a="1"/>
  <c r="J69" i="12" s="1"/>
  <c r="J49" i="12" a="1"/>
  <c r="J49" i="12" s="1"/>
  <c r="J29" i="12" a="1"/>
  <c r="J29" i="12" s="1"/>
  <c r="J9" i="12" a="1"/>
  <c r="J9" i="12" s="1"/>
  <c r="J508" i="12" a="1"/>
  <c r="J508" i="12" s="1"/>
  <c r="J488" i="12" a="1"/>
  <c r="J488" i="12" s="1"/>
  <c r="J468" i="12" a="1"/>
  <c r="J468" i="12" s="1"/>
  <c r="J448" i="12" a="1"/>
  <c r="J448" i="12" s="1"/>
  <c r="J428" i="12" a="1"/>
  <c r="J428" i="12" s="1"/>
  <c r="J408" i="12" a="1"/>
  <c r="J408" i="12" s="1"/>
  <c r="J388" i="12" a="1"/>
  <c r="J388" i="12" s="1"/>
  <c r="J368" i="12" a="1"/>
  <c r="J368" i="12" s="1"/>
  <c r="J348" i="12" a="1"/>
  <c r="J348" i="12" s="1"/>
  <c r="J328" i="12" a="1"/>
  <c r="J328" i="12" s="1"/>
  <c r="J308" i="12" a="1"/>
  <c r="J308" i="12" s="1"/>
  <c r="J288" i="12" a="1"/>
  <c r="J288" i="12" s="1"/>
  <c r="J268" i="12" a="1"/>
  <c r="J268" i="12" s="1"/>
  <c r="J248" i="12" a="1"/>
  <c r="J248" i="12" s="1"/>
  <c r="J228" i="12" a="1"/>
  <c r="J228" i="12" s="1"/>
  <c r="J208" i="12" a="1"/>
  <c r="J208" i="12" s="1"/>
  <c r="J188" i="12" a="1"/>
  <c r="J188" i="12" s="1"/>
  <c r="J168" i="12" a="1"/>
  <c r="J168" i="12" s="1"/>
  <c r="J148" i="12" a="1"/>
  <c r="J148" i="12" s="1"/>
  <c r="J128" i="12" a="1"/>
  <c r="J128" i="12" s="1"/>
  <c r="J108" i="12" a="1"/>
  <c r="J108" i="12" s="1"/>
  <c r="J88" i="12" a="1"/>
  <c r="J88" i="12" s="1"/>
  <c r="J68" i="12" a="1"/>
  <c r="J68" i="12" s="1"/>
  <c r="J48" i="12" a="1"/>
  <c r="J48" i="12" s="1"/>
  <c r="J28" i="12" a="1"/>
  <c r="J28" i="12" s="1"/>
  <c r="J8" i="12" a="1"/>
  <c r="J8" i="12" s="1"/>
  <c r="J507" i="12" a="1"/>
  <c r="J507" i="12" s="1"/>
  <c r="J487" i="12" a="1"/>
  <c r="J487" i="12" s="1"/>
  <c r="J467" i="12" a="1"/>
  <c r="J467" i="12" s="1"/>
  <c r="J447" i="12" a="1"/>
  <c r="J447" i="12" s="1"/>
  <c r="J427" i="12" a="1"/>
  <c r="J427" i="12" s="1"/>
  <c r="J407" i="12" a="1"/>
  <c r="J407" i="12" s="1"/>
  <c r="J387" i="12" a="1"/>
  <c r="J387" i="12" s="1"/>
  <c r="J367" i="12" a="1"/>
  <c r="J367" i="12" s="1"/>
  <c r="J347" i="12" a="1"/>
  <c r="J347" i="12" s="1"/>
  <c r="J327" i="12" a="1"/>
  <c r="J327" i="12" s="1"/>
  <c r="J307" i="12" a="1"/>
  <c r="J307" i="12" s="1"/>
  <c r="J287" i="12" a="1"/>
  <c r="J287" i="12" s="1"/>
  <c r="J267" i="12" a="1"/>
  <c r="J267" i="12" s="1"/>
  <c r="J247" i="12" a="1"/>
  <c r="J247" i="12" s="1"/>
  <c r="J227" i="12" a="1"/>
  <c r="J227" i="12" s="1"/>
  <c r="J207" i="12" a="1"/>
  <c r="J207" i="12" s="1"/>
  <c r="J187" i="12" a="1"/>
  <c r="J187" i="12" s="1"/>
  <c r="J167" i="12" a="1"/>
  <c r="J167" i="12" s="1"/>
  <c r="J147" i="12" a="1"/>
  <c r="J147" i="12" s="1"/>
  <c r="J127" i="12" a="1"/>
  <c r="J127" i="12" s="1"/>
  <c r="J107" i="12" a="1"/>
  <c r="J107" i="12" s="1"/>
  <c r="J87" i="12" a="1"/>
  <c r="J87" i="12" s="1"/>
  <c r="J67" i="12" a="1"/>
  <c r="J67" i="12" s="1"/>
  <c r="J47" i="12" a="1"/>
  <c r="J47" i="12" s="1"/>
  <c r="J27" i="12" a="1"/>
  <c r="J27" i="12" s="1"/>
  <c r="J7" i="12" a="1"/>
  <c r="J7" i="12" s="1"/>
  <c r="J506" i="12" a="1"/>
  <c r="J506" i="12" s="1"/>
  <c r="J486" i="12" a="1"/>
  <c r="J486" i="12" s="1"/>
  <c r="J466" i="12" a="1"/>
  <c r="J466" i="12" s="1"/>
  <c r="J446" i="12" a="1"/>
  <c r="J446" i="12" s="1"/>
  <c r="J426" i="12" a="1"/>
  <c r="J426" i="12" s="1"/>
  <c r="J406" i="12" a="1"/>
  <c r="J406" i="12" s="1"/>
  <c r="J386" i="12" a="1"/>
  <c r="J386" i="12" s="1"/>
  <c r="J366" i="12" a="1"/>
  <c r="J366" i="12" s="1"/>
  <c r="J346" i="12" a="1"/>
  <c r="J346" i="12" s="1"/>
  <c r="J326" i="12" a="1"/>
  <c r="J326" i="12" s="1"/>
  <c r="J306" i="12" a="1"/>
  <c r="J306" i="12" s="1"/>
  <c r="J286" i="12" a="1"/>
  <c r="J286" i="12" s="1"/>
  <c r="J266" i="12" a="1"/>
  <c r="J266" i="12" s="1"/>
  <c r="J246" i="12" a="1"/>
  <c r="J246" i="12" s="1"/>
  <c r="J226" i="12" a="1"/>
  <c r="J226" i="12" s="1"/>
  <c r="J206" i="12" a="1"/>
  <c r="J206" i="12" s="1"/>
  <c r="J186" i="12" a="1"/>
  <c r="J186" i="12" s="1"/>
  <c r="J166" i="12" a="1"/>
  <c r="J166" i="12" s="1"/>
  <c r="J146" i="12" a="1"/>
  <c r="J146" i="12" s="1"/>
  <c r="J126" i="12" a="1"/>
  <c r="J126" i="12" s="1"/>
  <c r="J106" i="12" a="1"/>
  <c r="J106" i="12" s="1"/>
  <c r="J86" i="12" a="1"/>
  <c r="J86" i="12" s="1"/>
  <c r="J66" i="12" a="1"/>
  <c r="J66" i="12" s="1"/>
  <c r="J46" i="12" a="1"/>
  <c r="J46" i="12" s="1"/>
  <c r="J26" i="12" a="1"/>
  <c r="J26" i="12" s="1"/>
  <c r="J6" i="12" a="1"/>
  <c r="J6" i="12" s="1"/>
  <c r="J505" i="12" a="1"/>
  <c r="J505" i="12" s="1"/>
  <c r="J485" i="12" a="1"/>
  <c r="J485" i="12" s="1"/>
  <c r="J465" i="12" a="1"/>
  <c r="J465" i="12" s="1"/>
  <c r="J445" i="12" a="1"/>
  <c r="J445" i="12" s="1"/>
  <c r="J425" i="12" a="1"/>
  <c r="J425" i="12" s="1"/>
  <c r="J405" i="12" a="1"/>
  <c r="J405" i="12" s="1"/>
  <c r="J385" i="12" a="1"/>
  <c r="J385" i="12" s="1"/>
  <c r="J365" i="12" a="1"/>
  <c r="J365" i="12" s="1"/>
  <c r="J345" i="12" a="1"/>
  <c r="J345" i="12" s="1"/>
  <c r="J325" i="12" a="1"/>
  <c r="J325" i="12" s="1"/>
  <c r="J305" i="12" a="1"/>
  <c r="J305" i="12" s="1"/>
  <c r="J285" i="12" a="1"/>
  <c r="J285" i="12" s="1"/>
  <c r="J265" i="12" a="1"/>
  <c r="J265" i="12" s="1"/>
  <c r="J245" i="12" a="1"/>
  <c r="J245" i="12" s="1"/>
  <c r="J225" i="12" a="1"/>
  <c r="J225" i="12" s="1"/>
  <c r="J205" i="12" a="1"/>
  <c r="J205" i="12" s="1"/>
  <c r="J185" i="12" a="1"/>
  <c r="J185" i="12" s="1"/>
  <c r="J165" i="12" a="1"/>
  <c r="J165" i="12" s="1"/>
  <c r="J145" i="12" a="1"/>
  <c r="J145" i="12" s="1"/>
  <c r="J125" i="12" a="1"/>
  <c r="J125" i="12" s="1"/>
  <c r="J105" i="12" a="1"/>
  <c r="J105" i="12" s="1"/>
  <c r="J85" i="12" a="1"/>
  <c r="J85" i="12" s="1"/>
  <c r="J65" i="12" a="1"/>
  <c r="J65" i="12" s="1"/>
  <c r="J45" i="12" a="1"/>
  <c r="J45" i="12" s="1"/>
  <c r="J25" i="12" a="1"/>
  <c r="J25" i="12" s="1"/>
  <c r="J5" i="12" a="1"/>
  <c r="J5" i="12" s="1"/>
  <c r="J504" i="12" a="1"/>
  <c r="J504" i="12" s="1"/>
  <c r="J484" i="12" a="1"/>
  <c r="J484" i="12" s="1"/>
  <c r="J464" i="12" a="1"/>
  <c r="J464" i="12" s="1"/>
  <c r="J444" i="12" a="1"/>
  <c r="J444" i="12" s="1"/>
  <c r="J424" i="12" a="1"/>
  <c r="J424" i="12" s="1"/>
  <c r="J404" i="12" a="1"/>
  <c r="J404" i="12" s="1"/>
  <c r="J384" i="12" a="1"/>
  <c r="J384" i="12" s="1"/>
  <c r="J364" i="12" a="1"/>
  <c r="J364" i="12" s="1"/>
  <c r="J344" i="12" a="1"/>
  <c r="J344" i="12" s="1"/>
  <c r="J324" i="12" a="1"/>
  <c r="J324" i="12" s="1"/>
  <c r="J304" i="12" a="1"/>
  <c r="J304" i="12" s="1"/>
  <c r="J284" i="12" a="1"/>
  <c r="J284" i="12" s="1"/>
  <c r="J264" i="12" a="1"/>
  <c r="J264" i="12" s="1"/>
  <c r="J244" i="12" a="1"/>
  <c r="J244" i="12" s="1"/>
  <c r="J224" i="12" a="1"/>
  <c r="J224" i="12" s="1"/>
  <c r="J204" i="12" a="1"/>
  <c r="J204" i="12" s="1"/>
  <c r="J184" i="12" a="1"/>
  <c r="J184" i="12" s="1"/>
  <c r="J164" i="12" a="1"/>
  <c r="J164" i="12" s="1"/>
  <c r="J144" i="12" a="1"/>
  <c r="J144" i="12" s="1"/>
  <c r="J124" i="12" a="1"/>
  <c r="J124" i="12" s="1"/>
  <c r="J104" i="12" a="1"/>
  <c r="J104" i="12" s="1"/>
  <c r="J84" i="12" a="1"/>
  <c r="J84" i="12" s="1"/>
  <c r="J64" i="12" a="1"/>
  <c r="J64" i="12" s="1"/>
  <c r="J44" i="12" a="1"/>
  <c r="J44" i="12" s="1"/>
  <c r="J24" i="12" a="1"/>
  <c r="J24" i="12" s="1"/>
  <c r="J4" i="12" a="1"/>
  <c r="J4" i="12" s="1"/>
  <c r="J503" i="12" a="1"/>
  <c r="J503" i="12" s="1"/>
  <c r="J483" i="12" a="1"/>
  <c r="J483" i="12" s="1"/>
  <c r="J463" i="12" a="1"/>
  <c r="J463" i="12" s="1"/>
  <c r="J443" i="12" a="1"/>
  <c r="J443" i="12" s="1"/>
  <c r="J423" i="12" a="1"/>
  <c r="J423" i="12" s="1"/>
  <c r="J403" i="12" a="1"/>
  <c r="J403" i="12" s="1"/>
  <c r="J383" i="12" a="1"/>
  <c r="J383" i="12" s="1"/>
  <c r="J363" i="12" a="1"/>
  <c r="J363" i="12" s="1"/>
  <c r="J343" i="12" a="1"/>
  <c r="J343" i="12" s="1"/>
  <c r="J323" i="12" a="1"/>
  <c r="J323" i="12" s="1"/>
  <c r="J303" i="12" a="1"/>
  <c r="J303" i="12" s="1"/>
  <c r="J283" i="12" a="1"/>
  <c r="J283" i="12" s="1"/>
  <c r="J263" i="12" a="1"/>
  <c r="J263" i="12" s="1"/>
  <c r="J243" i="12" a="1"/>
  <c r="J243" i="12" s="1"/>
  <c r="J223" i="12" a="1"/>
  <c r="J223" i="12" s="1"/>
  <c r="J203" i="12" a="1"/>
  <c r="J203" i="12" s="1"/>
  <c r="J183" i="12" a="1"/>
  <c r="J183" i="12" s="1"/>
  <c r="J163" i="12" a="1"/>
  <c r="J163" i="12" s="1"/>
  <c r="J143" i="12" a="1"/>
  <c r="J143" i="12" s="1"/>
  <c r="J123" i="12" a="1"/>
  <c r="J123" i="12" s="1"/>
  <c r="J103" i="12" a="1"/>
  <c r="J103" i="12" s="1"/>
  <c r="J83" i="12" a="1"/>
  <c r="J83" i="12" s="1"/>
  <c r="J63" i="12" a="1"/>
  <c r="J63" i="12" s="1"/>
  <c r="J43" i="12" a="1"/>
  <c r="J43" i="12" s="1"/>
  <c r="J23" i="12" a="1"/>
  <c r="J23" i="12" s="1"/>
  <c r="J3" i="12" a="1"/>
  <c r="J3" i="12" s="1"/>
  <c r="J502" i="12" a="1"/>
  <c r="J502" i="12" s="1"/>
  <c r="J482" i="12" a="1"/>
  <c r="J482" i="12" s="1"/>
  <c r="J462" i="12" a="1"/>
  <c r="J462" i="12" s="1"/>
  <c r="J442" i="12" a="1"/>
  <c r="J442" i="12" s="1"/>
  <c r="J422" i="12" a="1"/>
  <c r="J422" i="12" s="1"/>
  <c r="J402" i="12" a="1"/>
  <c r="J402" i="12" s="1"/>
  <c r="J382" i="12" a="1"/>
  <c r="J382" i="12" s="1"/>
  <c r="J362" i="12" a="1"/>
  <c r="J362" i="12" s="1"/>
  <c r="J342" i="12" a="1"/>
  <c r="J342" i="12" s="1"/>
  <c r="J322" i="12" a="1"/>
  <c r="J322" i="12" s="1"/>
  <c r="J302" i="12" a="1"/>
  <c r="J302" i="12" s="1"/>
  <c r="J282" i="12" a="1"/>
  <c r="J282" i="12" s="1"/>
  <c r="J262" i="12" a="1"/>
  <c r="J262" i="12" s="1"/>
  <c r="J242" i="12" a="1"/>
  <c r="J242" i="12" s="1"/>
  <c r="J222" i="12" a="1"/>
  <c r="J222" i="12" s="1"/>
  <c r="J202" i="12" a="1"/>
  <c r="J202" i="12" s="1"/>
  <c r="J182" i="12" a="1"/>
  <c r="J182" i="12" s="1"/>
  <c r="J162" i="12" a="1"/>
  <c r="J162" i="12" s="1"/>
  <c r="J142" i="12" a="1"/>
  <c r="J142" i="12" s="1"/>
  <c r="J122" i="12" a="1"/>
  <c r="J122" i="12" s="1"/>
  <c r="J102" i="12" a="1"/>
  <c r="J102" i="12" s="1"/>
  <c r="J82" i="12" a="1"/>
  <c r="J82" i="12" s="1"/>
  <c r="J62" i="12" a="1"/>
  <c r="J62" i="12" s="1"/>
  <c r="J42" i="12" a="1"/>
  <c r="J42" i="12" s="1"/>
  <c r="J22" i="12" a="1"/>
  <c r="J22" i="12" s="1"/>
  <c r="J22" i="5"/>
  <c r="K3" i="5"/>
  <c r="J13" i="5"/>
  <c r="J12" i="5"/>
  <c r="J11" i="5"/>
  <c r="J10" i="5"/>
  <c r="H11" i="5"/>
  <c r="L11" i="5" s="1" a="1"/>
  <c r="L11" i="5" s="1"/>
  <c r="AC16" i="16" a="1"/>
  <c r="AC16" i="16" s="1"/>
  <c r="J16" i="16" s="1" a="1"/>
  <c r="J16" i="16" s="1"/>
  <c r="AB16" i="16" a="1"/>
  <c r="AB16" i="16" s="1"/>
  <c r="I16" i="16" s="1" a="1"/>
  <c r="I16" i="16" s="1"/>
  <c r="AB2" i="16" a="1"/>
  <c r="AB2" i="16" s="1"/>
  <c r="I2" i="16" s="1" a="1"/>
  <c r="I2" i="16" s="1"/>
  <c r="AA22" i="16" a="1"/>
  <c r="AA22" i="16" s="1"/>
  <c r="H22" i="16" s="1" a="1"/>
  <c r="H22" i="16" s="1"/>
  <c r="Z5" i="16" a="1"/>
  <c r="Z5" i="16" s="1"/>
  <c r="Y23" i="16" a="1"/>
  <c r="Y23" i="16" s="1"/>
  <c r="Y10" i="16" a="1"/>
  <c r="Y10" i="16" s="1"/>
  <c r="X8" i="16" a="1"/>
  <c r="X8" i="16" s="1"/>
  <c r="W17" i="16" a="1"/>
  <c r="W17" i="16" s="1"/>
  <c r="W21" i="16" a="1"/>
  <c r="W21" i="16" s="1"/>
  <c r="V9" i="16" a="1"/>
  <c r="V9" i="16" s="1"/>
  <c r="U8" i="16" a="1"/>
  <c r="U8" i="16" s="1"/>
  <c r="T4" i="16" a="1"/>
  <c r="T4" i="16" s="1"/>
  <c r="S17" i="16" a="1"/>
  <c r="S17" i="16" s="1"/>
  <c r="R27" i="16" a="1"/>
  <c r="R27" i="16" s="1"/>
  <c r="Q11" i="16" a="1"/>
  <c r="Q11" i="16" s="1"/>
  <c r="Q19" i="16" a="1"/>
  <c r="Q19" i="16" s="1"/>
  <c r="O14" i="16" a="1"/>
  <c r="O14" i="16" s="1"/>
  <c r="O19" i="16" a="1"/>
  <c r="O19" i="16" s="1"/>
  <c r="N13" i="16" a="1"/>
  <c r="N13" i="16" s="1"/>
  <c r="M6" i="16" a="1"/>
  <c r="M6" i="16" s="1"/>
  <c r="K6" i="16" a="1"/>
  <c r="K6" i="16" s="1"/>
  <c r="AC4" i="16" a="1"/>
  <c r="AC4" i="16" s="1"/>
  <c r="J4" i="16" s="1" a="1"/>
  <c r="J4" i="16" s="1"/>
  <c r="AA12" i="16" a="1"/>
  <c r="AA12" i="16" s="1"/>
  <c r="H12" i="16" s="1" a="1"/>
  <c r="H12" i="16" s="1"/>
  <c r="AA18" i="16" a="1"/>
  <c r="AA18" i="16" s="1"/>
  <c r="H18" i="16" s="1" a="1"/>
  <c r="H18" i="16" s="1"/>
  <c r="Z10" i="16" a="1"/>
  <c r="Z10" i="16" s="1"/>
  <c r="Y15" i="16" a="1"/>
  <c r="Y15" i="16" s="1"/>
  <c r="Y11" i="16" a="1"/>
  <c r="Y11" i="16" s="1"/>
  <c r="W26" i="16" a="1"/>
  <c r="W26" i="16" s="1"/>
  <c r="W19" i="16" a="1"/>
  <c r="W19" i="16" s="1"/>
  <c r="V20" i="16" a="1"/>
  <c r="V20" i="16" s="1"/>
  <c r="U25" i="16" a="1"/>
  <c r="U25" i="16" s="1"/>
  <c r="T22" i="16" a="1"/>
  <c r="T22" i="16" s="1"/>
  <c r="S11" i="16" a="1"/>
  <c r="S11" i="16" s="1"/>
  <c r="R16" i="16" a="1"/>
  <c r="R16" i="16" s="1"/>
  <c r="R8" i="16" a="1"/>
  <c r="R8" i="16" s="1"/>
  <c r="Q25" i="16" a="1"/>
  <c r="Q25" i="16" s="1"/>
  <c r="P3" i="16" a="1"/>
  <c r="P3" i="16" s="1"/>
  <c r="P18" i="16" a="1"/>
  <c r="P18" i="16" s="1"/>
  <c r="O16" i="16" a="1"/>
  <c r="O16" i="16" s="1"/>
  <c r="N15" i="16" a="1"/>
  <c r="N15" i="16" s="1"/>
  <c r="N2" i="16" a="1"/>
  <c r="N2" i="16" s="1"/>
  <c r="M25" i="16" a="1"/>
  <c r="M25" i="16" s="1"/>
  <c r="M13" i="16" a="1"/>
  <c r="M13" i="16" s="1"/>
  <c r="K13" i="16" a="1"/>
  <c r="K13" i="16" s="1"/>
  <c r="AC20" i="16" a="1"/>
  <c r="AC20" i="16" s="1"/>
  <c r="J20" i="16" s="1" a="1"/>
  <c r="J20" i="16" s="1"/>
  <c r="AB9" i="16" a="1"/>
  <c r="AB9" i="16" s="1"/>
  <c r="I9" i="16" s="1" a="1"/>
  <c r="I9" i="16" s="1"/>
  <c r="AA23" i="16" a="1"/>
  <c r="AA23" i="16" s="1"/>
  <c r="H23" i="16" s="1" a="1"/>
  <c r="H23" i="16" s="1"/>
  <c r="AA8" i="16" a="1"/>
  <c r="AA8" i="16" s="1"/>
  <c r="H8" i="16" s="1" a="1"/>
  <c r="H8" i="16" s="1"/>
  <c r="Y20" i="16" a="1"/>
  <c r="Y20" i="16" s="1"/>
  <c r="X19" i="16" a="1"/>
  <c r="X19" i="16" s="1"/>
  <c r="W12" i="16" a="1"/>
  <c r="W12" i="16" s="1"/>
  <c r="W6" i="16" a="1"/>
  <c r="W6" i="16" s="1"/>
  <c r="V6" i="16" a="1"/>
  <c r="V6" i="16" s="1"/>
  <c r="T17" i="16" a="1"/>
  <c r="T17" i="16" s="1"/>
  <c r="T6" i="16" a="1"/>
  <c r="T6" i="16" s="1"/>
  <c r="S19" i="16" a="1"/>
  <c r="S19" i="16" s="1"/>
  <c r="R18" i="16" a="1"/>
  <c r="R18" i="16" s="1"/>
  <c r="R13" i="16" a="1"/>
  <c r="R13" i="16" s="1"/>
  <c r="Q27" i="16" a="1"/>
  <c r="Q27" i="16" s="1"/>
  <c r="P5" i="16" a="1"/>
  <c r="P5" i="16" s="1"/>
  <c r="O27" i="16" a="1"/>
  <c r="O27" i="16" s="1"/>
  <c r="N12" i="16" a="1"/>
  <c r="N12" i="16" s="1"/>
  <c r="N9" i="16" a="1"/>
  <c r="N9" i="16" s="1"/>
  <c r="M21" i="16" a="1"/>
  <c r="M21" i="16" s="1"/>
  <c r="K20" i="5"/>
  <c r="H17" i="5"/>
  <c r="L17" i="5" s="1" a="1"/>
  <c r="L17" i="5" s="1"/>
  <c r="K19" i="5"/>
  <c r="H16" i="5"/>
  <c r="L16" i="5" s="1" a="1"/>
  <c r="L16" i="5" s="1"/>
  <c r="J18" i="5"/>
  <c r="K12" i="5"/>
  <c r="H8" i="5"/>
  <c r="L8" i="5" s="1" a="1"/>
  <c r="L8" i="5" s="1"/>
  <c r="AC18" i="16" a="1"/>
  <c r="AC18" i="16" s="1"/>
  <c r="J18" i="16" s="1" a="1"/>
  <c r="J18" i="16" s="1"/>
  <c r="AB7" i="16" a="1"/>
  <c r="AB7" i="16" s="1"/>
  <c r="I7" i="16" s="1" a="1"/>
  <c r="I7" i="16" s="1"/>
  <c r="AA25" i="16" a="1"/>
  <c r="AA25" i="16" s="1"/>
  <c r="H25" i="16" s="1" a="1"/>
  <c r="H25" i="16" s="1"/>
  <c r="Z14" i="16" a="1"/>
  <c r="Z14" i="16" s="1"/>
  <c r="Y7" i="16" a="1"/>
  <c r="Y7" i="16" s="1"/>
  <c r="Y9" i="16" a="1"/>
  <c r="Y9" i="16" s="1"/>
  <c r="W14" i="16" a="1"/>
  <c r="W14" i="16" s="1"/>
  <c r="V11" i="16" a="1"/>
  <c r="V11" i="16" s="1"/>
  <c r="V24" i="16" a="1"/>
  <c r="V24" i="16" s="1"/>
  <c r="U17" i="16" a="1"/>
  <c r="U17" i="16" s="1"/>
  <c r="T13" i="16" a="1"/>
  <c r="T13" i="16" s="1"/>
  <c r="T7" i="16" a="1"/>
  <c r="T7" i="16" s="1"/>
  <c r="S7" i="16" a="1"/>
  <c r="S7" i="16" s="1"/>
  <c r="R7" i="16" a="1"/>
  <c r="R7" i="16" s="1"/>
  <c r="P19" i="16" a="1"/>
  <c r="P19" i="16" s="1"/>
  <c r="P21" i="16" a="1"/>
  <c r="P21" i="16" s="1"/>
  <c r="O20" i="16" a="1"/>
  <c r="O20" i="16" s="1"/>
  <c r="N3" i="16" a="1"/>
  <c r="N3" i="16" s="1"/>
  <c r="M15" i="16" a="1"/>
  <c r="M15" i="16" s="1"/>
  <c r="K15" i="16" a="1"/>
  <c r="K15" i="16" s="1"/>
  <c r="K23" i="16" a="1"/>
  <c r="K23" i="16" s="1"/>
  <c r="J21" i="5"/>
  <c r="K15" i="5"/>
  <c r="J20" i="5"/>
  <c r="K14" i="5"/>
  <c r="H10" i="5"/>
  <c r="L10" i="5" s="1" a="1"/>
  <c r="L10" i="5" s="1"/>
  <c r="J16" i="5"/>
  <c r="AC14" i="16" a="1"/>
  <c r="AC14" i="16" s="1"/>
  <c r="J14" i="16" s="1" a="1"/>
  <c r="J14" i="16" s="1"/>
  <c r="AB19" i="16" a="1"/>
  <c r="AB19" i="16" s="1"/>
  <c r="I19" i="16" s="1" a="1"/>
  <c r="I19" i="16" s="1"/>
  <c r="AA15" i="16" a="1"/>
  <c r="AA15" i="16" s="1"/>
  <c r="H15" i="16" s="1" a="1"/>
  <c r="H15" i="16" s="1"/>
  <c r="AA2" i="16" a="1"/>
  <c r="AA2" i="16" s="1"/>
  <c r="H2" i="16" s="1" a="1"/>
  <c r="H2" i="16" s="1"/>
  <c r="Z8" i="16" a="1"/>
  <c r="Z8" i="16" s="1"/>
  <c r="Y3" i="16" a="1"/>
  <c r="Y3" i="16" s="1"/>
  <c r="Y2" i="16" a="1"/>
  <c r="Y2" i="16" s="1"/>
  <c r="X24" i="16" a="1"/>
  <c r="X24" i="16" s="1"/>
  <c r="W23" i="16" a="1"/>
  <c r="W23" i="16" s="1"/>
  <c r="V17" i="16" a="1"/>
  <c r="V17" i="16" s="1"/>
  <c r="U11" i="16" a="1"/>
  <c r="U11" i="16" s="1"/>
  <c r="T9" i="16" a="1"/>
  <c r="T9" i="16" s="1"/>
  <c r="T2" i="16" a="1"/>
  <c r="T2" i="16" s="1"/>
  <c r="R3" i="16" a="1"/>
  <c r="R3" i="16" s="1"/>
  <c r="R4" i="16" a="1"/>
  <c r="R4" i="16" s="1"/>
  <c r="Q6" i="16" a="1"/>
  <c r="Q6" i="16" s="1"/>
  <c r="P17" i="16" a="1"/>
  <c r="P17" i="16" s="1"/>
  <c r="P4" i="16" a="1"/>
  <c r="P4" i="16" s="1"/>
  <c r="O26" i="16" a="1"/>
  <c r="O26" i="16" s="1"/>
  <c r="N5" i="16" a="1"/>
  <c r="N5" i="16" s="1"/>
  <c r="N24" i="16" a="1"/>
  <c r="N24" i="16" s="1"/>
  <c r="M11" i="16" a="1"/>
  <c r="M11" i="16" s="1"/>
  <c r="K17" i="16" a="1"/>
  <c r="K17" i="16" s="1"/>
  <c r="K12" i="16" a="1"/>
  <c r="K12" i="16" s="1"/>
  <c r="H13" i="5"/>
  <c r="L13" i="5" s="1" a="1"/>
  <c r="L13" i="5" s="1"/>
  <c r="J19" i="5"/>
  <c r="H9" i="5"/>
  <c r="L9" i="5" s="1" a="1"/>
  <c r="L9" i="5" s="1"/>
  <c r="AC6" i="16" a="1"/>
  <c r="AC6" i="16" s="1"/>
  <c r="J6" i="16" s="1" a="1"/>
  <c r="J6" i="16" s="1"/>
  <c r="AC22" i="16" a="1"/>
  <c r="AC22" i="16" s="1"/>
  <c r="J22" i="16" s="1" a="1"/>
  <c r="J22" i="16" s="1"/>
  <c r="AB26" i="16" a="1"/>
  <c r="AB26" i="16" s="1"/>
  <c r="I26" i="16" s="1" a="1"/>
  <c r="I26" i="16" s="1"/>
  <c r="Z19" i="16" a="1"/>
  <c r="Z19" i="16" s="1"/>
  <c r="Y5" i="16" a="1"/>
  <c r="Y5" i="16" s="1"/>
  <c r="X6" i="16" a="1"/>
  <c r="X6" i="16" s="1"/>
  <c r="W8" i="16" a="1"/>
  <c r="W8" i="16" s="1"/>
  <c r="V15" i="16" a="1"/>
  <c r="V15" i="16" s="1"/>
  <c r="V8" i="16" a="1"/>
  <c r="V8" i="16" s="1"/>
  <c r="U24" i="16" a="1"/>
  <c r="U24" i="16" s="1"/>
  <c r="T8" i="16" a="1"/>
  <c r="T8" i="16" s="1"/>
  <c r="S26" i="16" a="1"/>
  <c r="S26" i="16" s="1"/>
  <c r="R5" i="16" a="1"/>
  <c r="R5" i="16" s="1"/>
  <c r="R21" i="16" a="1"/>
  <c r="R21" i="16" s="1"/>
  <c r="Q23" i="16" a="1"/>
  <c r="Q23" i="16" s="1"/>
  <c r="P14" i="16" a="1"/>
  <c r="P14" i="16" s="1"/>
  <c r="N27" i="16" a="1"/>
  <c r="N27" i="16" s="1"/>
  <c r="N20" i="16" a="1"/>
  <c r="N20" i="16" s="1"/>
  <c r="M16" i="16" a="1"/>
  <c r="M16" i="16" s="1"/>
  <c r="K7" i="16" a="1"/>
  <c r="K7" i="16" s="1"/>
  <c r="K2" i="16" a="1"/>
  <c r="K2" i="16" s="1"/>
  <c r="J17" i="5"/>
  <c r="H7" i="5"/>
  <c r="L7" i="5" s="1" a="1"/>
  <c r="L7" i="5" s="1"/>
  <c r="J15" i="5"/>
  <c r="K9" i="5"/>
  <c r="J14" i="5"/>
  <c r="K7" i="5"/>
  <c r="AB17" i="16" a="1"/>
  <c r="AB17" i="16" s="1"/>
  <c r="I17" i="16" s="1" a="1"/>
  <c r="I17" i="16" s="1"/>
  <c r="AA5" i="16" a="1"/>
  <c r="AA5" i="16" s="1"/>
  <c r="H5" i="16" s="1" a="1"/>
  <c r="H5" i="16" s="1"/>
  <c r="AA14" i="16" a="1"/>
  <c r="AA14" i="16" s="1"/>
  <c r="H14" i="16" s="1" a="1"/>
  <c r="H14" i="16" s="1"/>
  <c r="Z17" i="16" a="1"/>
  <c r="Z17" i="16" s="1"/>
  <c r="Y13" i="16" a="1"/>
  <c r="Y13" i="16" s="1"/>
  <c r="X3" i="16" a="1"/>
  <c r="X3" i="16" s="1"/>
  <c r="X10" i="16" a="1"/>
  <c r="X10" i="16" s="1"/>
  <c r="V23" i="16" a="1"/>
  <c r="V23" i="16" s="1"/>
  <c r="V10" i="16" a="1"/>
  <c r="V10" i="16" s="1"/>
  <c r="U16" i="16" a="1"/>
  <c r="U16" i="16" s="1"/>
  <c r="T23" i="16" a="1"/>
  <c r="T23" i="16" s="1"/>
  <c r="T21" i="16" a="1"/>
  <c r="T21" i="16" s="1"/>
  <c r="R12" i="16" a="1"/>
  <c r="R12" i="16" s="1"/>
  <c r="Q3" i="16" a="1"/>
  <c r="Q3" i="16" s="1"/>
  <c r="P15" i="16" a="1"/>
  <c r="P15" i="16" s="1"/>
  <c r="P25" i="16" a="1"/>
  <c r="P25" i="16" s="1"/>
  <c r="O22" i="16" a="1"/>
  <c r="O22" i="16" s="1"/>
  <c r="N23" i="16" a="1"/>
  <c r="N23" i="16" s="1"/>
  <c r="N26" i="16" a="1"/>
  <c r="N26" i="16" s="1"/>
  <c r="K24" i="16" a="1"/>
  <c r="K24" i="16" s="1"/>
  <c r="AC12" i="16" a="1"/>
  <c r="AC12" i="16" s="1"/>
  <c r="J12" i="16" s="1" a="1"/>
  <c r="J12" i="16" s="1"/>
  <c r="AC8" i="16" a="1"/>
  <c r="AC8" i="16" s="1"/>
  <c r="J8" i="16" s="1" a="1"/>
  <c r="J8" i="16" s="1"/>
  <c r="AB20" i="16" a="1"/>
  <c r="AB20" i="16" s="1"/>
  <c r="I20" i="16" s="1" a="1"/>
  <c r="I20" i="16" s="1"/>
  <c r="AA3" i="16" a="1"/>
  <c r="AA3" i="16" s="1"/>
  <c r="H3" i="16" s="1" a="1"/>
  <c r="H3" i="16" s="1"/>
  <c r="AA10" i="16" a="1"/>
  <c r="AA10" i="16" s="1"/>
  <c r="H10" i="16" s="1" a="1"/>
  <c r="H10" i="16" s="1"/>
  <c r="Z25" i="16" a="1"/>
  <c r="Z25" i="16" s="1"/>
  <c r="Y24" i="16" a="1"/>
  <c r="Y24" i="16" s="1"/>
  <c r="X14" i="16" a="1"/>
  <c r="X14" i="16" s="1"/>
  <c r="W16" i="16" a="1"/>
  <c r="W16" i="16" s="1"/>
  <c r="V14" i="16" a="1"/>
  <c r="V14" i="16" s="1"/>
  <c r="U13" i="16" a="1"/>
  <c r="U13" i="16" s="1"/>
  <c r="T12" i="16" a="1"/>
  <c r="T12" i="16" s="1"/>
  <c r="S15" i="16" a="1"/>
  <c r="S15" i="16" s="1"/>
  <c r="S13" i="16" a="1"/>
  <c r="S13" i="16" s="1"/>
  <c r="R17" i="16" a="1"/>
  <c r="R17" i="16" s="1"/>
  <c r="R23" i="16" a="1"/>
  <c r="R23" i="16" s="1"/>
  <c r="Q24" i="16" a="1"/>
  <c r="Q24" i="16" s="1"/>
  <c r="P10" i="16" a="1"/>
  <c r="P10" i="16" s="1"/>
  <c r="O11" i="16" a="1"/>
  <c r="O11" i="16" s="1"/>
  <c r="N14" i="16" a="1"/>
  <c r="N14" i="16" s="1"/>
  <c r="M26" i="16" a="1"/>
  <c r="M26" i="16" s="1"/>
  <c r="K4" i="16" a="1"/>
  <c r="K4" i="16" s="1"/>
  <c r="K8" i="16" a="1"/>
  <c r="K8" i="16" s="1"/>
  <c r="AC7" i="16" a="1"/>
  <c r="AC7" i="16" s="1"/>
  <c r="J7" i="16" s="1" a="1"/>
  <c r="J7" i="16" s="1"/>
  <c r="AC10" i="16" a="1"/>
  <c r="AC10" i="16" s="1"/>
  <c r="J10" i="16" s="1" a="1"/>
  <c r="J10" i="16" s="1"/>
  <c r="AA17" i="16" a="1"/>
  <c r="AA17" i="16" s="1"/>
  <c r="H17" i="16" s="1" a="1"/>
  <c r="H17" i="16" s="1"/>
  <c r="AA6" i="16" a="1"/>
  <c r="AA6" i="16" s="1"/>
  <c r="H6" i="16" s="1" a="1"/>
  <c r="H6" i="16" s="1"/>
  <c r="Z2" i="16" a="1"/>
  <c r="Z2" i="16" s="1"/>
  <c r="X15" i="16" a="1"/>
  <c r="X15" i="16" s="1"/>
  <c r="X25" i="16" a="1"/>
  <c r="X25" i="16" s="1"/>
  <c r="W4" i="16" a="1"/>
  <c r="W4" i="16" s="1"/>
  <c r="V2" i="16" a="1"/>
  <c r="V2" i="16" s="1"/>
  <c r="U27" i="16" a="1"/>
  <c r="U27" i="16" s="1"/>
  <c r="T18" i="16" a="1"/>
  <c r="T18" i="16" s="1"/>
  <c r="S20" i="16" a="1"/>
  <c r="S20" i="16" s="1"/>
  <c r="R2" i="16" a="1"/>
  <c r="R2" i="16" s="1"/>
  <c r="R19" i="16" a="1"/>
  <c r="R19" i="16" s="1"/>
  <c r="Q16" i="16" a="1"/>
  <c r="Q16" i="16" s="1"/>
  <c r="P16" i="16" a="1"/>
  <c r="P16" i="16" s="1"/>
  <c r="P6" i="16" a="1"/>
  <c r="P6" i="16" s="1"/>
  <c r="O25" i="16" a="1"/>
  <c r="O25" i="16" s="1"/>
  <c r="N16" i="16" a="1"/>
  <c r="N16" i="16" s="1"/>
  <c r="N10" i="16" a="1"/>
  <c r="N10" i="16" s="1"/>
  <c r="M4" i="16" a="1"/>
  <c r="M4" i="16" s="1"/>
  <c r="K25" i="16" a="1"/>
  <c r="K25" i="16" s="1"/>
  <c r="K18" i="16" a="1"/>
  <c r="K18" i="16" s="1"/>
  <c r="AC13" i="16" a="1"/>
  <c r="AC13" i="16" s="1"/>
  <c r="J13" i="16" s="1" a="1"/>
  <c r="J13" i="16" s="1"/>
  <c r="AC25" i="16" a="1"/>
  <c r="AC25" i="16" s="1"/>
  <c r="J25" i="16" s="1" a="1"/>
  <c r="J25" i="16" s="1"/>
  <c r="AB13" i="16" a="1"/>
  <c r="AB13" i="16" s="1"/>
  <c r="I13" i="16" s="1" a="1"/>
  <c r="I13" i="16" s="1"/>
  <c r="AA7" i="16" a="1"/>
  <c r="AA7" i="16" s="1"/>
  <c r="H7" i="16" s="1" a="1"/>
  <c r="H7" i="16" s="1"/>
  <c r="Z9" i="16" a="1"/>
  <c r="Z9" i="16" s="1"/>
  <c r="Y19" i="16" a="1"/>
  <c r="Y19" i="16" s="1"/>
  <c r="X5" i="16" a="1"/>
  <c r="X5" i="16" s="1"/>
  <c r="X16" i="16" a="1"/>
  <c r="X16" i="16" s="1"/>
  <c r="W25" i="16" a="1"/>
  <c r="W25" i="16" s="1"/>
  <c r="V12" i="16" a="1"/>
  <c r="V12" i="16" s="1"/>
  <c r="V21" i="16" a="1"/>
  <c r="V21" i="16" s="1"/>
  <c r="U18" i="16" a="1"/>
  <c r="U18" i="16" s="1"/>
  <c r="T16" i="16" a="1"/>
  <c r="T16" i="16" s="1"/>
  <c r="S16" i="16" a="1"/>
  <c r="S16" i="16" s="1"/>
  <c r="S9" i="16" a="1"/>
  <c r="S9" i="16" s="1"/>
  <c r="R14" i="16" a="1"/>
  <c r="R14" i="16" s="1"/>
  <c r="R25" i="16" a="1"/>
  <c r="R25" i="16" s="1"/>
  <c r="P12" i="16" a="1"/>
  <c r="P12" i="16" s="1"/>
  <c r="P2" i="16" a="1"/>
  <c r="P2" i="16" s="1"/>
  <c r="O13" i="16" a="1"/>
  <c r="O13" i="16" s="1"/>
  <c r="M24" i="16" a="1"/>
  <c r="M24" i="16" s="1"/>
  <c r="K10" i="16" a="1"/>
  <c r="K10" i="16" s="1"/>
  <c r="AC23" i="16" a="1"/>
  <c r="AC23" i="16" s="1"/>
  <c r="J23" i="16" s="1" a="1"/>
  <c r="J23" i="16" s="1"/>
  <c r="AC2" i="16" a="1"/>
  <c r="AC2" i="16" s="1"/>
  <c r="J2" i="16" s="1" a="1"/>
  <c r="J2" i="16" s="1"/>
  <c r="AA16" i="16" a="1"/>
  <c r="AA16" i="16" s="1"/>
  <c r="H16" i="16" s="1" a="1"/>
  <c r="H16" i="16" s="1"/>
  <c r="Z12" i="16" a="1"/>
  <c r="Z12" i="16" s="1"/>
  <c r="Y4" i="16" a="1"/>
  <c r="Y4" i="16" s="1"/>
  <c r="X12" i="16" a="1"/>
  <c r="X12" i="16" s="1"/>
  <c r="X20" i="16" a="1"/>
  <c r="X20" i="16" s="1"/>
  <c r="W13" i="16" a="1"/>
  <c r="W13" i="16" s="1"/>
  <c r="V22" i="16" a="1"/>
  <c r="V22" i="16" s="1"/>
  <c r="U22" i="16" a="1"/>
  <c r="U22" i="16" s="1"/>
  <c r="T20" i="16" a="1"/>
  <c r="T20" i="16" s="1"/>
  <c r="S4" i="16" a="1"/>
  <c r="S4" i="16" s="1"/>
  <c r="Q12" i="16" a="1"/>
  <c r="Q12" i="16" s="1"/>
  <c r="Q4" i="16" a="1"/>
  <c r="Q4" i="16" s="1"/>
  <c r="P23" i="16" a="1"/>
  <c r="P23" i="16" s="1"/>
  <c r="O24" i="16" a="1"/>
  <c r="O24" i="16" s="1"/>
  <c r="N17" i="16" a="1"/>
  <c r="N17" i="16" s="1"/>
  <c r="N22" i="16" a="1"/>
  <c r="N22" i="16" s="1"/>
  <c r="M2" i="16" a="1"/>
  <c r="M2" i="16" s="1"/>
  <c r="K14" i="16" a="1"/>
  <c r="K14" i="16" s="1"/>
  <c r="K22" i="16" a="1"/>
  <c r="K22" i="16" s="1"/>
  <c r="AC11" i="16" a="1"/>
  <c r="AC11" i="16" s="1"/>
  <c r="J11" i="16" s="1" a="1"/>
  <c r="J11" i="16" s="1"/>
  <c r="AC24" i="16" a="1"/>
  <c r="AC24" i="16" s="1"/>
  <c r="J24" i="16" s="1" a="1"/>
  <c r="J24" i="16" s="1"/>
  <c r="AB24" i="16" a="1"/>
  <c r="AB24" i="16" s="1"/>
  <c r="I24" i="16" s="1" a="1"/>
  <c r="I24" i="16" s="1"/>
  <c r="AA11" i="16" a="1"/>
  <c r="AA11" i="16" s="1"/>
  <c r="H11" i="16" s="1" a="1"/>
  <c r="H11" i="16" s="1"/>
  <c r="Z23" i="16" a="1"/>
  <c r="Z23" i="16" s="1"/>
  <c r="Z13" i="16" a="1"/>
  <c r="Z13" i="16" s="1"/>
  <c r="Y6" i="16" a="1"/>
  <c r="Y6" i="16" s="1"/>
  <c r="W24" i="16" a="1"/>
  <c r="W24" i="16" s="1"/>
  <c r="V19" i="16" a="1"/>
  <c r="V19" i="16" s="1"/>
  <c r="V18" i="16" a="1"/>
  <c r="V18" i="16" s="1"/>
  <c r="U14" i="16" a="1"/>
  <c r="U14" i="16" s="1"/>
  <c r="S6" i="16" a="1"/>
  <c r="S6" i="16" s="1"/>
  <c r="S8" i="16" a="1"/>
  <c r="S8" i="16" s="1"/>
  <c r="R10" i="16" a="1"/>
  <c r="R10" i="16" s="1"/>
  <c r="Q17" i="16" a="1"/>
  <c r="Q17" i="16" s="1"/>
  <c r="Q2" i="16" a="1"/>
  <c r="Q2" i="16" s="1"/>
  <c r="P7" i="16" a="1"/>
  <c r="P7" i="16" s="1"/>
  <c r="O17" i="16" a="1"/>
  <c r="O17" i="16" s="1"/>
  <c r="O18" i="16" a="1"/>
  <c r="O18" i="16" s="1"/>
  <c r="N11" i="16" a="1"/>
  <c r="N11" i="16" s="1"/>
  <c r="M19" i="16" a="1"/>
  <c r="M19" i="16" s="1"/>
  <c r="M18" i="16" a="1"/>
  <c r="M18" i="16" s="1"/>
  <c r="K27" i="16" a="1"/>
  <c r="K27" i="16" s="1"/>
  <c r="K9" i="16" a="1"/>
  <c r="K9" i="16" s="1"/>
  <c r="H21" i="5"/>
  <c r="L21" i="5" s="1" a="1"/>
  <c r="L21" i="5" s="1"/>
  <c r="AC21" i="16" a="1"/>
  <c r="AC21" i="16" s="1"/>
  <c r="J21" i="16" s="1" a="1"/>
  <c r="J21" i="16" s="1"/>
  <c r="AB14" i="16" a="1"/>
  <c r="AB14" i="16" s="1"/>
  <c r="I14" i="16" s="1" a="1"/>
  <c r="I14" i="16" s="1"/>
  <c r="AA24" i="16" a="1"/>
  <c r="AA24" i="16" s="1"/>
  <c r="H24" i="16" s="1" a="1"/>
  <c r="H24" i="16" s="1"/>
  <c r="Z6" i="16" a="1"/>
  <c r="Z6" i="16" s="1"/>
  <c r="Y16" i="16" a="1"/>
  <c r="Y16" i="16" s="1"/>
  <c r="X23" i="16" a="1"/>
  <c r="X23" i="16" s="1"/>
  <c r="X9" i="16" a="1"/>
  <c r="X9" i="16" s="1"/>
  <c r="W20" i="16" a="1"/>
  <c r="W20" i="16" s="1"/>
  <c r="V16" i="16" a="1"/>
  <c r="V16" i="16" s="1"/>
  <c r="U3" i="16" a="1"/>
  <c r="U3" i="16" s="1"/>
  <c r="U10" i="16" a="1"/>
  <c r="U10" i="16" s="1"/>
  <c r="T15" i="16" a="1"/>
  <c r="T15" i="16" s="1"/>
  <c r="S21" i="16" a="1"/>
  <c r="S21" i="16" s="1"/>
  <c r="S24" i="16" a="1"/>
  <c r="S24" i="16" s="1"/>
  <c r="R26" i="16" a="1"/>
  <c r="R26" i="16" s="1"/>
  <c r="Q8" i="16" a="1"/>
  <c r="Q8" i="16" s="1"/>
  <c r="Q26" i="16" a="1"/>
  <c r="Q26" i="16" s="1"/>
  <c r="P11" i="16" a="1"/>
  <c r="P11" i="16" s="1"/>
  <c r="O3" i="16" a="1"/>
  <c r="O3" i="16" s="1"/>
  <c r="N19" i="16" a="1"/>
  <c r="N19" i="16" s="1"/>
  <c r="M7" i="16" a="1"/>
  <c r="M7" i="16" s="1"/>
  <c r="M22" i="16" a="1"/>
  <c r="M22" i="16" s="1"/>
  <c r="K20" i="16" a="1"/>
  <c r="K20" i="16" s="1"/>
  <c r="H18" i="5"/>
  <c r="L18" i="5" s="1" a="1"/>
  <c r="L18" i="5" s="1"/>
  <c r="AC15" i="16" a="1"/>
  <c r="AC15" i="16" s="1"/>
  <c r="J15" i="16" s="1" a="1"/>
  <c r="J15" i="16" s="1"/>
  <c r="AC19" i="16" a="1"/>
  <c r="AC19" i="16" s="1"/>
  <c r="J19" i="16" s="1" a="1"/>
  <c r="J19" i="16" s="1"/>
  <c r="AB10" i="16" a="1"/>
  <c r="AB10" i="16" s="1"/>
  <c r="I10" i="16" s="1" a="1"/>
  <c r="I10" i="16" s="1"/>
  <c r="Z24" i="16" a="1"/>
  <c r="Z24" i="16" s="1"/>
  <c r="Z20" i="16" a="1"/>
  <c r="Z20" i="16" s="1"/>
  <c r="Y18" i="16" a="1"/>
  <c r="Y18" i="16" s="1"/>
  <c r="X17" i="16" a="1"/>
  <c r="X17" i="16" s="1"/>
  <c r="X18" i="16" a="1"/>
  <c r="X18" i="16" s="1"/>
  <c r="V3" i="16" a="1"/>
  <c r="V3" i="16" s="1"/>
  <c r="U9" i="16" a="1"/>
  <c r="U9" i="16" s="1"/>
  <c r="T11" i="16" a="1"/>
  <c r="T11" i="16" s="1"/>
  <c r="S3" i="16" a="1"/>
  <c r="S3" i="16" s="1"/>
  <c r="S18" i="16" a="1"/>
  <c r="S18" i="16" s="1"/>
  <c r="R22" i="16" a="1"/>
  <c r="R22" i="16" s="1"/>
  <c r="Q10" i="16" a="1"/>
  <c r="Q10" i="16" s="1"/>
  <c r="P9" i="16" a="1"/>
  <c r="P9" i="16" s="1"/>
  <c r="O5" i="16" a="1"/>
  <c r="O5" i="16" s="1"/>
  <c r="O12" i="16" a="1"/>
  <c r="O12" i="16" s="1"/>
  <c r="N6" i="16" a="1"/>
  <c r="N6" i="16" s="1"/>
  <c r="M20" i="16" a="1"/>
  <c r="M20" i="16" s="1"/>
  <c r="K5" i="16" a="1"/>
  <c r="K5" i="16" s="1"/>
  <c r="AC3" i="16" a="1"/>
  <c r="AC3" i="16" s="1"/>
  <c r="J3" i="16" s="1" a="1"/>
  <c r="J3" i="16" s="1"/>
  <c r="AB23" i="16" a="1"/>
  <c r="AB23" i="16" s="1"/>
  <c r="I23" i="16" s="1" a="1"/>
  <c r="I23" i="16" s="1"/>
  <c r="AB11" i="16" a="1"/>
  <c r="AB11" i="16" s="1"/>
  <c r="I11" i="16" s="1" a="1"/>
  <c r="I11" i="16" s="1"/>
  <c r="AA4" i="16" a="1"/>
  <c r="AA4" i="16" s="1"/>
  <c r="H4" i="16" s="1" a="1"/>
  <c r="H4" i="16" s="1"/>
  <c r="Z15" i="16" a="1"/>
  <c r="Z15" i="16" s="1"/>
  <c r="X26" i="16" a="1"/>
  <c r="X26" i="16" s="1"/>
  <c r="X22" i="16" a="1"/>
  <c r="X22" i="16" s="1"/>
  <c r="W9" i="16" a="1"/>
  <c r="W9" i="16" s="1"/>
  <c r="V5" i="16" a="1"/>
  <c r="V5" i="16" s="1"/>
  <c r="U5" i="16" a="1"/>
  <c r="U5" i="16" s="1"/>
  <c r="U6" i="16" a="1"/>
  <c r="U6" i="16" s="1"/>
  <c r="T3" i="16" a="1"/>
  <c r="T3" i="16" s="1"/>
  <c r="R20" i="16" a="1"/>
  <c r="R20" i="16" s="1"/>
  <c r="Q5" i="16" a="1"/>
  <c r="Q5" i="16" s="1"/>
  <c r="Q14" i="16" a="1"/>
  <c r="Q14" i="16" s="1"/>
  <c r="P20" i="16" a="1"/>
  <c r="P20" i="16" s="1"/>
  <c r="O2" i="16" a="1"/>
  <c r="O2" i="16" s="1"/>
  <c r="N4" i="16" a="1"/>
  <c r="N4" i="16" s="1"/>
  <c r="M14" i="16" a="1"/>
  <c r="M14" i="16" s="1"/>
  <c r="M9" i="16" a="1"/>
  <c r="M9" i="16" s="1"/>
  <c r="K21" i="16" a="1"/>
  <c r="K21" i="16" s="1"/>
  <c r="AC5" i="16" a="1"/>
  <c r="AC5" i="16" s="1"/>
  <c r="J5" i="16" s="1" a="1"/>
  <c r="J5" i="16" s="1"/>
  <c r="AB12" i="16" a="1"/>
  <c r="AB12" i="16" s="1"/>
  <c r="I12" i="16" s="1" a="1"/>
  <c r="I12" i="16" s="1"/>
  <c r="AB8" i="16" a="1"/>
  <c r="AB8" i="16" s="1"/>
  <c r="I8" i="16" s="1" a="1"/>
  <c r="I8" i="16" s="1"/>
  <c r="Z21" i="16" a="1"/>
  <c r="Z21" i="16" s="1"/>
  <c r="Z4" i="16" a="1"/>
  <c r="Z4" i="16" s="1"/>
  <c r="Z11" i="16" a="1"/>
  <c r="Z11" i="16" s="1"/>
  <c r="Y22" i="16" a="1"/>
  <c r="Y22" i="16" s="1"/>
  <c r="X7" i="16" a="1"/>
  <c r="X7" i="16" s="1"/>
  <c r="X2" i="16" a="1"/>
  <c r="X2" i="16" s="1"/>
  <c r="V7" i="16" a="1"/>
  <c r="V7" i="16" s="1"/>
  <c r="U15" i="16" a="1"/>
  <c r="U15" i="16" s="1"/>
  <c r="T5" i="16" a="1"/>
  <c r="T5" i="16" s="1"/>
  <c r="S5" i="16" a="1"/>
  <c r="S5" i="16" s="1"/>
  <c r="S22" i="16" a="1"/>
  <c r="S22" i="16" s="1"/>
  <c r="R9" i="16" a="1"/>
  <c r="R9" i="16" s="1"/>
  <c r="Q13" i="16" a="1"/>
  <c r="Q13" i="16" s="1"/>
  <c r="P8" i="16" a="1"/>
  <c r="P8" i="16" s="1"/>
  <c r="O15" i="16" a="1"/>
  <c r="O15" i="16" s="1"/>
  <c r="O23" i="16" a="1"/>
  <c r="O23" i="16" s="1"/>
  <c r="N18" i="16" a="1"/>
  <c r="N18" i="16" s="1"/>
  <c r="M10" i="16" a="1"/>
  <c r="M10" i="16" s="1"/>
  <c r="M8" i="16" a="1"/>
  <c r="M8" i="16" s="1"/>
  <c r="K19" i="16" a="1"/>
  <c r="K19" i="16" s="1"/>
  <c r="AB15" i="16" a="1"/>
  <c r="AB15" i="16" s="1"/>
  <c r="I15" i="16" s="1" a="1"/>
  <c r="I15" i="16" s="1"/>
  <c r="AB4" i="16" a="1"/>
  <c r="AB4" i="16" s="1"/>
  <c r="I4" i="16" s="1" a="1"/>
  <c r="I4" i="16" s="1"/>
  <c r="AA13" i="16" a="1"/>
  <c r="AA13" i="16" s="1"/>
  <c r="H13" i="16" s="1" a="1"/>
  <c r="H13" i="16" s="1"/>
  <c r="Z18" i="16" a="1"/>
  <c r="Z18" i="16" s="1"/>
  <c r="Y8" i="16" a="1"/>
  <c r="Y8" i="16" s="1"/>
  <c r="X4" i="16" a="1"/>
  <c r="X4" i="16" s="1"/>
  <c r="W3" i="16" a="1"/>
  <c r="W3" i="16" s="1"/>
  <c r="W2" i="16" a="1"/>
  <c r="W2" i="16" s="1"/>
  <c r="V4" i="16" a="1"/>
  <c r="V4" i="16" s="1"/>
  <c r="U7" i="16" a="1"/>
  <c r="U7" i="16" s="1"/>
  <c r="U20" i="16" a="1"/>
  <c r="U20" i="16" s="1"/>
  <c r="T10" i="16" a="1"/>
  <c r="T10" i="16" s="1"/>
  <c r="S12" i="16" a="1"/>
  <c r="S12" i="16" s="1"/>
  <c r="S2" i="16" a="1"/>
  <c r="S2" i="16" s="1"/>
  <c r="R24" i="16" a="1"/>
  <c r="R24" i="16" s="1"/>
  <c r="Q22" i="16" a="1"/>
  <c r="Q22" i="16" s="1"/>
  <c r="Q21" i="16" a="1"/>
  <c r="Q21" i="16" s="1"/>
  <c r="P26" i="16" a="1"/>
  <c r="P26" i="16" s="1"/>
  <c r="O21" i="16" a="1"/>
  <c r="O21" i="16" s="1"/>
  <c r="N25" i="16" a="1"/>
  <c r="N25" i="16" s="1"/>
  <c r="M17" i="16" a="1"/>
  <c r="M17" i="16" s="1"/>
  <c r="K11" i="16" a="1"/>
  <c r="K11" i="16" s="1"/>
  <c r="AC26" i="16" a="1"/>
  <c r="AC26" i="16" s="1"/>
  <c r="J26" i="16" s="1" a="1"/>
  <c r="J26" i="16" s="1"/>
  <c r="AB3" i="16" a="1"/>
  <c r="AB3" i="16" s="1"/>
  <c r="I3" i="16" s="1" a="1"/>
  <c r="I3" i="16" s="1"/>
  <c r="AB22" i="16" a="1"/>
  <c r="AB22" i="16" s="1"/>
  <c r="I22" i="16" s="1" a="1"/>
  <c r="I22" i="16" s="1"/>
  <c r="AA20" i="16" a="1"/>
  <c r="AA20" i="16" s="1"/>
  <c r="H20" i="16" s="1" a="1"/>
  <c r="H20" i="16" s="1"/>
  <c r="Z16" i="16" a="1"/>
  <c r="Z16" i="16" s="1"/>
  <c r="Z22" i="16" a="1"/>
  <c r="Z22" i="16" s="1"/>
  <c r="Y25" i="16" a="1"/>
  <c r="Y25" i="16" s="1"/>
  <c r="X21" i="16" a="1"/>
  <c r="X21" i="16" s="1"/>
  <c r="W10" i="16" a="1"/>
  <c r="W10" i="16" s="1"/>
  <c r="V13" i="16" a="1"/>
  <c r="V13" i="16" s="1"/>
  <c r="U12" i="16" a="1"/>
  <c r="U12" i="16" s="1"/>
  <c r="S23" i="16" a="1"/>
  <c r="S23" i="16" s="1"/>
  <c r="S25" i="16" a="1"/>
  <c r="S25" i="16" s="1"/>
  <c r="Q7" i="16" a="1"/>
  <c r="Q7" i="16" s="1"/>
  <c r="Q20" i="16" a="1"/>
  <c r="Q20" i="16" s="1"/>
  <c r="P24" i="16" a="1"/>
  <c r="P24" i="16" s="1"/>
  <c r="O10" i="16" a="1"/>
  <c r="O10" i="16" s="1"/>
  <c r="O8" i="16" a="1"/>
  <c r="O8" i="16" s="1"/>
  <c r="M27" i="16" a="1"/>
  <c r="M27" i="16" s="1"/>
  <c r="M5" i="16" a="1"/>
  <c r="M5" i="16" s="1"/>
  <c r="K16" i="16" a="1"/>
  <c r="K16" i="16" s="1"/>
  <c r="AB5" i="16" a="1"/>
  <c r="AB5" i="16" s="1"/>
  <c r="I5" i="16" s="1" a="1"/>
  <c r="I5" i="16" s="1"/>
  <c r="AB18" i="16" a="1"/>
  <c r="AB18" i="16" s="1"/>
  <c r="I18" i="16" s="1" a="1"/>
  <c r="I18" i="16" s="1"/>
  <c r="AA9" i="16" a="1"/>
  <c r="AA9" i="16" s="1"/>
  <c r="H9" i="16" s="1" a="1"/>
  <c r="H9" i="16" s="1"/>
  <c r="Y17" i="16" a="1"/>
  <c r="Y17" i="16" s="1"/>
  <c r="X11" i="16" a="1"/>
  <c r="X11" i="16" s="1"/>
  <c r="W5" i="16" a="1"/>
  <c r="W5" i="16" s="1"/>
  <c r="W22" i="16" a="1"/>
  <c r="W22" i="16" s="1"/>
  <c r="U23" i="16" a="1"/>
  <c r="U23" i="16" s="1"/>
  <c r="U2" i="16" a="1"/>
  <c r="U2" i="16" s="1"/>
  <c r="T14" i="16" a="1"/>
  <c r="T14" i="16" s="1"/>
  <c r="S14" i="16" a="1"/>
  <c r="S14" i="16" s="1"/>
  <c r="R6" i="16" a="1"/>
  <c r="R6" i="16" s="1"/>
  <c r="R11" i="16" a="1"/>
  <c r="R11" i="16" s="1"/>
  <c r="Q15" i="16" a="1"/>
  <c r="Q15" i="16" s="1"/>
  <c r="P13" i="16" a="1"/>
  <c r="P13" i="16" s="1"/>
  <c r="O7" i="16" a="1"/>
  <c r="O7" i="16" s="1"/>
  <c r="O4" i="16" a="1"/>
  <c r="O4" i="16" s="1"/>
  <c r="N7" i="16" a="1"/>
  <c r="N7" i="16" s="1"/>
  <c r="M12" i="16" a="1"/>
  <c r="M12" i="16" s="1"/>
  <c r="AC9" i="16" a="1"/>
  <c r="AC9" i="16" s="1"/>
  <c r="J9" i="16" s="1" a="1"/>
  <c r="J9" i="16" s="1"/>
  <c r="AB6" i="16" a="1"/>
  <c r="AB6" i="16" s="1"/>
  <c r="I6" i="16" s="1" a="1"/>
  <c r="I6" i="16" s="1"/>
  <c r="AB21" i="16" a="1"/>
  <c r="AB21" i="16" s="1"/>
  <c r="I21" i="16" s="1" a="1"/>
  <c r="I21" i="16" s="1"/>
  <c r="Z3" i="16" a="1"/>
  <c r="Z3" i="16" s="1"/>
  <c r="Y12" i="16" a="1"/>
  <c r="Y12" i="16" s="1"/>
  <c r="Y14" i="16" a="1"/>
  <c r="Y14" i="16" s="1"/>
  <c r="X13" i="16" a="1"/>
  <c r="X13" i="16" s="1"/>
  <c r="W15" i="16" a="1"/>
  <c r="W15" i="16" s="1"/>
  <c r="W18" i="16" a="1"/>
  <c r="W18" i="16" s="1"/>
  <c r="V25" i="16" a="1"/>
  <c r="V25" i="16" s="1"/>
  <c r="U4" i="16" a="1"/>
  <c r="U4" i="16" s="1"/>
  <c r="U21" i="16" a="1"/>
  <c r="U21" i="16" s="1"/>
  <c r="T25" i="16" a="1"/>
  <c r="T25" i="16" s="1"/>
  <c r="S10" i="16" a="1"/>
  <c r="S10" i="16" s="1"/>
  <c r="R15" i="16" a="1"/>
  <c r="R15" i="16" s="1"/>
  <c r="Q18" i="16" a="1"/>
  <c r="Q18" i="16" s="1"/>
  <c r="Q9" i="16" a="1"/>
  <c r="Q9" i="16" s="1"/>
  <c r="P22" i="16" a="1"/>
  <c r="P22" i="16" s="1"/>
  <c r="O9" i="16" a="1"/>
  <c r="O9" i="16" s="1"/>
  <c r="O6" i="16" a="1"/>
  <c r="O6" i="16" s="1"/>
  <c r="N8" i="16" a="1"/>
  <c r="N8" i="16" s="1"/>
  <c r="M23" i="16" a="1"/>
  <c r="M23" i="16" s="1"/>
  <c r="M3" i="16" a="1"/>
  <c r="M3" i="16" s="1"/>
  <c r="K3" i="16" a="1"/>
  <c r="K3" i="16" s="1"/>
  <c r="L39" i="16" a="1"/>
  <c r="L39" i="16" s="1"/>
  <c r="K8" i="5"/>
  <c r="H6" i="5"/>
  <c r="L6" i="5" s="1" a="1"/>
  <c r="L6" i="5" s="1"/>
  <c r="K6" i="5"/>
  <c r="H5" i="5"/>
  <c r="L5" i="5" s="1" a="1"/>
  <c r="L5" i="5" s="1"/>
  <c r="J5" i="5"/>
  <c r="H3" i="5"/>
  <c r="L3" i="5" s="1" a="1"/>
  <c r="L3" i="5" s="1"/>
  <c r="G27" i="16" l="1"/>
  <c r="G19" i="16"/>
  <c r="G24" i="16"/>
  <c r="Y90" i="16"/>
  <c r="T39" i="16" a="1"/>
  <c r="T39" i="16" s="1"/>
  <c r="Z35" i="16"/>
  <c r="R39" i="16" a="1"/>
  <c r="R39" i="16" s="1"/>
  <c r="G18" i="16"/>
  <c r="G12" i="16"/>
  <c r="G11" i="16"/>
  <c r="AC90" i="16"/>
  <c r="U39" i="16" a="1"/>
  <c r="U39" i="16" s="1"/>
  <c r="G16" i="16"/>
  <c r="G26" i="16"/>
  <c r="G14" i="16"/>
  <c r="T90" i="16"/>
  <c r="K90" i="16"/>
  <c r="G21" i="16"/>
  <c r="G9" i="16"/>
  <c r="G8" i="16"/>
  <c r="G6" i="16"/>
  <c r="S35" i="16"/>
  <c r="G25" i="16"/>
  <c r="Z90" i="16"/>
  <c r="V39" i="16" a="1"/>
  <c r="V39" i="16" s="1"/>
  <c r="K35" i="16"/>
  <c r="O90" i="16"/>
  <c r="G5" i="16"/>
  <c r="U35" i="16"/>
  <c r="N39" i="16" a="1"/>
  <c r="N39" i="16" s="1"/>
  <c r="G20" i="16"/>
  <c r="P35" i="16"/>
  <c r="G23" i="16"/>
  <c r="X90" i="16"/>
  <c r="G4" i="16"/>
  <c r="S90" i="16"/>
  <c r="G22" i="16"/>
  <c r="W39" i="16" a="1"/>
  <c r="W39" i="16" s="1"/>
  <c r="G13" i="16"/>
  <c r="J39" i="16" a="1"/>
  <c r="J39" i="16" s="1"/>
  <c r="Z39" i="16" a="1"/>
  <c r="Z39" i="16" s="1"/>
  <c r="T35" i="16"/>
  <c r="O39" i="16" a="1"/>
  <c r="O39" i="16" s="1"/>
  <c r="G3" i="16"/>
  <c r="R35" i="16"/>
  <c r="G15" i="16"/>
  <c r="Q35" i="16"/>
  <c r="J90" i="16"/>
  <c r="M39" i="16" a="1"/>
  <c r="M39" i="16" s="1"/>
  <c r="AB39" i="16" a="1"/>
  <c r="AB39" i="16" s="1"/>
  <c r="V90" i="16"/>
  <c r="H90" i="16"/>
  <c r="H92" i="16" s="1" a="1"/>
  <c r="H92" i="16" s="1"/>
  <c r="G7" i="16"/>
  <c r="R90" i="16"/>
  <c r="S39" i="16" a="1"/>
  <c r="S39" i="16" s="1"/>
  <c r="X35" i="16"/>
  <c r="O35" i="16"/>
  <c r="M35" i="16"/>
  <c r="AB35" i="16"/>
  <c r="H39" i="16" a="1"/>
  <c r="H39" i="16" s="1"/>
  <c r="K39" i="16" a="1"/>
  <c r="K39" i="16" s="1"/>
  <c r="G10" i="16"/>
  <c r="Y39" i="16" a="1"/>
  <c r="Y39" i="16" s="1"/>
  <c r="W35" i="16"/>
  <c r="Q90" i="16"/>
  <c r="X39" i="16" a="1"/>
  <c r="X39" i="16" s="1"/>
  <c r="V35" i="16"/>
  <c r="I90" i="16"/>
  <c r="M90" i="16"/>
  <c r="AB90" i="16"/>
  <c r="I39" i="16" a="1"/>
  <c r="I39" i="16" s="1"/>
  <c r="G2" i="16"/>
  <c r="Y35" i="16"/>
  <c r="W90" i="16"/>
  <c r="Q39" i="16" a="1"/>
  <c r="Q39" i="16" s="1"/>
  <c r="N35" i="16"/>
  <c r="G17" i="16"/>
  <c r="N90" i="16"/>
  <c r="P90" i="16"/>
  <c r="AA35" i="16"/>
  <c r="P39" i="16" a="1"/>
  <c r="P39" i="16" s="1"/>
  <c r="AA39" i="16" a="1"/>
  <c r="AA39" i="16" s="1"/>
  <c r="AC35" i="16"/>
  <c r="AA90" i="16"/>
  <c r="U90" i="16"/>
  <c r="AC39" i="16" a="1"/>
  <c r="AC39" i="16" s="1"/>
  <c r="E20" i="16" l="1" a="1"/>
  <c r="E20" i="16" s="1"/>
  <c r="G35" i="16"/>
  <c r="C19" i="16" s="1" a="1"/>
  <c r="C19" i="16" s="1"/>
  <c r="E14" i="16" a="1"/>
  <c r="E14" i="16" s="1"/>
  <c r="E7" i="16" a="1"/>
  <c r="E7" i="16" s="1"/>
  <c r="E10" i="16" a="1"/>
  <c r="E10" i="16" s="1"/>
  <c r="E5" i="16" a="1"/>
  <c r="E5" i="16" s="1"/>
  <c r="I92" i="16" a="1"/>
  <c r="I92" i="16" s="1"/>
  <c r="J92" i="16" s="1" a="1"/>
  <c r="J92" i="16" s="1"/>
  <c r="K92" i="16" s="1" a="1"/>
  <c r="K92" i="16" s="1"/>
  <c r="L92" i="16" s="1" a="1"/>
  <c r="L92" i="16" s="1"/>
  <c r="M92" i="16" s="1" a="1"/>
  <c r="M92" i="16" s="1"/>
  <c r="N92" i="16" s="1" a="1"/>
  <c r="N92" i="16" s="1"/>
  <c r="O92" i="16" s="1" a="1"/>
  <c r="O92" i="16" s="1"/>
  <c r="P92" i="16" s="1" a="1"/>
  <c r="P92" i="16" s="1"/>
  <c r="Q92" i="16" s="1" a="1"/>
  <c r="Q92" i="16" s="1"/>
  <c r="R92" i="16" s="1" a="1"/>
  <c r="R92" i="16" s="1"/>
  <c r="S92" i="16" s="1" a="1"/>
  <c r="S92" i="16" s="1"/>
  <c r="T92" i="16" s="1" a="1"/>
  <c r="T92" i="16" s="1"/>
  <c r="U92" i="16" s="1" a="1"/>
  <c r="U92" i="16" s="1"/>
  <c r="V92" i="16" s="1" a="1"/>
  <c r="V92" i="16" s="1"/>
  <c r="W92" i="16" s="1" a="1"/>
  <c r="W92" i="16" s="1"/>
  <c r="X92" i="16" s="1" a="1"/>
  <c r="X92" i="16" s="1"/>
  <c r="Y92" i="16" s="1" a="1"/>
  <c r="Y92" i="16" s="1"/>
  <c r="Z92" i="16" s="1" a="1"/>
  <c r="Z92" i="16" s="1"/>
  <c r="AA92" i="16" s="1" a="1"/>
  <c r="AA92" i="16" s="1"/>
  <c r="AB92" i="16" s="1" a="1"/>
  <c r="AB92" i="16" s="1"/>
  <c r="AC92" i="16" s="1" a="1"/>
  <c r="AC92" i="16" s="1"/>
  <c r="E19" i="16" a="1"/>
  <c r="E19" i="16" s="1"/>
  <c r="E17" i="16" a="1"/>
  <c r="E17" i="16" s="1"/>
  <c r="E3" i="16" a="1"/>
  <c r="E3" i="16" s="1"/>
  <c r="E27" i="16" a="1"/>
  <c r="E27" i="16" s="1"/>
  <c r="E24" i="16" a="1"/>
  <c r="E24" i="16" s="1"/>
  <c r="E2" i="16" a="1"/>
  <c r="E2" i="16" s="1"/>
  <c r="E16" i="16" a="1"/>
  <c r="E16" i="16" s="1"/>
  <c r="E25" i="16" a="1"/>
  <c r="E25" i="16" s="1"/>
  <c r="E18" i="16" a="1"/>
  <c r="E18" i="16" s="1"/>
  <c r="E6" i="16" a="1"/>
  <c r="E6" i="16" s="1"/>
  <c r="E26" i="16" a="1"/>
  <c r="E26" i="16" s="1"/>
  <c r="E22" i="16" a="1"/>
  <c r="E22" i="16" s="1"/>
  <c r="E11" i="16" a="1"/>
  <c r="E11" i="16" s="1"/>
  <c r="E4" i="16" a="1"/>
  <c r="E4" i="16" s="1"/>
  <c r="E13" i="16" a="1"/>
  <c r="E13" i="16" s="1"/>
  <c r="E12" i="16" a="1"/>
  <c r="E12" i="16" s="1"/>
  <c r="E21" i="16" a="1"/>
  <c r="E21" i="16" s="1"/>
  <c r="E15" i="16" a="1"/>
  <c r="E15" i="16" s="1"/>
  <c r="E23" i="16" a="1"/>
  <c r="E23" i="16" s="1"/>
  <c r="E9" i="16" a="1"/>
  <c r="E9" i="16" s="1"/>
  <c r="E8" i="16" a="1"/>
  <c r="E8" i="16" s="1"/>
  <c r="C5" i="16" a="1"/>
  <c r="C5" i="16" s="1"/>
  <c r="C8" i="16" a="1"/>
  <c r="C8" i="16" s="1"/>
  <c r="C25" i="16" a="1"/>
  <c r="C25" i="16" s="1"/>
  <c r="C20" i="16" a="1"/>
  <c r="C20" i="16" s="1"/>
  <c r="C27" i="16" a="1"/>
  <c r="C27" i="16" s="1"/>
  <c r="C24" i="16" a="1"/>
  <c r="C24" i="16" s="1"/>
  <c r="C13" i="16" a="1"/>
  <c r="C13" i="16" s="1"/>
  <c r="C11" i="16" a="1"/>
  <c r="C11" i="16" s="1"/>
  <c r="C3" i="16" a="1"/>
  <c r="C3" i="16" s="1"/>
  <c r="C18" i="16" a="1"/>
  <c r="C18" i="16" s="1"/>
  <c r="C16" i="16" a="1"/>
  <c r="C16" i="16" s="1"/>
  <c r="C12" i="16" a="1"/>
  <c r="C12" i="16" s="1"/>
  <c r="C14" i="16" a="1"/>
  <c r="C14" i="16" s="1"/>
  <c r="C26" i="16" a="1"/>
  <c r="C26" i="16" s="1"/>
  <c r="C22" i="16" a="1"/>
  <c r="C22" i="16" s="1"/>
  <c r="C17" i="16" a="1"/>
  <c r="C17" i="16" s="1"/>
  <c r="C4" i="16" a="1"/>
  <c r="C4" i="16" s="1"/>
  <c r="C10" i="16" a="1"/>
  <c r="C10" i="16" s="1"/>
  <c r="C9" i="16" a="1"/>
  <c r="C9" i="16" s="1"/>
  <c r="C2" i="16" a="1"/>
  <c r="C2" i="16" s="1"/>
  <c r="C23" i="16" a="1"/>
  <c r="C23" i="16" s="1"/>
  <c r="C15" i="16" a="1"/>
  <c r="C15" i="16" s="1"/>
  <c r="C10" i="4"/>
  <c r="C9" i="4"/>
  <c r="C8" i="4"/>
  <c r="C7" i="4"/>
  <c r="C6" i="4"/>
  <c r="C4" i="4"/>
  <c r="C5" i="4"/>
  <c r="C21" i="16" l="1" a="1"/>
  <c r="C21" i="16" s="1"/>
  <c r="C6" i="16" a="1"/>
  <c r="C6" i="16" s="1"/>
  <c r="D2" i="16" s="1" a="1"/>
  <c r="D2" i="16" s="1"/>
  <c r="F2" i="16" s="1"/>
  <c r="C7" i="16" a="1"/>
  <c r="C7" i="16" s="1"/>
  <c r="C3" i="4"/>
  <c r="D16" i="16" l="1" a="1"/>
  <c r="D16" i="16" s="1"/>
  <c r="F16" i="16" s="1"/>
  <c r="D13" i="16" a="1"/>
  <c r="D13" i="16" s="1"/>
  <c r="F13" i="16" s="1"/>
  <c r="D10" i="16" a="1"/>
  <c r="D10" i="16" s="1"/>
  <c r="F10" i="16" s="1"/>
  <c r="D7" i="16" a="1"/>
  <c r="D7" i="16" s="1"/>
  <c r="F7" i="16" s="1"/>
  <c r="D24" i="16" a="1"/>
  <c r="D24" i="16" s="1"/>
  <c r="F24" i="16" s="1"/>
  <c r="D11" i="16" a="1"/>
  <c r="D11" i="16" s="1"/>
  <c r="F11" i="16" s="1"/>
  <c r="D21" i="16" a="1"/>
  <c r="D21" i="16" s="1"/>
  <c r="F21" i="16" s="1"/>
  <c r="D23" i="16" a="1"/>
  <c r="D23" i="16" s="1"/>
  <c r="F23" i="16" s="1"/>
  <c r="D3" i="16" a="1"/>
  <c r="D3" i="16" s="1"/>
  <c r="F3" i="16" s="1"/>
  <c r="D4" i="16" a="1"/>
  <c r="D4" i="16" s="1"/>
  <c r="F4" i="16" s="1"/>
  <c r="D14" i="16" a="1"/>
  <c r="D14" i="16" s="1"/>
  <c r="F14" i="16" s="1"/>
  <c r="D8" i="16" a="1"/>
  <c r="D8" i="16" s="1"/>
  <c r="F8" i="16" s="1"/>
  <c r="D18" i="16" a="1"/>
  <c r="D18" i="16" s="1"/>
  <c r="F18" i="16" s="1"/>
  <c r="D5" i="16" a="1"/>
  <c r="D5" i="16" s="1"/>
  <c r="F5" i="16" s="1"/>
  <c r="D25" i="16" a="1"/>
  <c r="D25" i="16" s="1"/>
  <c r="F25" i="16" s="1"/>
  <c r="D15" i="16" a="1"/>
  <c r="D15" i="16" s="1"/>
  <c r="F15" i="16" s="1"/>
  <c r="D12" i="16" a="1"/>
  <c r="D12" i="16" s="1"/>
  <c r="F12" i="16" s="1"/>
  <c r="D22" i="16" a="1"/>
  <c r="D22" i="16" s="1"/>
  <c r="F22" i="16" s="1"/>
  <c r="D9" i="16" a="1"/>
  <c r="D9" i="16" s="1"/>
  <c r="F9" i="16" s="1"/>
  <c r="D27" i="16" a="1"/>
  <c r="D27" i="16" s="1"/>
  <c r="F27" i="16" s="1"/>
  <c r="D20" i="16" a="1"/>
  <c r="D20" i="16" s="1"/>
  <c r="F20" i="16" s="1"/>
  <c r="D19" i="16" a="1"/>
  <c r="D19" i="16" s="1"/>
  <c r="F19" i="16" s="1"/>
  <c r="D6" i="16" a="1"/>
  <c r="D6" i="16" s="1"/>
  <c r="F6" i="16" s="1"/>
  <c r="D26" i="16" a="1"/>
  <c r="D26" i="16" s="1"/>
  <c r="F26" i="16" s="1"/>
  <c r="D17" i="16" a="1"/>
  <c r="D17" i="16" s="1"/>
  <c r="F17" i="16" s="1"/>
  <c r="C20" i="4"/>
  <c r="C19" i="4"/>
  <c r="C15" i="4"/>
  <c r="C17" i="4"/>
  <c r="C13" i="4"/>
  <c r="C12" i="4"/>
  <c r="C21" i="4"/>
  <c r="C18" i="4"/>
  <c r="C16" i="4"/>
  <c r="C14" i="4" l="1"/>
  <c r="C1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Table 0" description="Connection to the 'Table 0' query in the workbook." type="5" refreshedVersion="8" background="1" saveData="1">
    <dbPr connection="Provider=Microsoft.Mashup.OleDb.1;Data Source=$Workbook$;Location=&quot;Table 0&quot;;Extended Properties=&quot;&quot;" command="SELECT * FROM [Table 0]"/>
  </connection>
  <connection id="2" xr16:uid="{00000000-0015-0000-FFFF-FFFF01000000}" keepAlive="1" name="Query - Table 0 (2)" description="Connection to the 'Table 0 (2)' query in the workbook." type="5" refreshedVersion="8" background="1" saveData="1">
    <dbPr connection="Provider=Microsoft.Mashup.OleDb.1;Data Source=$Workbook$;Location=&quot;Table 0 (2)&quot;;Extended Properties=&quot;&quot;" command="SELECT * FROM [Table 0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<sst xmlns="http://schemas.openxmlformats.org/spreadsheetml/2006/main" count="3694" uniqueCount="868">
  <si>
    <t>F1 10th Place Cup</t>
  </si>
  <si>
    <t>07/05/2023</t>
  </si>
  <si>
    <t>21/05/2023</t>
  </si>
  <si>
    <t>28/05/2023</t>
  </si>
  <si>
    <t>4/06/2023</t>
  </si>
  <si>
    <t>18/06/2023</t>
  </si>
  <si>
    <t>02/07/2023</t>
  </si>
  <si>
    <t>09/07/2023</t>
  </si>
  <si>
    <t>23/07/2023</t>
  </si>
  <si>
    <t>30/07/2023</t>
  </si>
  <si>
    <t>27/08/2023</t>
  </si>
  <si>
    <t>03/09/2023</t>
  </si>
  <si>
    <t>17/09/2023</t>
  </si>
  <si>
    <t>24/09/2023</t>
  </si>
  <si>
    <t>8/10/2023</t>
  </si>
  <si>
    <t>22/10/2023</t>
  </si>
  <si>
    <t>29/10/2023</t>
  </si>
  <si>
    <t>05/11/2023</t>
  </si>
  <si>
    <t>18/11/2023</t>
  </si>
  <si>
    <t>26/11/2023</t>
  </si>
  <si>
    <t>Name</t>
  </si>
  <si>
    <t>Total</t>
  </si>
  <si>
    <t>Saudi Arabia - 19 March</t>
  </si>
  <si>
    <t>Australia - 2 April</t>
  </si>
  <si>
    <t>Azerbaijan - 30 April</t>
  </si>
  <si>
    <t>Miami - 7 May</t>
  </si>
  <si>
    <t>Italy - 21 May</t>
  </si>
  <si>
    <t>Monaco - 28 May</t>
  </si>
  <si>
    <t>Spain - 4 June</t>
  </si>
  <si>
    <t>Canada - 18 June</t>
  </si>
  <si>
    <t>Austria - 2 July</t>
  </si>
  <si>
    <t>Great Britain - 9 July</t>
  </si>
  <si>
    <t>Hungary</t>
  </si>
  <si>
    <t>Belgium</t>
  </si>
  <si>
    <t>Netherlands</t>
  </si>
  <si>
    <t>Italy2</t>
  </si>
  <si>
    <t>Singapore</t>
  </si>
  <si>
    <t>Japan</t>
  </si>
  <si>
    <t>Qatar</t>
  </si>
  <si>
    <t>United States</t>
  </si>
  <si>
    <t>Mexico</t>
  </si>
  <si>
    <t>Brazil</t>
  </si>
  <si>
    <t>Las Vegas</t>
  </si>
  <si>
    <t>Abu Dhabi</t>
  </si>
  <si>
    <t>Suzzy B</t>
  </si>
  <si>
    <t>Wade</t>
  </si>
  <si>
    <t>Deville</t>
  </si>
  <si>
    <t>Liz</t>
  </si>
  <si>
    <t>Kristel</t>
  </si>
  <si>
    <t>Mike</t>
  </si>
  <si>
    <t>Markus</t>
  </si>
  <si>
    <t>Jimbo</t>
  </si>
  <si>
    <t>Joshua</t>
  </si>
  <si>
    <t>Frank</t>
  </si>
  <si>
    <t>Alida</t>
  </si>
  <si>
    <t>Reinhard</t>
  </si>
  <si>
    <t>Ilarie</t>
  </si>
  <si>
    <t>Oscar</t>
  </si>
  <si>
    <t>Clarice</t>
  </si>
  <si>
    <t>PJ</t>
  </si>
  <si>
    <t>Nico JR</t>
  </si>
  <si>
    <t>Jason</t>
  </si>
  <si>
    <t>Bernd</t>
  </si>
  <si>
    <t>Petra</t>
  </si>
  <si>
    <t>Pam</t>
  </si>
  <si>
    <t>Nico SR</t>
  </si>
  <si>
    <t>Riaan</t>
  </si>
  <si>
    <t>Lee</t>
  </si>
  <si>
    <t>Liam</t>
  </si>
  <si>
    <t>Smartin</t>
  </si>
  <si>
    <t>Winners</t>
  </si>
  <si>
    <t>Cumulative Points</t>
  </si>
  <si>
    <t>Timestamp</t>
  </si>
  <si>
    <t>Race</t>
  </si>
  <si>
    <t>Points</t>
  </si>
  <si>
    <t>Alex Albon - Williams</t>
  </si>
  <si>
    <t>George Russell - Mercedes</t>
  </si>
  <si>
    <t>Esteban Ocon - Alpine</t>
  </si>
  <si>
    <t>Oscar Piastri - McLaren</t>
  </si>
  <si>
    <t>Nico Hulkenberg - Haas</t>
  </si>
  <si>
    <t>Valtteri Bottas - Alfa Romeo Racing</t>
  </si>
  <si>
    <t>Yuki Tsunoda - AlphaTauri</t>
  </si>
  <si>
    <t>Lance Stroll - Aston Martin</t>
  </si>
  <si>
    <t>Max Verstappen - Red Bull</t>
  </si>
  <si>
    <t>Guanyu Zhou - Alfa Romeo Racing</t>
  </si>
  <si>
    <t>Pierre Gasly - Alpine</t>
  </si>
  <si>
    <t>Lando Norris - McLaren</t>
  </si>
  <si>
    <t>Carlos Sainz - Ferrari</t>
  </si>
  <si>
    <t>Fernando Alonso - Aston Martin</t>
  </si>
  <si>
    <t>Lewis Hamilton - Mercedes</t>
  </si>
  <si>
    <t>Kevin Magnussen - Haas</t>
  </si>
  <si>
    <t>Sergio Perez - Red Bull</t>
  </si>
  <si>
    <t>Nyck de Vries - Alpha Tauri</t>
  </si>
  <si>
    <t>Charles Leclerc - Ferrari</t>
  </si>
  <si>
    <t>Live Link - refresh by clicking anywhere on the table and then refresh</t>
  </si>
  <si>
    <t>This table remaps the driver names</t>
  </si>
  <si>
    <t>Pos</t>
  </si>
  <si>
    <t>Driver</t>
  </si>
  <si>
    <t>Time</t>
  </si>
  <si>
    <t>Stops</t>
  </si>
  <si>
    <t>Map</t>
  </si>
  <si>
    <t>Position</t>
  </si>
  <si>
    <t>Bahrain</t>
  </si>
  <si>
    <t>Saudi Arabia</t>
  </si>
  <si>
    <t>Australia</t>
  </si>
  <si>
    <t>Azerbaijan</t>
  </si>
  <si>
    <t>Miami</t>
  </si>
  <si>
    <t>Italy</t>
  </si>
  <si>
    <t>Monaco</t>
  </si>
  <si>
    <t>Spain</t>
  </si>
  <si>
    <t>Canada</t>
  </si>
  <si>
    <t>Great Britain</t>
  </si>
  <si>
    <t>1</t>
  </si>
  <si>
    <t>Max VerstappenRed Bull</t>
  </si>
  <si>
    <t>2</t>
  </si>
  <si>
    <t>Fernando AlonsoAston Martin</t>
  </si>
  <si>
    <t>3</t>
  </si>
  <si>
    <t>Lewis HamiltonMercedes</t>
  </si>
  <si>
    <t>4</t>
  </si>
  <si>
    <t>Charles LeclercFerrari</t>
  </si>
  <si>
    <t>5</t>
  </si>
  <si>
    <t>Carlos SainzFerrari</t>
  </si>
  <si>
    <t>6</t>
  </si>
  <si>
    <t>Sergio PerezRed Bull</t>
  </si>
  <si>
    <t>7</t>
  </si>
  <si>
    <t>Alex AlbonWilliams</t>
  </si>
  <si>
    <t>8</t>
  </si>
  <si>
    <t>Esteban OconAlpine</t>
  </si>
  <si>
    <t>9</t>
  </si>
  <si>
    <t>Lance StrollAston Martin</t>
  </si>
  <si>
    <t>10</t>
  </si>
  <si>
    <t>11</t>
  </si>
  <si>
    <t>Oscar PiastriMcLaren</t>
  </si>
  <si>
    <t>12</t>
  </si>
  <si>
    <t>Pierre GaslyAlpine</t>
  </si>
  <si>
    <t>Logan Sargeant - Williams</t>
  </si>
  <si>
    <t>13</t>
  </si>
  <si>
    <t>Lando NorrisMcLaren</t>
  </si>
  <si>
    <t>14</t>
  </si>
  <si>
    <t>Nico HulkenbergHaas</t>
  </si>
  <si>
    <t>Kevin MagnussenHaas</t>
  </si>
  <si>
    <t>Nyck de VriesAlpha Tauri</t>
  </si>
  <si>
    <t>George RussellMercedes</t>
  </si>
  <si>
    <t>Logan SargeantWilliams</t>
  </si>
  <si>
    <t>Driver Points</t>
  </si>
  <si>
    <t>Name mappings</t>
  </si>
  <si>
    <t>Done</t>
  </si>
  <si>
    <t>Automated population of guesses?</t>
  </si>
  <si>
    <t>Update race names to match google forms</t>
  </si>
  <si>
    <t>Filter graph to only show top x% of players</t>
  </si>
  <si>
    <t>Albon</t>
  </si>
  <si>
    <t>Alonso</t>
  </si>
  <si>
    <t>Bottas</t>
  </si>
  <si>
    <t>De Vries</t>
  </si>
  <si>
    <t>0,5(DNF)=0</t>
  </si>
  <si>
    <t>Gasly</t>
  </si>
  <si>
    <t>6(DNF)=0</t>
  </si>
  <si>
    <t>Hamilton</t>
  </si>
  <si>
    <t>Hulkenberg</t>
  </si>
  <si>
    <t>Leclerc</t>
  </si>
  <si>
    <t>Magnussen</t>
  </si>
  <si>
    <t>Norris</t>
  </si>
  <si>
    <t>Ocon</t>
  </si>
  <si>
    <t>2(DNF)=0</t>
  </si>
  <si>
    <t>Perez</t>
  </si>
  <si>
    <t>Piastri</t>
  </si>
  <si>
    <t>Russell</t>
  </si>
  <si>
    <t>Sainz</t>
  </si>
  <si>
    <t>Sargeant</t>
  </si>
  <si>
    <t>Stroll</t>
  </si>
  <si>
    <t>Tsunoda</t>
  </si>
  <si>
    <t>Verstappen</t>
  </si>
  <si>
    <t>Zhou</t>
  </si>
  <si>
    <t>Driver Placements</t>
  </si>
  <si>
    <t>19th</t>
  </si>
  <si>
    <t>3rd</t>
  </si>
  <si>
    <t>11th</t>
  </si>
  <si>
    <t>15th</t>
  </si>
  <si>
    <t>13th</t>
  </si>
  <si>
    <t>2nd</t>
  </si>
  <si>
    <t>7th</t>
  </si>
  <si>
    <t>20th</t>
  </si>
  <si>
    <t>17th</t>
  </si>
  <si>
    <t>6th</t>
  </si>
  <si>
    <t>14th</t>
  </si>
  <si>
    <t>5th</t>
  </si>
  <si>
    <t>8th</t>
  </si>
  <si>
    <t>18th</t>
  </si>
  <si>
    <t>12th</t>
  </si>
  <si>
    <t>16th</t>
  </si>
  <si>
    <t>4th</t>
  </si>
  <si>
    <t>10th</t>
  </si>
  <si>
    <t>1st</t>
  </si>
  <si>
    <t>9th</t>
  </si>
  <si>
    <t>Austria</t>
  </si>
  <si>
    <t>races_to_date</t>
  </si>
  <si>
    <t>Column1</t>
  </si>
  <si>
    <t>previous_race_no</t>
  </si>
  <si>
    <t>Previous Race Total</t>
  </si>
  <si>
    <t>Previous race Ranking</t>
  </si>
  <si>
    <t>Current ranking</t>
  </si>
  <si>
    <t>x</t>
  </si>
  <si>
    <t>mean</t>
  </si>
  <si>
    <t>std dev</t>
  </si>
  <si>
    <t>cum</t>
  </si>
  <si>
    <t>standard_deviation</t>
  </si>
  <si>
    <t>median</t>
  </si>
  <si>
    <t>skew</t>
  </si>
  <si>
    <t>Hungary - 23 July</t>
  </si>
  <si>
    <t>Daniel Ricciardo - Alpha Tauri</t>
  </si>
  <si>
    <t>Belgium - 30 July</t>
  </si>
  <si>
    <t>Netherlands - 27 August</t>
  </si>
  <si>
    <t>Liam LawsonAlphaTauri</t>
  </si>
  <si>
    <t>Liam Lawson - Alpha Tauri</t>
  </si>
  <si>
    <t>Italy - 3 September</t>
  </si>
  <si>
    <t>Liam Lawson - AlphaTauri</t>
  </si>
  <si>
    <t>Singapore - 17 September</t>
  </si>
  <si>
    <t>Japan - 24 September</t>
  </si>
  <si>
    <t>Yuki Tsunoda - Alpha Tauri</t>
  </si>
  <si>
    <t>Qatar - 8 October</t>
  </si>
  <si>
    <t>United States - 22 October</t>
  </si>
  <si>
    <t>Mexico - 29 October</t>
  </si>
  <si>
    <t>Brazil - 5 November</t>
  </si>
  <si>
    <t>19</t>
  </si>
  <si>
    <t>20</t>
  </si>
  <si>
    <t>Las Vegas - 18 November</t>
  </si>
  <si>
    <t>15</t>
  </si>
  <si>
    <t>16</t>
  </si>
  <si>
    <t>17</t>
  </si>
  <si>
    <t>Abu Dhabi - 26 November</t>
  </si>
  <si>
    <t>+ 1 LAP</t>
  </si>
  <si>
    <t>Website</t>
  </si>
  <si>
    <t>Yuki Tsunoda</t>
  </si>
  <si>
    <t>Alex Albon</t>
  </si>
  <si>
    <t>Lance Stroll</t>
  </si>
  <si>
    <t>Daniel Ricciardo</t>
  </si>
  <si>
    <t>KaylaOosthuizen</t>
  </si>
  <si>
    <t>Valtteri Bottas</t>
  </si>
  <si>
    <t>Anke</t>
  </si>
  <si>
    <t>Wilhelm_h</t>
  </si>
  <si>
    <t>Pierre Gasly</t>
  </si>
  <si>
    <t>Carmen</t>
  </si>
  <si>
    <t>Kevinator</t>
  </si>
  <si>
    <t>Nico Snr</t>
  </si>
  <si>
    <t>Nico Hulkenberg</t>
  </si>
  <si>
    <t>Ron</t>
  </si>
  <si>
    <t>Kevin Magnussen</t>
  </si>
  <si>
    <t>Esteban Ocon</t>
  </si>
  <si>
    <t>Angie</t>
  </si>
  <si>
    <t>Oscar Piastri</t>
  </si>
  <si>
    <t>Chanté</t>
  </si>
  <si>
    <t>Martyy</t>
  </si>
  <si>
    <t>JustThuts</t>
  </si>
  <si>
    <t>Fernando Alonso</t>
  </si>
  <si>
    <t>Daniela</t>
  </si>
  <si>
    <t>Lando Norris</t>
  </si>
  <si>
    <t>Stefan K</t>
  </si>
  <si>
    <t>Lewis Hamilton</t>
  </si>
  <si>
    <t>Luke</t>
  </si>
  <si>
    <t>Stefan</t>
  </si>
  <si>
    <t>Raniaz</t>
  </si>
  <si>
    <t>LiamRoets</t>
  </si>
  <si>
    <t>Grizelda</t>
  </si>
  <si>
    <t>Okavango Kid</t>
  </si>
  <si>
    <t>Caels</t>
  </si>
  <si>
    <t>Max Verstappen</t>
  </si>
  <si>
    <t>Sergio Perez</t>
  </si>
  <si>
    <t>Charles Leclerc</t>
  </si>
  <si>
    <t>Carlos Sainz</t>
  </si>
  <si>
    <t>George Russell</t>
  </si>
  <si>
    <t>Logan Sargeant</t>
  </si>
  <si>
    <t>Guanyu Zhou</t>
  </si>
  <si>
    <t>Nyck de</t>
  </si>
  <si>
    <t>Liam Lawson</t>
  </si>
  <si>
    <t>A3</t>
  </si>
  <si>
    <t>Who are you?</t>
  </si>
  <si>
    <t>First Pick</t>
  </si>
  <si>
    <t>Second Pick</t>
  </si>
  <si>
    <t>Guanyu ZhouKick Sauber</t>
  </si>
  <si>
    <t>Yuki TsunodaTeam RB</t>
  </si>
  <si>
    <t>Daniel RicciardoTeam RB</t>
  </si>
  <si>
    <t>Valtteri BottasKick Sauber</t>
  </si>
  <si>
    <t>18</t>
  </si>
  <si>
    <t>1:34.923</t>
  </si>
  <si>
    <t>+ 22.457</t>
  </si>
  <si>
    <t>+ 25.110</t>
  </si>
  <si>
    <t>+ 39.669</t>
  </si>
  <si>
    <t>+ 46.788</t>
  </si>
  <si>
    <t>+ 48.458</t>
  </si>
  <si>
    <t>+ 50.324</t>
  </si>
  <si>
    <t>+ 56.082</t>
  </si>
  <si>
    <t>+ 74.887</t>
  </si>
  <si>
    <t>+ 93.216</t>
  </si>
  <si>
    <t>+ 2 LAPS</t>
  </si>
  <si>
    <t>Best Memes</t>
  </si>
  <si>
    <t>Master Commentator</t>
  </si>
  <si>
    <t>Random Question</t>
  </si>
  <si>
    <t>Random Award</t>
  </si>
  <si>
    <t>17/03/2023 20:39:56</t>
  </si>
  <si>
    <t>Albon - Williams</t>
  </si>
  <si>
    <t>Bottas - Alfa Romeo</t>
  </si>
  <si>
    <t>17/03/2023 20:43:39</t>
  </si>
  <si>
    <t>F(1)rank</t>
  </si>
  <si>
    <t>18/03/2023 11:31:20</t>
  </si>
  <si>
    <t>Zhou - Alfa Romeo</t>
  </si>
  <si>
    <t>Occon - Alpine</t>
  </si>
  <si>
    <t>18/03/2023 21:15:44</t>
  </si>
  <si>
    <t>Magnussen - Haas</t>
  </si>
  <si>
    <t>18/03/2023 21:46:15</t>
  </si>
  <si>
    <t>Piastri - McLaren</t>
  </si>
  <si>
    <t>18/03/2023 21:48:41</t>
  </si>
  <si>
    <t>Ocon - Alpine</t>
  </si>
  <si>
    <t>18/03/2023 21:48:48</t>
  </si>
  <si>
    <t>Hulkenberg - Haas</t>
  </si>
  <si>
    <t>Stroll - Aston Martin</t>
  </si>
  <si>
    <t>18/03/2023 22:14:59</t>
  </si>
  <si>
    <t>Gasly - Alpine</t>
  </si>
  <si>
    <t>19/03/2023 10:18:14</t>
  </si>
  <si>
    <t>James Moorcroft</t>
  </si>
  <si>
    <t>19/03/2023 10:32:32</t>
  </si>
  <si>
    <t>Nico</t>
  </si>
  <si>
    <t>19/03/2023 13:07:39</t>
  </si>
  <si>
    <t>Verstappen - Red Bull</t>
  </si>
  <si>
    <t>19/03/2023 13:08:14</t>
  </si>
  <si>
    <t>19/03/2023 13:09:13</t>
  </si>
  <si>
    <t>19/03/2023 14:45:33</t>
  </si>
  <si>
    <t>Nico Bell JN</t>
  </si>
  <si>
    <t>Tsunoda - AlphaTauri</t>
  </si>
  <si>
    <t>19/03/2023 15:06:08</t>
  </si>
  <si>
    <t>Liz Bell</t>
  </si>
  <si>
    <t>19/03/2023 16:45:57</t>
  </si>
  <si>
    <t>19/03/2023 17:00:18</t>
  </si>
  <si>
    <t>19/03/2023 17:06:04</t>
  </si>
  <si>
    <t>19/03/2023 17:16:59</t>
  </si>
  <si>
    <t>Michael H</t>
  </si>
  <si>
    <t>19/03/2023 17:27:17</t>
  </si>
  <si>
    <t>19/03/2023 17:27:36</t>
  </si>
  <si>
    <t>19/03/2023 17:44:46</t>
  </si>
  <si>
    <t>19/03/2023 17:59:01</t>
  </si>
  <si>
    <t>Sargeant - Williams</t>
  </si>
  <si>
    <t>19/03/2023 19:02:36</t>
  </si>
  <si>
    <t>David</t>
  </si>
  <si>
    <t>01/04/2023 12:48:01</t>
  </si>
  <si>
    <t>01/04/2023 13:01:12</t>
  </si>
  <si>
    <t>01/04/2023 13:26:56</t>
  </si>
  <si>
    <t>01/04/2023 13:33:00</t>
  </si>
  <si>
    <t>Lays</t>
  </si>
  <si>
    <t>01/04/2023 14:26:01</t>
  </si>
  <si>
    <t>01/04/2023 17:29:43</t>
  </si>
  <si>
    <t>Alida Kruger</t>
  </si>
  <si>
    <t>01/04/2023 17:34:32</t>
  </si>
  <si>
    <t>Norris - McLaren</t>
  </si>
  <si>
    <t>01/04/2023 18:11:22</t>
  </si>
  <si>
    <t>Dunkirk</t>
  </si>
  <si>
    <t>01/04/2023 19:18:45</t>
  </si>
  <si>
    <t>01/04/2023 20:40:54</t>
  </si>
  <si>
    <t>01/04/2023 20:59:05</t>
  </si>
  <si>
    <t>01/04/2023 21:06:01</t>
  </si>
  <si>
    <t>01/04/2023 21:22:11</t>
  </si>
  <si>
    <t>01/04/2023 21:41:26</t>
  </si>
  <si>
    <t>01/04/2023 21:44:16</t>
  </si>
  <si>
    <t>Joshua Bornman</t>
  </si>
  <si>
    <t>Sainz - Ferrari</t>
  </si>
  <si>
    <t>01/04/2023 21:46:35</t>
  </si>
  <si>
    <t>01/04/2023 21:48:25</t>
  </si>
  <si>
    <t>Mike Ireland</t>
  </si>
  <si>
    <t>01/04/2023 21:49:47</t>
  </si>
  <si>
    <t>Pamela Ireland</t>
  </si>
  <si>
    <t>01/04/2023 21:50:55</t>
  </si>
  <si>
    <t>01/04/2023 22:13:04</t>
  </si>
  <si>
    <t>01/04/2023 22:17:12</t>
  </si>
  <si>
    <t>Nico Bell (JN)</t>
  </si>
  <si>
    <t>01/04/2023 22:17:17</t>
  </si>
  <si>
    <t>01/04/2023 22:20:44</t>
  </si>
  <si>
    <t>Nico jnr</t>
  </si>
  <si>
    <t>01/04/2023 23:07:28</t>
  </si>
  <si>
    <t>03/04/2023 06:01:07</t>
  </si>
  <si>
    <t>Hamilton - Mercedes</t>
  </si>
  <si>
    <t>29/04/2023 01:19:45</t>
  </si>
  <si>
    <t>29/04/2023 14:52:16</t>
  </si>
  <si>
    <t>29/04/2023 17:28:45</t>
  </si>
  <si>
    <t>29/04/2023 17:29:13</t>
  </si>
  <si>
    <t>30/04/2023 07:58:33</t>
  </si>
  <si>
    <t>30/04/2023 08:49:06</t>
  </si>
  <si>
    <t>30/04/2023 08:49:41</t>
  </si>
  <si>
    <t>30/04/2023 08:50:57</t>
  </si>
  <si>
    <t>30/04/2023 09:07:20</t>
  </si>
  <si>
    <t>30/04/2023 09:08:38</t>
  </si>
  <si>
    <t>30/04/2023 09:11:08</t>
  </si>
  <si>
    <t>30/04/2023 09:21:44</t>
  </si>
  <si>
    <t>30/04/2023 09:27:32</t>
  </si>
  <si>
    <t>30/04/2023 09:33:37</t>
  </si>
  <si>
    <t>30/04/2023 09:49:02</t>
  </si>
  <si>
    <t>30/04/2023 09:51:43</t>
  </si>
  <si>
    <t>30/04/2023 09:53:38</t>
  </si>
  <si>
    <t>30/04/2023 11:13:22</t>
  </si>
  <si>
    <t>30/04/2023 11:13:42</t>
  </si>
  <si>
    <t>30/04/2023 11:18:01</t>
  </si>
  <si>
    <t>30/04/2023 11:18:44</t>
  </si>
  <si>
    <t>30/04/2023 11:18:54</t>
  </si>
  <si>
    <t>30/04/2023 11:31:02</t>
  </si>
  <si>
    <t>30/04/2023 12:49:47</t>
  </si>
  <si>
    <t>30/04/2023 12:53:36</t>
  </si>
  <si>
    <t>06/05/2023 23:07:25</t>
  </si>
  <si>
    <t>06/05/2023 23:07:50</t>
  </si>
  <si>
    <t>07/05/2023 09:59:10</t>
  </si>
  <si>
    <t>07/05/2023 10:00:06</t>
  </si>
  <si>
    <t>07/05/2023 10:36:16</t>
  </si>
  <si>
    <t>07/05/2023 12:20:01</t>
  </si>
  <si>
    <t>07/05/2023 13:25:31</t>
  </si>
  <si>
    <t>07/05/2023 16:27:02</t>
  </si>
  <si>
    <t>07/05/2023 16:44:52</t>
  </si>
  <si>
    <t>07/05/2023 16:46:19</t>
  </si>
  <si>
    <t>07/05/2023 16:48:58</t>
  </si>
  <si>
    <t>07/05/2023 16:51:02</t>
  </si>
  <si>
    <t>07/05/2023 16:53:33</t>
  </si>
  <si>
    <t>07/05/2023 17:11:45</t>
  </si>
  <si>
    <t>07/05/2023 17:15:46</t>
  </si>
  <si>
    <t>07/05/2023 17:22:32</t>
  </si>
  <si>
    <t>07/05/2023 17:26:31</t>
  </si>
  <si>
    <t>07/05/2023 17:32:47</t>
  </si>
  <si>
    <t>07/05/2023 17:34:43</t>
  </si>
  <si>
    <t>07/05/2023 17:46:34</t>
  </si>
  <si>
    <t>07/05/2023 17:49:56</t>
  </si>
  <si>
    <t>07/05/2023 18:04:55</t>
  </si>
  <si>
    <t>07/05/2023 18:33:53</t>
  </si>
  <si>
    <t>07/05/2023 18:55:47</t>
  </si>
  <si>
    <t>07/05/2023 19:02:34</t>
  </si>
  <si>
    <t>28/05/2023 08:09:28</t>
  </si>
  <si>
    <t>28/05/2023 08:25:24</t>
  </si>
  <si>
    <t>28/05/2023 09:14:15</t>
  </si>
  <si>
    <t>28/05/2023 09:14:59</t>
  </si>
  <si>
    <t>28/05/2023 09:18:11</t>
  </si>
  <si>
    <t>28/05/2023 09:55:00</t>
  </si>
  <si>
    <t>28/05/2023 09:57:38</t>
  </si>
  <si>
    <t>28/05/2023 09:59:30</t>
  </si>
  <si>
    <t>28/05/2023 10:05:11</t>
  </si>
  <si>
    <t>28/05/2023 10:09:01</t>
  </si>
  <si>
    <t>28/05/2023 10:36:43</t>
  </si>
  <si>
    <t>28/05/2023 10:44:45</t>
  </si>
  <si>
    <t>28/05/2023 11:31:03</t>
  </si>
  <si>
    <t>28/05/2023 11:47:26</t>
  </si>
  <si>
    <t>28/05/2023 12:14:39</t>
  </si>
  <si>
    <t>28/05/2023 12:15:23</t>
  </si>
  <si>
    <t>28/05/2023 12:34:38</t>
  </si>
  <si>
    <t>28/05/2023 12:55:20</t>
  </si>
  <si>
    <t>28/05/2023 13:03:53</t>
  </si>
  <si>
    <t>28/05/2023 13:09:39</t>
  </si>
  <si>
    <t>28/05/2023 13:14:58</t>
  </si>
  <si>
    <t>28/05/2023 13:31:29</t>
  </si>
  <si>
    <t>28/05/2023 13:36:00</t>
  </si>
  <si>
    <t>28/05/2023 13:36:15</t>
  </si>
  <si>
    <t>28/05/2023 13:37:01</t>
  </si>
  <si>
    <t>28/05/2023 15:02:58</t>
  </si>
  <si>
    <t>03/06/2023 19:36:36</t>
  </si>
  <si>
    <t>04/06/2023 08:09:16</t>
  </si>
  <si>
    <t>04/06/2023 08:17:28</t>
  </si>
  <si>
    <t>04/06/2023 09:27:29</t>
  </si>
  <si>
    <t>04/06/2023 09:32:01</t>
  </si>
  <si>
    <t>04/06/2023 09:59:03</t>
  </si>
  <si>
    <t>04/06/2023 10:30:19</t>
  </si>
  <si>
    <t>04/06/2023 12:07:02</t>
  </si>
  <si>
    <t>04/06/2023 12:08:58</t>
  </si>
  <si>
    <t>04/06/2023 12:13:16</t>
  </si>
  <si>
    <t>04/06/2023 12:33:26</t>
  </si>
  <si>
    <t>04/06/2023 13:06:12</t>
  </si>
  <si>
    <t>04/06/2023 13:16:21</t>
  </si>
  <si>
    <t>04/06/2023 13:17:57</t>
  </si>
  <si>
    <t>04/06/2023 13:39:42</t>
  </si>
  <si>
    <t>04/06/2023 13:40:49</t>
  </si>
  <si>
    <t>04/06/2023 13:40:51</t>
  </si>
  <si>
    <t>04/06/2023 13:41:11</t>
  </si>
  <si>
    <t>04/06/2023 13:46:29</t>
  </si>
  <si>
    <t>04/06/2023 13:53:20</t>
  </si>
  <si>
    <t>04/06/2023 13:54:06</t>
  </si>
  <si>
    <t>04/06/2023 14:00:30</t>
  </si>
  <si>
    <t>04/06/2023 14:01:09</t>
  </si>
  <si>
    <t>04/06/2023 14:09:53</t>
  </si>
  <si>
    <t>04/06/2023 14:29:03</t>
  </si>
  <si>
    <t>16/06/2023 13:43:59</t>
  </si>
  <si>
    <t>17/06/2023 19:09:02</t>
  </si>
  <si>
    <t>18/06/2023 12:17:43</t>
  </si>
  <si>
    <t>18/06/2023 16:10:29</t>
  </si>
  <si>
    <t>18/06/2023 16:10:41</t>
  </si>
  <si>
    <t>18/06/2023 16:57:14</t>
  </si>
  <si>
    <t>18/06/2023 16:58:03</t>
  </si>
  <si>
    <t>18/06/2023 17:01:48</t>
  </si>
  <si>
    <t>18/06/2023 17:02:05</t>
  </si>
  <si>
    <t>18/06/2023 17:03:39</t>
  </si>
  <si>
    <t>18/06/2023 17:12:24</t>
  </si>
  <si>
    <t>18/06/2023 17:17:08</t>
  </si>
  <si>
    <t>18/06/2023 17:17:21</t>
  </si>
  <si>
    <t>18/06/2023 17:29:21</t>
  </si>
  <si>
    <t>18/06/2023 17:45:31</t>
  </si>
  <si>
    <t>18/06/2023 17:48:19</t>
  </si>
  <si>
    <t>18/06/2023 18:00:02</t>
  </si>
  <si>
    <t>18/06/2023 18:20:06</t>
  </si>
  <si>
    <t>18/06/2023 18:22:16</t>
  </si>
  <si>
    <t>18/06/2023 18:22:44</t>
  </si>
  <si>
    <t>18/06/2023 18:25:31</t>
  </si>
  <si>
    <t>18/06/2023 18:30:37</t>
  </si>
  <si>
    <t>18/06/2023 18:42:01</t>
  </si>
  <si>
    <t>18/06/2023 18:55:33</t>
  </si>
  <si>
    <t>18/06/2023 18:56:00</t>
  </si>
  <si>
    <t>18/06/2023 19:10:51</t>
  </si>
  <si>
    <t>01/07/2023 20:09:40</t>
  </si>
  <si>
    <t>01/07/2023 21:24:33</t>
  </si>
  <si>
    <t>02/07/2023 08:52:47</t>
  </si>
  <si>
    <t>02/07/2023 09:05:42</t>
  </si>
  <si>
    <t>02/07/2023 09:07:57</t>
  </si>
  <si>
    <t>02/07/2023 09:35:59</t>
  </si>
  <si>
    <t>02/07/2023 09:40:10</t>
  </si>
  <si>
    <t>02/07/2023 10:02:05</t>
  </si>
  <si>
    <t>02/07/2023 10:02:54</t>
  </si>
  <si>
    <t>02/07/2023 10:32:24</t>
  </si>
  <si>
    <t>02/07/2023 10:43:08</t>
  </si>
  <si>
    <t>02/07/2023 12:03:24</t>
  </si>
  <si>
    <t>02/07/2023 12:19:08</t>
  </si>
  <si>
    <t>02/07/2023 12:33:57</t>
  </si>
  <si>
    <t>02/07/2023 12:34:52</t>
  </si>
  <si>
    <t>02/07/2023 12:54:15</t>
  </si>
  <si>
    <t>02/07/2023 13:17:16</t>
  </si>
  <si>
    <t>02/07/2023 13:20:35</t>
  </si>
  <si>
    <t>02/07/2023 13:21:00</t>
  </si>
  <si>
    <t>02/07/2023 13:33:18</t>
  </si>
  <si>
    <t>02/07/2023 14:40:50</t>
  </si>
  <si>
    <t>02/07/2023 14:45:08</t>
  </si>
  <si>
    <t>02/07/2023 14:46:56</t>
  </si>
  <si>
    <t>02/07/2023 14:48:09</t>
  </si>
  <si>
    <t>02/07/2023 14:48:55</t>
  </si>
  <si>
    <t>08/07/2023 11:38:04</t>
  </si>
  <si>
    <t>08/07/2023 19:37:31</t>
  </si>
  <si>
    <t>08/07/2023 19:38:41</t>
  </si>
  <si>
    <t>09/07/2023 08:39:27</t>
  </si>
  <si>
    <t>09/07/2023 09:19:22</t>
  </si>
  <si>
    <t>09/07/2023 09:20:45</t>
  </si>
  <si>
    <t>09/07/2023 09:20:46</t>
  </si>
  <si>
    <t>09/07/2023 09:34:58</t>
  </si>
  <si>
    <t>09/07/2023 10:32:07</t>
  </si>
  <si>
    <t>09/07/2023 10:47:51</t>
  </si>
  <si>
    <t>09/07/2023 10:48:42</t>
  </si>
  <si>
    <t>09/07/2023 12:08:45</t>
  </si>
  <si>
    <t>09/07/2023 13:13:54</t>
  </si>
  <si>
    <t>09/07/2023 13:21:31</t>
  </si>
  <si>
    <t>09/07/2023 13:30:26</t>
  </si>
  <si>
    <t>09/07/2023 13:30:49</t>
  </si>
  <si>
    <t>09/07/2023 13:36:56</t>
  </si>
  <si>
    <t>09/07/2023 13:44:40</t>
  </si>
  <si>
    <t>09/07/2023 13:59:39</t>
  </si>
  <si>
    <t>09/07/2023 14:10:21</t>
  </si>
  <si>
    <t>09/07/2023 14:22:17</t>
  </si>
  <si>
    <t>09/07/2023 14:26:32</t>
  </si>
  <si>
    <t>09/07/2023 14:36:56</t>
  </si>
  <si>
    <t>09/07/2023 14:42:46</t>
  </si>
  <si>
    <t>09/07/2023 14:53:23</t>
  </si>
  <si>
    <t>09/07/2023 15:25:15</t>
  </si>
  <si>
    <t>22/07/2023 14:25:16</t>
  </si>
  <si>
    <t>22/07/2023 16:24:55</t>
  </si>
  <si>
    <t>22/07/2023 22:26:58</t>
  </si>
  <si>
    <t>22/07/2023 22:27:34</t>
  </si>
  <si>
    <t>22/07/2023 23:01:53</t>
  </si>
  <si>
    <t>23/07/2023 11:13:45</t>
  </si>
  <si>
    <t>23/07/2023 11:14:14</t>
  </si>
  <si>
    <t>23/07/2023 11:17:42</t>
  </si>
  <si>
    <t>23/07/2023 11:18:47</t>
  </si>
  <si>
    <t>23/07/2023 11:22:49</t>
  </si>
  <si>
    <t>23/07/2023 11:23:41</t>
  </si>
  <si>
    <t>23/07/2023 12:03:54</t>
  </si>
  <si>
    <t>23/07/2023 12:05:31</t>
  </si>
  <si>
    <t>23/07/2023 12:11:58</t>
  </si>
  <si>
    <t>23/07/2023 12:20:57</t>
  </si>
  <si>
    <t>23/07/2023 12:21:13</t>
  </si>
  <si>
    <t>23/07/2023 12:24:09</t>
  </si>
  <si>
    <t>23/07/2023 12:42:11</t>
  </si>
  <si>
    <t>23/07/2023 13:21:41</t>
  </si>
  <si>
    <t>23/07/2023 13:22:17</t>
  </si>
  <si>
    <t>23/07/2023 13:23:04</t>
  </si>
  <si>
    <t>23/07/2023 13:46:39</t>
  </si>
  <si>
    <t>23/07/2023 13:50:21</t>
  </si>
  <si>
    <t>23/07/2023 14:00:30</t>
  </si>
  <si>
    <t>23/07/2023 14:03:20</t>
  </si>
  <si>
    <t>23/07/2023 14:12:08</t>
  </si>
  <si>
    <t>29/07/2023 15:51:20</t>
  </si>
  <si>
    <t>29/07/2023 22:28:25</t>
  </si>
  <si>
    <t>30/07/2023 08:09:09</t>
  </si>
  <si>
    <t>30/07/2023 08:09:32</t>
  </si>
  <si>
    <t>30/07/2023 08:47:55</t>
  </si>
  <si>
    <t>30/07/2023 09:43:18</t>
  </si>
  <si>
    <t>30/07/2023 10:04:02</t>
  </si>
  <si>
    <t>30/07/2023 10:54:25</t>
  </si>
  <si>
    <t>30/07/2023 10:55:16</t>
  </si>
  <si>
    <t>30/07/2023 11:07:20</t>
  </si>
  <si>
    <t>30/07/2023 11:48:09</t>
  </si>
  <si>
    <t>30/07/2023 12:03:15</t>
  </si>
  <si>
    <t>30/07/2023 12:26:38</t>
  </si>
  <si>
    <t>30/07/2023 12:27:22</t>
  </si>
  <si>
    <t>30/07/2023 12:50:18</t>
  </si>
  <si>
    <t>30/07/2023 12:50:19</t>
  </si>
  <si>
    <t>30/07/2023 12:52:25</t>
  </si>
  <si>
    <t>30/07/2023 13:37:57</t>
  </si>
  <si>
    <t>30/07/2023 13:39:15</t>
  </si>
  <si>
    <t>30/07/2023 13:47:03</t>
  </si>
  <si>
    <t>30/07/2023 13:48:32</t>
  </si>
  <si>
    <t>30/07/2023 13:58:08</t>
  </si>
  <si>
    <t>30/07/2023 14:00:06</t>
  </si>
  <si>
    <t>30/07/2023 14:39:31</t>
  </si>
  <si>
    <t>26/08/2023 18:45:38</t>
  </si>
  <si>
    <t>26/08/2023 19:45:01</t>
  </si>
  <si>
    <t>26/08/2023 22:24:29</t>
  </si>
  <si>
    <t>27/08/2023 07:22:04</t>
  </si>
  <si>
    <t>27/08/2023 07:47:13</t>
  </si>
  <si>
    <t>27/08/2023 08:29:22</t>
  </si>
  <si>
    <t>27/08/2023 09:14:24</t>
  </si>
  <si>
    <t>27/08/2023 09:20:01</t>
  </si>
  <si>
    <t>27/08/2023 09:24:42</t>
  </si>
  <si>
    <t>27/08/2023 10:38:21</t>
  </si>
  <si>
    <t>27/08/2023 10:39:42</t>
  </si>
  <si>
    <t>27/08/2023 10:52:23</t>
  </si>
  <si>
    <t>27/08/2023 12:46:50</t>
  </si>
  <si>
    <t>27/08/2023 12:47:51</t>
  </si>
  <si>
    <t>27/08/2023 13:12:04</t>
  </si>
  <si>
    <t>27/08/2023 13:25:50</t>
  </si>
  <si>
    <t>27/08/2023 13:28:00</t>
  </si>
  <si>
    <t>27/08/2023 13:34:55</t>
  </si>
  <si>
    <t>27/08/2023 13:48:48</t>
  </si>
  <si>
    <t>27/08/2023 13:59:59</t>
  </si>
  <si>
    <t>27/08/2023 14:18:28</t>
  </si>
  <si>
    <t>27/08/2023 18:20:38</t>
  </si>
  <si>
    <t>02/09/2023 18:10:55</t>
  </si>
  <si>
    <t>02/09/2023 18:59:05</t>
  </si>
  <si>
    <t>02/09/2023 19:48:27</t>
  </si>
  <si>
    <t>02/09/2023 23:56:27</t>
  </si>
  <si>
    <t>03/09/2023 06:26:06</t>
  </si>
  <si>
    <t>03/09/2023 10:27:05</t>
  </si>
  <si>
    <t>03/09/2023 11:24:23</t>
  </si>
  <si>
    <t>03/09/2023 11:29:25</t>
  </si>
  <si>
    <t>03/09/2023 12:29:37</t>
  </si>
  <si>
    <t>03/09/2023 12:33:53</t>
  </si>
  <si>
    <t>03/09/2023 12:54:07</t>
  </si>
  <si>
    <t>03/09/2023 12:54:59</t>
  </si>
  <si>
    <t>03/09/2023 12:56:07</t>
  </si>
  <si>
    <t>03/09/2023 12:58:05</t>
  </si>
  <si>
    <t>03/09/2023 13:11:27</t>
  </si>
  <si>
    <t>03/09/2023 13:11:58</t>
  </si>
  <si>
    <t>03/09/2023 13:26:53</t>
  </si>
  <si>
    <t>03/09/2023 13:29:51</t>
  </si>
  <si>
    <t>03/09/2023 13:37:53</t>
  </si>
  <si>
    <t>03/09/2023 13:41:29</t>
  </si>
  <si>
    <t>03/09/2023 13:46:07</t>
  </si>
  <si>
    <t>03/09/2023 13:56:43</t>
  </si>
  <si>
    <t>03/09/2023 14:03:51</t>
  </si>
  <si>
    <t>03/09/2023 14:06:39</t>
  </si>
  <si>
    <t>17/09/2023 07:45:41</t>
  </si>
  <si>
    <t>17/09/2023 07:53:21</t>
  </si>
  <si>
    <t>17/09/2023 08:10:59</t>
  </si>
  <si>
    <t>17/09/2023 08:55:27</t>
  </si>
  <si>
    <t>17/09/2023 09:09:30</t>
  </si>
  <si>
    <t>17/09/2023 09:11:08</t>
  </si>
  <si>
    <t>17/09/2023 09:41:06</t>
  </si>
  <si>
    <t>17/09/2023 09:41:10</t>
  </si>
  <si>
    <t>17/09/2023 09:57:38</t>
  </si>
  <si>
    <t>17/09/2023 10:49:57</t>
  </si>
  <si>
    <t>17/09/2023 10:50:22</t>
  </si>
  <si>
    <t>17/09/2023 10:59:34</t>
  </si>
  <si>
    <t>17/09/2023 11:09:02</t>
  </si>
  <si>
    <t>17/09/2023 11:23:16</t>
  </si>
  <si>
    <t>17/09/2023 12:29:15</t>
  </si>
  <si>
    <t>17/09/2023 12:30:43</t>
  </si>
  <si>
    <t>17/09/2023 12:31:09</t>
  </si>
  <si>
    <t>17/09/2023 12:37:12</t>
  </si>
  <si>
    <t>17/09/2023 12:46:50</t>
  </si>
  <si>
    <t>17/09/2023 13:16:57</t>
  </si>
  <si>
    <t>17/09/2023 13:19:07</t>
  </si>
  <si>
    <t>17/09/2023 13:19:34</t>
  </si>
  <si>
    <t>17/09/2023 13:20:02</t>
  </si>
  <si>
    <t>17/09/2023 13:22:51</t>
  </si>
  <si>
    <t>17/09/2023 13:47:04</t>
  </si>
  <si>
    <t>22/09/2023 14:23:46</t>
  </si>
  <si>
    <t>22/09/2023 14:39:15</t>
  </si>
  <si>
    <t>23/09/2023 15:56:30</t>
  </si>
  <si>
    <t>23/09/2023 16:41:17</t>
  </si>
  <si>
    <t>23/09/2023 16:45:21</t>
  </si>
  <si>
    <t>23/09/2023 17:01:40</t>
  </si>
  <si>
    <t>23/09/2023 17:25:12</t>
  </si>
  <si>
    <t>23/09/2023 17:38:18</t>
  </si>
  <si>
    <t>23/09/2023 17:39:22</t>
  </si>
  <si>
    <t>23/09/2023 17:55:19</t>
  </si>
  <si>
    <t>23/09/2023 18:02:41</t>
  </si>
  <si>
    <t>23/09/2023 18:48:41</t>
  </si>
  <si>
    <t>23/09/2023 19:39:11</t>
  </si>
  <si>
    <t>23/09/2023 21:07:04</t>
  </si>
  <si>
    <t>23/09/2023 21:38:48</t>
  </si>
  <si>
    <t>23/09/2023 21:57:45</t>
  </si>
  <si>
    <t>23/09/2023 22:09:56</t>
  </si>
  <si>
    <t>23/09/2023 23:00:36</t>
  </si>
  <si>
    <t>23/09/2023 23:42:12</t>
  </si>
  <si>
    <t>23/09/2023 23:49:03</t>
  </si>
  <si>
    <t>23/09/2023 23:59:41</t>
  </si>
  <si>
    <t>24/09/2023 05:58:59</t>
  </si>
  <si>
    <t>24/09/2023 05:59:29</t>
  </si>
  <si>
    <t>07/10/2023 22:06:31</t>
  </si>
  <si>
    <t>08/10/2023 10:10:56</t>
  </si>
  <si>
    <t>08/10/2023 10:37:41</t>
  </si>
  <si>
    <t>08/10/2023 11:47:27</t>
  </si>
  <si>
    <t>08/10/2023 11:49:23</t>
  </si>
  <si>
    <t>08/10/2023 12:27:55</t>
  </si>
  <si>
    <t>08/10/2023 12:48:52</t>
  </si>
  <si>
    <t>08/10/2023 13:07:07</t>
  </si>
  <si>
    <t>08/10/2023 13:14:47</t>
  </si>
  <si>
    <t>08/10/2023 14:23:55</t>
  </si>
  <si>
    <t>08/10/2023 14:41:11</t>
  </si>
  <si>
    <t>08/10/2023 14:48:17</t>
  </si>
  <si>
    <t>08/10/2023 14:55:07</t>
  </si>
  <si>
    <t>08/10/2023 15:00:21</t>
  </si>
  <si>
    <t>08/10/2023 15:19:59</t>
  </si>
  <si>
    <t>08/10/2023 16:01:16</t>
  </si>
  <si>
    <t>08/10/2023 16:27:14</t>
  </si>
  <si>
    <t>08/10/2023 16:33:47</t>
  </si>
  <si>
    <t>08/10/2023 17:11:43</t>
  </si>
  <si>
    <t>08/10/2023 17:31:24</t>
  </si>
  <si>
    <t>08/10/2023 17:55:53</t>
  </si>
  <si>
    <t>08/10/2023 17:56:20</t>
  </si>
  <si>
    <t>08/10/2023 17:58:36</t>
  </si>
  <si>
    <t>08/10/2023 17:59:06</t>
  </si>
  <si>
    <t>08/10/2023 17:59:17</t>
  </si>
  <si>
    <t>21/10/2023 10:19:51</t>
  </si>
  <si>
    <t>21/10/2023 13:20:30</t>
  </si>
  <si>
    <t>21/10/2023 13:20:49</t>
  </si>
  <si>
    <t>21/10/2023 23:24:17</t>
  </si>
  <si>
    <t>22/10/2023 11:45:05</t>
  </si>
  <si>
    <t>22/10/2023 11:48:05</t>
  </si>
  <si>
    <t>22/10/2023 16:34:39</t>
  </si>
  <si>
    <t>22/10/2023 16:59:55</t>
  </si>
  <si>
    <t>22/10/2023 17:11:59</t>
  </si>
  <si>
    <t>22/10/2023 17:14:41</t>
  </si>
  <si>
    <t>22/10/2023 18:52:01</t>
  </si>
  <si>
    <t>22/10/2023 18:52:35</t>
  </si>
  <si>
    <t>22/10/2023 19:08:22</t>
  </si>
  <si>
    <t>22/10/2023 19:11:39</t>
  </si>
  <si>
    <t>22/10/2023 19:23:19</t>
  </si>
  <si>
    <t>22/10/2023 19:38:07</t>
  </si>
  <si>
    <t>22/10/2023 19:59:36</t>
  </si>
  <si>
    <t>22/10/2023 19:59:59</t>
  </si>
  <si>
    <t>22/10/2023 20:01:08</t>
  </si>
  <si>
    <t>22/10/2023 20:11:58</t>
  </si>
  <si>
    <t>22/10/2023 20:23:41</t>
  </si>
  <si>
    <t>22/10/2023 20:24:25</t>
  </si>
  <si>
    <t>22/10/2023 20:27:56</t>
  </si>
  <si>
    <t>29/10/2023 11:33:29</t>
  </si>
  <si>
    <t>29/10/2023 11:34:12</t>
  </si>
  <si>
    <t>29/10/2023 16:15:47</t>
  </si>
  <si>
    <t>29/10/2023 16:25:21</t>
  </si>
  <si>
    <t>29/10/2023 16:25:32</t>
  </si>
  <si>
    <t>29/10/2023 16:25:43</t>
  </si>
  <si>
    <t>29/10/2023 16:26:43</t>
  </si>
  <si>
    <t>29/10/2023 16:27:02</t>
  </si>
  <si>
    <t>29/10/2023 16:48:08</t>
  </si>
  <si>
    <t>29/10/2023 16:56:06</t>
  </si>
  <si>
    <t>29/10/2023 18:04:17</t>
  </si>
  <si>
    <t>29/10/2023 18:46:49</t>
  </si>
  <si>
    <t>29/10/2023 18:49:28</t>
  </si>
  <si>
    <t>29/10/2023 18:52:31</t>
  </si>
  <si>
    <t>29/10/2023 20:45:26</t>
  </si>
  <si>
    <t>29/10/2023 20:45:59</t>
  </si>
  <si>
    <t>29/10/2023 20:46:32</t>
  </si>
  <si>
    <t>29/10/2023 20:47:03</t>
  </si>
  <si>
    <t>29/10/2023 21:04:38</t>
  </si>
  <si>
    <t>29/10/2023 21:22:29</t>
  </si>
  <si>
    <t>29/10/2023 21:22:35</t>
  </si>
  <si>
    <t>29/10/2023 21:48:48</t>
  </si>
  <si>
    <t>29/10/2023 21:50:08</t>
  </si>
  <si>
    <t>05/11/2023 08:17:27</t>
  </si>
  <si>
    <t>05/11/2023 09:18:13</t>
  </si>
  <si>
    <t>05/11/2023 09:20:12</t>
  </si>
  <si>
    <t>05/11/2023 10:59:57</t>
  </si>
  <si>
    <t>05/11/2023 11:05:54</t>
  </si>
  <si>
    <t>05/11/2023 13:12:30</t>
  </si>
  <si>
    <t>05/11/2023 13:33:52</t>
  </si>
  <si>
    <t>05/11/2023 13:38:16</t>
  </si>
  <si>
    <t>05/11/2023 15:32:14</t>
  </si>
  <si>
    <t>05/11/2023 15:33:39</t>
  </si>
  <si>
    <t>05/11/2023 16:09:51</t>
  </si>
  <si>
    <t>05/11/2023 16:26:40</t>
  </si>
  <si>
    <t>05/11/2023 17:22:01</t>
  </si>
  <si>
    <t>05/11/2023 17:22:24</t>
  </si>
  <si>
    <t>05/11/2023 17:25:35</t>
  </si>
  <si>
    <t>05/11/2023 17:25:56</t>
  </si>
  <si>
    <t>05/11/2023 17:30:32</t>
  </si>
  <si>
    <t>05/11/2023 17:52:05</t>
  </si>
  <si>
    <t>05/11/2023 17:52:47</t>
  </si>
  <si>
    <t>05/11/2023 17:53:12</t>
  </si>
  <si>
    <t>05/11/2023 18:12:16</t>
  </si>
  <si>
    <t>05/11/2023 18:37:00</t>
  </si>
  <si>
    <t>05/11/2023 18:37:50</t>
  </si>
  <si>
    <t>18/11/2023 13:48:48</t>
  </si>
  <si>
    <t>18/11/2023 14:48:09</t>
  </si>
  <si>
    <t>18/11/2023 19:25:46</t>
  </si>
  <si>
    <t>18/11/2023 19:26:58</t>
  </si>
  <si>
    <t>18/11/2023 19:53:06</t>
  </si>
  <si>
    <t>18/11/2023 20:02:19</t>
  </si>
  <si>
    <t>18/11/2023 20:13:57</t>
  </si>
  <si>
    <t>18/11/2023 21:07:47</t>
  </si>
  <si>
    <t>18/11/2023 21:11:47</t>
  </si>
  <si>
    <t>18/11/2023 21:17:06</t>
  </si>
  <si>
    <t>18/11/2023 21:31:38</t>
  </si>
  <si>
    <t>18/11/2023 21:56:25</t>
  </si>
  <si>
    <t>18/11/2023 22:09:52</t>
  </si>
  <si>
    <t>18/11/2023 22:34:15</t>
  </si>
  <si>
    <t>18/11/2023 22:42:53</t>
  </si>
  <si>
    <t>18/11/2023 23:05:48</t>
  </si>
  <si>
    <t>18/11/2023 23:12:14</t>
  </si>
  <si>
    <t>19/11/2023 01:50:07</t>
  </si>
  <si>
    <t>19/11/2023 06:15:21</t>
  </si>
  <si>
    <t>19/11/2023 06:52:54</t>
  </si>
  <si>
    <t>19/11/2023 06:53:04</t>
  </si>
  <si>
    <t>19/11/2023 07:05:23</t>
  </si>
  <si>
    <t>19/11/2023 08:14:50</t>
  </si>
  <si>
    <t>19/11/2023 08:15:53</t>
  </si>
  <si>
    <t>25/11/2023 19:29:57</t>
  </si>
  <si>
    <t>25/11/2023 19:50:03</t>
  </si>
  <si>
    <t>25/11/2023 21:43:11</t>
  </si>
  <si>
    <t>26/11/2023 09:58:52</t>
  </si>
  <si>
    <t>26/11/2023 10:02:47</t>
  </si>
  <si>
    <t>Oscar and Lee for perseverance.</t>
  </si>
  <si>
    <t>26/11/2023 10:09:04</t>
  </si>
  <si>
    <t>26/11/2023 10:38:12</t>
  </si>
  <si>
    <t>26/11/2023 10:45:03</t>
  </si>
  <si>
    <t>Sneaky points award goes to Petra</t>
  </si>
  <si>
    <t>26/11/2023 11:08:31</t>
  </si>
  <si>
    <t>26/11/2023 12:00:23</t>
  </si>
  <si>
    <t>Oscar-Race controller and Group principal for keeping everyone on track everywhere with reminders ;)</t>
  </si>
  <si>
    <t>26/11/2023 12:09:17</t>
  </si>
  <si>
    <t>Best organisers - Lee Nico and Oscar (and whoever else helped behind the scenes - Frank maybe??) love you bye</t>
  </si>
  <si>
    <t>26/11/2023 12:09:27</t>
  </si>
  <si>
    <t>26/11/2023 12:44:58</t>
  </si>
  <si>
    <t>26/11/2023 13:43:06</t>
  </si>
  <si>
    <t>Zero to Hero: The person who came in from behind to come top 5 or top 10 or something like that. I don't know who should get it though, I haven't analysed all the historical results, but maybe someone good with excel and who sits with the data can draw a line graph with the names and placements after each race and that way you could quite quickly pick up whether someone deserves the award.</t>
  </si>
  <si>
    <t>26/11/2023 13:54:26</t>
  </si>
  <si>
    <t>26/11/2023 14:00:52</t>
  </si>
  <si>
    <t>The lucky one- the one that knows absolutely nothing about F1 but finished the highest</t>
  </si>
  <si>
    <t>26/11/2023 14:10:33</t>
  </si>
  <si>
    <t>The bad luck charm award_x000D_
Awarded to the person who's drivers crashed the most</t>
  </si>
  <si>
    <t>26/11/2023 14:44:14</t>
  </si>
  <si>
    <t>26/11/2023 14:44:38</t>
  </si>
  <si>
    <t>26/11/2023 14:47:55</t>
  </si>
  <si>
    <t>26/11/2023 14:48:54</t>
  </si>
  <si>
    <t>26/11/2023 14:53:59</t>
  </si>
  <si>
    <t>R1000000 for the winner</t>
  </si>
  <si>
    <t>26/11/2023 14:57:14</t>
  </si>
  <si>
    <t>26/11/2023 15:06:36</t>
  </si>
  <si>
    <t>1:31.773</t>
  </si>
  <si>
    <t>+ 13.643</t>
  </si>
  <si>
    <t>+ 18.639</t>
  </si>
  <si>
    <t>+ 32.007</t>
  </si>
  <si>
    <t>+ 35.759</t>
  </si>
  <si>
    <t>+ 39.936</t>
  </si>
  <si>
    <t>Oliver BearmanFerrari</t>
  </si>
  <si>
    <t>+ 42.679</t>
  </si>
  <si>
    <t>+ 45.708</t>
  </si>
  <si>
    <t>+ 47.391</t>
  </si>
  <si>
    <t>+ 76.996</t>
  </si>
  <si>
    <t>+ 88.354</t>
  </si>
  <si>
    <t>+ 105.737</t>
  </si>
  <si>
    <t>R</t>
  </si>
  <si>
    <t>+ 45 LAPS</t>
  </si>
  <si>
    <t>0</t>
  </si>
  <si>
    <t>+ 49 LAPS</t>
  </si>
  <si>
    <t>Oliver Bearman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</si>
</sst>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8" x14ac:knownFonts="1"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u/>
      <sz val="14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rgb="FF808080"/>
      <name val="Calibri"/>
    </font>
    <font>
      <b/>
      <i/>
      <sz val="14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33CC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i/>
      <sz val="10"/>
      <color theme="0" tint="-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1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 style="medium">
        <color rgb="FFCCCCCC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17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horizontal="right" indent="1"/>
    </xf>
    <xf numFmtId="0" fontId="2" fillId="0" borderId="0" xfId="0" applyFont="1" applyAlignment="1">
      <alignment horizontal="right" inden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2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  <xf numFmtId="0" fontId="6" fillId="0" borderId="0" xfId="0" applyFo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5" fillId="3" borderId="0" xfId="0" applyFont="1" applyFill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3" fillId="0" borderId="4" xfId="0" applyFont="1" applyBorder="1" applyAlignment="1">
      <alignment wrapText="1"/>
    </xf>
    <xf numFmtId="0" fontId="3" fillId="0" borderId="0" xfId="0" applyFont="1" applyAlignment="1">
      <alignment wrapText="1"/>
    </xf>
    <xf numFmtId="0" fontId="3" fillId="6" borderId="1" xfId="0" applyFont="1" applyFill="1" applyBorder="1" applyAlignment="1">
      <alignment wrapText="1"/>
    </xf>
    <xf numFmtId="0" fontId="0" fillId="6" borderId="0" xfId="0" applyFill="1"/>
    <xf numFmtId="0" fontId="3" fillId="6" borderId="6" xfId="0" applyFont="1" applyFill="1" applyBorder="1" applyAlignment="1">
      <alignment wrapText="1"/>
    </xf>
    <xf numFmtId="0" fontId="2" fillId="6" borderId="5" xfId="0" applyFont="1" applyFill="1" applyBorder="1"/>
    <xf numFmtId="0" fontId="7" fillId="0" borderId="0" xfId="0" applyFont="1"/>
    <xf numFmtId="0" fontId="8" fillId="5" borderId="2" xfId="0" applyFont="1" applyFill="1" applyBorder="1" applyAlignment="1">
      <alignment horizontal="center" vertical="center" wrapText="1"/>
    </xf>
    <xf numFmtId="0" fontId="8" fillId="5" borderId="3" xfId="0" applyFont="1" applyFill="1" applyBorder="1" applyAlignment="1">
      <alignment horizontal="center" vertical="center" wrapText="1"/>
    </xf>
    <xf numFmtId="0" fontId="2" fillId="0" borderId="5" xfId="0" applyFont="1" applyBorder="1"/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3" fillId="6" borderId="1" xfId="0" applyFont="1" applyFill="1" applyBorder="1" applyAlignment="1">
      <alignment vertical="center"/>
    </xf>
    <xf numFmtId="0" fontId="3" fillId="6" borderId="1" xfId="0" applyFont="1" applyFill="1" applyBorder="1"/>
    <xf numFmtId="0" fontId="3" fillId="0" borderId="0" xfId="0" applyFont="1" applyAlignment="1">
      <alignment vertical="center"/>
    </xf>
    <xf numFmtId="0" fontId="3" fillId="0" borderId="0" xfId="0" applyFont="1"/>
    <xf numFmtId="0" fontId="3" fillId="6" borderId="8" xfId="0" applyFont="1" applyFill="1" applyBorder="1" applyAlignment="1">
      <alignment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2" fillId="7" borderId="5" xfId="0" applyFont="1" applyFill="1" applyBorder="1" applyAlignment="1">
      <alignment horizontal="right"/>
    </xf>
    <xf numFmtId="0" fontId="0" fillId="7" borderId="0" xfId="0" applyFill="1" applyAlignment="1">
      <alignment horizontal="right"/>
    </xf>
    <xf numFmtId="0" fontId="5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indent="1"/>
    </xf>
    <xf numFmtId="0" fontId="2" fillId="0" borderId="0" xfId="0" applyFont="1" applyAlignment="1">
      <alignment horizontal="left" indent="1"/>
    </xf>
    <xf numFmtId="0" fontId="3" fillId="6" borderId="9" xfId="0" applyFont="1" applyFill="1" applyBorder="1" applyAlignment="1">
      <alignment readingOrder="1"/>
    </xf>
    <xf numFmtId="0" fontId="3" fillId="6" borderId="10" xfId="0" applyFont="1" applyFill="1" applyBorder="1" applyAlignment="1">
      <alignment readingOrder="1"/>
    </xf>
    <xf numFmtId="0" fontId="3" fillId="6" borderId="11" xfId="0" applyFont="1" applyFill="1" applyBorder="1" applyAlignment="1">
      <alignment readingOrder="1"/>
    </xf>
    <xf numFmtId="0" fontId="16" fillId="0" borderId="0" xfId="0" applyFont="1"/>
    <xf numFmtId="0" fontId="0" fillId="9" borderId="0" xfId="0" applyFill="1"/>
    <xf numFmtId="0" fontId="0" fillId="9" borderId="0" xfId="0" applyFill="1" applyAlignment="1">
      <alignment horizontal="center"/>
    </xf>
    <xf numFmtId="0" fontId="2" fillId="6" borderId="5" xfId="0" applyFont="1" applyFill="1" applyBorder="1" applyAlignment="1">
      <alignment horizontal="center"/>
    </xf>
    <xf numFmtId="0" fontId="15" fillId="9" borderId="5" xfId="0" applyFont="1" applyFill="1" applyBorder="1" applyAlignment="1">
      <alignment horizontal="left"/>
    </xf>
    <xf numFmtId="0" fontId="2" fillId="9" borderId="5" xfId="0" applyFont="1" applyFill="1" applyBorder="1"/>
    <xf numFmtId="0" fontId="2" fillId="9" borderId="5" xfId="0" applyFont="1" applyFill="1" applyBorder="1" applyAlignment="1">
      <alignment horizontal="center"/>
    </xf>
    <xf numFmtId="0" fontId="16" fillId="9" borderId="0" xfId="0" applyFont="1" applyFill="1" applyAlignment="1">
      <alignment horizontal="left"/>
    </xf>
    <xf numFmtId="1" fontId="10" fillId="9" borderId="0" xfId="0" applyNumberFormat="1" applyFont="1" applyFill="1" applyAlignment="1">
      <alignment horizontal="left"/>
    </xf>
    <xf numFmtId="0" fontId="8" fillId="5" borderId="7" xfId="0" applyFont="1" applyFill="1" applyBorder="1" applyAlignment="1">
      <alignment horizontal="center" vertical="center" wrapText="1"/>
    </xf>
    <xf numFmtId="0" fontId="2" fillId="8" borderId="0" xfId="0" applyFont="1" applyFill="1" applyAlignment="1">
      <alignment horizontal="center"/>
    </xf>
    <xf numFmtId="0" fontId="9" fillId="8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2" fillId="10" borderId="0" xfId="0" applyFont="1" applyFill="1" applyAlignment="1">
      <alignment horizontal="left"/>
    </xf>
    <xf numFmtId="0" fontId="4" fillId="0" borderId="0" xfId="0" applyFont="1" applyAlignment="1">
      <alignment horizontal="right" indent="1"/>
    </xf>
    <xf numFmtId="0" fontId="12" fillId="0" borderId="0" xfId="0" applyFont="1" applyAlignment="1">
      <alignment horizontal="right" vertical="top" wrapText="1" indent="1"/>
    </xf>
    <xf numFmtId="1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0" fillId="8" borderId="0" xfId="0" applyFill="1" applyAlignment="1">
      <alignment horizontal="left"/>
    </xf>
    <xf numFmtId="0" fontId="17" fillId="8" borderId="0" xfId="0" applyFont="1" applyFill="1" applyAlignment="1">
      <alignment horizontal="center" vertical="center" wrapText="1"/>
    </xf>
    <xf numFmtId="0" fontId="2" fillId="8" borderId="5" xfId="0" applyFont="1" applyFill="1" applyBorder="1" applyAlignment="1">
      <alignment horizontal="left"/>
    </xf>
    <xf numFmtId="0" fontId="0" fillId="8" borderId="5" xfId="0" applyFill="1" applyBorder="1" applyAlignment="1">
      <alignment horizontal="left"/>
    </xf>
    <xf numFmtId="0" fontId="2" fillId="8" borderId="5" xfId="0" applyFont="1" applyFill="1" applyBorder="1" applyAlignment="1">
      <alignment horizontal="center" vertical="center" wrapText="1"/>
    </xf>
    <xf numFmtId="1" fontId="0" fillId="8" borderId="0" xfId="0" applyNumberFormat="1" applyFill="1" applyAlignment="1">
      <alignment horizontal="left"/>
    </xf>
    <xf numFmtId="2" fontId="0" fillId="0" borderId="0" xfId="0" applyNumberFormat="1" applyAlignment="1">
      <alignment horizontal="center"/>
    </xf>
    <xf numFmtId="0" fontId="0" fillId="0" borderId="12" xfId="0" applyBorder="1"/>
    <xf numFmtId="0" fontId="18" fillId="0" borderId="0" xfId="0" applyFont="1"/>
    <xf numFmtId="0" fontId="0" fillId="10" borderId="0" xfId="0" applyFill="1"/>
    <xf numFmtId="0" fontId="16" fillId="0" borderId="5" xfId="0" applyFont="1" applyBorder="1"/>
    <xf numFmtId="0" fontId="14" fillId="0" borderId="5" xfId="0" applyFont="1" applyBorder="1"/>
    <xf numFmtId="0" fontId="14" fillId="0" borderId="0" xfId="0" applyFont="1"/>
    <xf numFmtId="0" fontId="19" fillId="0" borderId="0" xfId="0" applyFont="1"/>
    <xf numFmtId="0" fontId="14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horizontal="right" indent="1"/>
    </xf>
    <xf numFmtId="1" fontId="11" fillId="0" borderId="0" xfId="0" applyNumberFormat="1" applyFont="1" applyAlignment="1">
      <alignment horizontal="left"/>
    </xf>
    <xf numFmtId="0" fontId="20" fillId="0" borderId="0" xfId="0" applyFont="1"/>
    <xf numFmtId="0" fontId="22" fillId="0" borderId="0" xfId="0" applyFont="1" applyAlignment="1">
      <alignment horizontal="center" vertical="center" wrapText="1"/>
    </xf>
    <xf numFmtId="0" fontId="22" fillId="0" borderId="0" xfId="0" applyFont="1" applyAlignment="1">
      <alignment horizontal="center"/>
    </xf>
    <xf numFmtId="0" fontId="0" fillId="0" borderId="0" xfId="0" applyAlignment="1">
      <alignment horizontal="right"/>
    </xf>
    <xf numFmtId="1" fontId="0" fillId="0" borderId="0" xfId="0" applyNumberFormat="1"/>
    <xf numFmtId="1" fontId="0" fillId="0" borderId="12" xfId="0" applyNumberFormat="1" applyBorder="1"/>
    <xf numFmtId="0" fontId="18" fillId="0" borderId="0" xfId="0" applyFont="1" applyAlignment="1">
      <alignment horizontal="right" indent="1"/>
    </xf>
    <xf numFmtId="0" fontId="23" fillId="0" borderId="0" xfId="0" applyFont="1" applyAlignment="1">
      <alignment horizontal="right" vertical="top" wrapText="1" indent="1"/>
    </xf>
    <xf numFmtId="1" fontId="2" fillId="0" borderId="0" xfId="0" applyNumberFormat="1" applyFont="1" applyAlignment="1">
      <alignment horizontal="right" indent="1"/>
    </xf>
    <xf numFmtId="0" fontId="2" fillId="8" borderId="0" xfId="0" applyFont="1" applyFill="1" applyAlignment="1">
      <alignment horizontal="right" indent="1"/>
    </xf>
    <xf numFmtId="0" fontId="2" fillId="8" borderId="5" xfId="0" applyFont="1" applyFill="1" applyBorder="1" applyAlignment="1">
      <alignment horizontal="right" indent="1"/>
    </xf>
    <xf numFmtId="0" fontId="24" fillId="0" borderId="0" xfId="0" applyFont="1" applyAlignment="1">
      <alignment horizontal="center" vertical="center" wrapText="1"/>
    </xf>
    <xf numFmtId="14" fontId="2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right"/>
    </xf>
    <xf numFmtId="164" fontId="0" fillId="0" borderId="0" xfId="0" applyNumberFormat="1" applyAlignment="1">
      <alignment horizontal="center"/>
    </xf>
    <xf numFmtId="2" fontId="5" fillId="0" borderId="0" xfId="0" applyNumberFormat="1" applyFont="1" applyAlignment="1">
      <alignment horizontal="center"/>
    </xf>
    <xf numFmtId="164" fontId="0" fillId="0" borderId="0" xfId="0" applyNumberFormat="1"/>
    <xf numFmtId="0" fontId="0" fillId="11" borderId="0" xfId="0" applyFill="1"/>
    <xf numFmtId="164" fontId="0" fillId="0" borderId="0" xfId="0" applyNumberFormat="1" applyAlignment="1">
      <alignment horizontal="right"/>
    </xf>
    <xf numFmtId="10" fontId="0" fillId="0" borderId="0" xfId="0" applyNumberFormat="1"/>
    <xf numFmtId="1" fontId="4" fillId="0" borderId="0" xfId="0" applyNumberFormat="1" applyFont="1" applyAlignment="1">
      <alignment horizontal="center"/>
    </xf>
    <xf numFmtId="0" fontId="26" fillId="0" borderId="0" xfId="0" applyFont="1" applyAlignment="1">
      <alignment horizontal="right" indent="1"/>
    </xf>
    <xf numFmtId="2" fontId="0" fillId="0" borderId="0" xfId="1" applyNumberFormat="1" applyFont="1" applyFill="1" applyAlignment="1">
      <alignment horizontal="center"/>
    </xf>
    <xf numFmtId="0" fontId="2" fillId="0" borderId="0" xfId="0" applyFont="1" applyAlignment="1">
      <alignment horizontal="left"/>
    </xf>
    <xf numFmtId="164" fontId="0" fillId="0" borderId="0" xfId="1" applyNumberFormat="1" applyFont="1" applyFill="1" applyAlignment="1">
      <alignment horizontal="center"/>
    </xf>
    <xf numFmtId="9" fontId="0" fillId="0" borderId="0" xfId="1" applyFont="1" applyFill="1" applyAlignment="1">
      <alignment horizontal="center"/>
    </xf>
    <xf numFmtId="0" fontId="2" fillId="6" borderId="0" xfId="0" applyFont="1" applyFill="1"/>
    <xf numFmtId="0" fontId="0" fillId="6" borderId="0" xfId="0" applyFill="1" applyAlignment="1">
      <alignment horizontal="center"/>
    </xf>
    <xf numFmtId="22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NumberFormat="1" applyAlignment="1">
      <alignment horizontal="right"/>
    </xf>
  </cellXfs>
  <cellStyles count="2">
    <cellStyle name="Normal" xfId="0" builtinId="0"/>
    <cellStyle name="Percent" xfId="1" builtinId="5"/>
  </cellStyles>
  <dxfs count="55">
    <dxf>
      <numFmt numFmtId="0" formatCode="General"/>
      <fill>
        <patternFill>
          <fgColor indexed="64"/>
          <bgColor theme="9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font>
        <b/>
      </font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yyyy/mm/dd\ hh:mm"/>
      <alignment horizontal="left" vertical="bottom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"/>
        <family val="2"/>
        <scheme val="minor"/>
      </font>
      <numFmt numFmtId="1" formatCode="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</font>
      <numFmt numFmtId="1" formatCode="0"/>
      <alignment horizontal="right" textRotation="0" indent="1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vertical="top" textRotation="0" wrapText="1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0" tint="-4.9989318521683403E-2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ill>
        <patternFill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fill>
        <patternFill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family val="2"/>
        <scheme val="minor"/>
      </font>
      <fill>
        <patternFill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7" tint="0.79998168889431442"/>
        </patternFill>
      </fill>
    </dxf>
    <dxf>
      <border>
        <bottom style="thin">
          <color indexed="64"/>
        </bottom>
      </border>
    </dxf>
    <dxf>
      <font>
        <b/>
      </font>
      <fill>
        <patternFill patternType="solid">
          <fgColor indexed="64"/>
          <bgColor theme="7" tint="0.79998168889431442"/>
        </patternFill>
      </fill>
    </dxf>
  </dxfs>
  <tableStyles count="0" defaultTableStyle="TableStyleMedium2" defaultPivotStyle="PivotStyleLight16"/>
  <colors>
    <mruColors>
      <color rgb="FFFF66CC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 sz="1800"/>
              <a:t>Standings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098490641425729E-2"/>
          <c:y val="8.7931128109580828E-2"/>
          <c:w val="0.75586679617803676"/>
          <c:h val="0.79853305494958193"/>
        </c:manualLayout>
      </c:layout>
      <c:scatterChart>
        <c:scatterStyle val="lineMarker"/>
        <c:varyColors val="0"/>
        <c:ser>
          <c:idx val="0"/>
          <c:order val="0"/>
          <c:tx>
            <c:strRef>
              <c:f>'Results (2)'!$B$92</c:f>
              <c:strCache>
                <c:ptCount val="1"/>
                <c:pt idx="0">
                  <c:v>Markus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'Results (2)'!$H$92:$AC$92</c:f>
              <c:numCache>
                <c:formatCode>0</c:formatCode>
                <c:ptCount val="2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3F-47F2-A3F6-4F0D7EB97F80}"/>
            </c:ext>
          </c:extLst>
        </c:ser>
        <c:ser>
          <c:idx val="1"/>
          <c:order val="1"/>
          <c:tx>
            <c:strRef>
              <c:f>'Results (2)'!$B$93</c:f>
              <c:strCache>
                <c:ptCount val="1"/>
                <c:pt idx="0">
                  <c:v>Kristel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'Results (2)'!$H$93:$AC$93</c:f>
              <c:numCache>
                <c:formatCode>0</c:formatCode>
                <c:ptCount val="2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3F-47F2-A3F6-4F0D7EB97F80}"/>
            </c:ext>
          </c:extLst>
        </c:ser>
        <c:ser>
          <c:idx val="2"/>
          <c:order val="2"/>
          <c:tx>
            <c:strRef>
              <c:f>'Results (2)'!$B$94</c:f>
              <c:strCache>
                <c:ptCount val="1"/>
                <c:pt idx="0">
                  <c:v>Suzzy B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'Results (2)'!$H$94:$AC$94</c:f>
              <c:numCache>
                <c:formatCode>0</c:formatCode>
                <c:ptCount val="2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3F-47F2-A3F6-4F0D7EB97F80}"/>
            </c:ext>
          </c:extLst>
        </c:ser>
        <c:ser>
          <c:idx val="3"/>
          <c:order val="3"/>
          <c:tx>
            <c:strRef>
              <c:f>'Results (2)'!$B$95</c:f>
              <c:strCache>
                <c:ptCount val="1"/>
                <c:pt idx="0">
                  <c:v>Wade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'Results (2)'!$H$95:$AC$95</c:f>
              <c:numCache>
                <c:formatCode>0</c:formatCode>
                <c:ptCount val="2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3F-47F2-A3F6-4F0D7EB97F80}"/>
            </c:ext>
          </c:extLst>
        </c:ser>
        <c:ser>
          <c:idx val="4"/>
          <c:order val="4"/>
          <c:tx>
            <c:strRef>
              <c:f>'Results (2)'!$B$96</c:f>
              <c:strCache>
                <c:ptCount val="1"/>
                <c:pt idx="0">
                  <c:v>Joshua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'Results (2)'!$H$96:$AC$96</c:f>
              <c:numCache>
                <c:formatCode>0</c:formatCode>
                <c:ptCount val="2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A3F-47F2-A3F6-4F0D7EB97F80}"/>
            </c:ext>
          </c:extLst>
        </c:ser>
        <c:ser>
          <c:idx val="10"/>
          <c:order val="10"/>
          <c:tx>
            <c:strRef>
              <c:f>'Results (2)'!$B$102</c:f>
              <c:strCache>
                <c:ptCount val="1"/>
                <c:pt idx="0">
                  <c:v>Oscar</c:v>
                </c:pt>
              </c:strCache>
            </c:strRef>
          </c:tx>
          <c:spPr>
            <a:ln w="22225" cap="rnd">
              <a:solidFill>
                <a:schemeClr val="accent5">
                  <a:lumMod val="60000"/>
                </a:schemeClr>
              </a:solidFill>
            </a:ln>
            <a:effectLst>
              <a:glow rad="139700">
                <a:schemeClr val="accent5">
                  <a:lumMod val="60000"/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lumMod val="60000"/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'Results (2)'!$H$91:$AC$91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'Results (2)'!$H$102:$AC$102</c:f>
              <c:numCache>
                <c:formatCode>0</c:formatCode>
                <c:ptCount val="2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A3F-47F2-A3F6-4F0D7EB97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9555023"/>
        <c:axId val="499555983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'Results (2)'!$B$97</c15:sqref>
                        </c15:formulaRef>
                      </c:ext>
                    </c:extLst>
                    <c:strCache>
                      <c:ptCount val="1"/>
                      <c:pt idx="0">
                        <c:v>Frank</c:v>
                      </c:pt>
                    </c:strCache>
                  </c:strRef>
                </c:tx>
                <c:spPr>
                  <a:ln w="22225" cap="rnd">
                    <a:solidFill>
                      <a:schemeClr val="accent6"/>
                    </a:solidFill>
                  </a:ln>
                  <a:effectLst>
                    <a:glow rad="139700">
                      <a:schemeClr val="accent6"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'Results (2)'!$H$97:$AC$97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AA3F-47F2-A3F6-4F0D7EB97F80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(2)'!$B$98</c15:sqref>
                        </c15:formulaRef>
                      </c:ext>
                    </c:extLst>
                    <c:strCache>
                      <c:ptCount val="1"/>
                      <c:pt idx="0">
                        <c:v>Jimbo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60000"/>
                      </a:schemeClr>
                    </a:solidFill>
                  </a:ln>
                  <a:effectLst>
                    <a:glow rad="139700">
                      <a:schemeClr val="accent1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(2)'!$H$98:$AC$98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A3F-47F2-A3F6-4F0D7EB97F80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(2)'!$B$99</c15:sqref>
                        </c15:formulaRef>
                      </c:ext>
                    </c:extLst>
                    <c:strCache>
                      <c:ptCount val="1"/>
                      <c:pt idx="0">
                        <c:v>Mike</c:v>
                      </c:pt>
                    </c:strCache>
                  </c:strRef>
                </c:tx>
                <c:spPr>
                  <a:ln w="22225" cap="rnd">
                    <a:solidFill>
                      <a:schemeClr val="accent2">
                        <a:lumMod val="60000"/>
                      </a:schemeClr>
                    </a:solidFill>
                  </a:ln>
                  <a:effectLst>
                    <a:glow rad="139700">
                      <a:schemeClr val="accent2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(2)'!$H$99:$AC$99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A3F-47F2-A3F6-4F0D7EB97F80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(2)'!$B$100</c15:sqref>
                        </c15:formulaRef>
                      </c:ext>
                    </c:extLst>
                    <c:strCache>
                      <c:ptCount val="1"/>
                      <c:pt idx="0">
                        <c:v>Nico SR</c:v>
                      </c:pt>
                    </c:strCache>
                  </c:strRef>
                </c:tx>
                <c:spPr>
                  <a:ln w="22225" cap="rnd">
                    <a:solidFill>
                      <a:schemeClr val="accent3">
                        <a:lumMod val="60000"/>
                      </a:schemeClr>
                    </a:solidFill>
                  </a:ln>
                  <a:effectLst>
                    <a:glow rad="139700">
                      <a:schemeClr val="accent3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3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3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(2)'!$H$100:$AC$100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A3F-47F2-A3F6-4F0D7EB97F80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(2)'!$B$101</c15:sqref>
                        </c15:formulaRef>
                      </c:ext>
                    </c:extLst>
                    <c:strCache>
                      <c:ptCount val="1"/>
                      <c:pt idx="0">
                        <c:v>Ilarie</c:v>
                      </c:pt>
                    </c:strCache>
                  </c:strRef>
                </c:tx>
                <c:spPr>
                  <a:ln w="22225" cap="rnd">
                    <a:solidFill>
                      <a:schemeClr val="accent4">
                        <a:lumMod val="60000"/>
                      </a:schemeClr>
                    </a:solidFill>
                  </a:ln>
                  <a:effectLst>
                    <a:glow rad="139700">
                      <a:schemeClr val="accent4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4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4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(2)'!$H$101:$AC$101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A3F-47F2-A3F6-4F0D7EB97F80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(2)'!$B$103</c15:sqref>
                        </c15:formulaRef>
                      </c:ext>
                    </c:extLst>
                    <c:strCache>
                      <c:ptCount val="1"/>
                      <c:pt idx="0">
                        <c:v>Deville</c:v>
                      </c:pt>
                    </c:strCache>
                  </c:strRef>
                </c:tx>
                <c:spPr>
                  <a:ln w="22225" cap="rnd">
                    <a:solidFill>
                      <a:schemeClr val="accent6">
                        <a:lumMod val="60000"/>
                      </a:schemeClr>
                    </a:solidFill>
                  </a:ln>
                  <a:effectLst>
                    <a:glow rad="139700">
                      <a:schemeClr val="accent6">
                        <a:lumMod val="6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6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lumMod val="6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(2)'!$H$103:$AC$103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A3F-47F2-A3F6-4F0D7EB97F80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(2)'!$B$104</c15:sqref>
                        </c15:formulaRef>
                      </c:ext>
                    </c:extLst>
                    <c:strCache>
                      <c:ptCount val="1"/>
                      <c:pt idx="0">
                        <c:v>Liz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1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(2)'!$H$104:$AC$104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A3F-47F2-A3F6-4F0D7EB97F80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(2)'!$B$105</c15:sqref>
                        </c15:formulaRef>
                      </c:ext>
                    </c:extLst>
                    <c:strCache>
                      <c:ptCount val="1"/>
                      <c:pt idx="0">
                        <c:v>Nico JR</c:v>
                      </c:pt>
                    </c:strCache>
                  </c:strRef>
                </c:tx>
                <c:spPr>
                  <a:ln w="2222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2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(2)'!$H$105:$AC$105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A3F-47F2-A3F6-4F0D7EB97F80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(2)'!$B$106</c15:sqref>
                        </c15:formulaRef>
                      </c:ext>
                    </c:extLst>
                    <c:strCache>
                      <c:ptCount val="1"/>
                      <c:pt idx="0">
                        <c:v>Alida</c:v>
                      </c:pt>
                    </c:strCache>
                  </c:strRef>
                </c:tx>
                <c:spPr>
                  <a:ln w="2222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3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3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3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(2)'!$H$106:$AC$106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AA3F-47F2-A3F6-4F0D7EB97F80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(2)'!$B$107</c15:sqref>
                        </c15:formulaRef>
                      </c:ext>
                    </c:extLst>
                    <c:strCache>
                      <c:ptCount val="1"/>
                      <c:pt idx="0">
                        <c:v>Jason</c:v>
                      </c:pt>
                    </c:strCache>
                  </c:strRef>
                </c:tx>
                <c:spPr>
                  <a:ln w="22225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4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4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4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(2)'!$H$107:$AC$107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A3F-47F2-A3F6-4F0D7EB97F80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(2)'!$B$108</c15:sqref>
                        </c15:formulaRef>
                      </c:ext>
                    </c:extLst>
                    <c:strCache>
                      <c:ptCount val="1"/>
                      <c:pt idx="0">
                        <c:v>PJ</c:v>
                      </c:pt>
                    </c:strCache>
                  </c:strRef>
                </c:tx>
                <c:spPr>
                  <a:ln w="22225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5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5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5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(2)'!$H$108:$AC$108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A3F-47F2-A3F6-4F0D7EB97F80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(2)'!$B$109</c15:sqref>
                        </c15:formulaRef>
                      </c:ext>
                    </c:extLst>
                    <c:strCache>
                      <c:ptCount val="1"/>
                      <c:pt idx="0">
                        <c:v>Bernd</c:v>
                      </c:pt>
                    </c:strCache>
                  </c:strRef>
                </c:tx>
                <c:spPr>
                  <a:ln w="22225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</a:ln>
                  <a:effectLst>
                    <a:glow rad="139700">
                      <a:schemeClr val="accent6">
                        <a:lumMod val="80000"/>
                        <a:lumOff val="2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80000"/>
                        <a:lumOff val="2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lumMod val="80000"/>
                          <a:lumOff val="2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(2)'!$H$109:$AC$109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A3F-47F2-A3F6-4F0D7EB97F80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(2)'!$B$110</c15:sqref>
                        </c15:formulaRef>
                      </c:ext>
                    </c:extLst>
                    <c:strCache>
                      <c:ptCount val="1"/>
                      <c:pt idx="0">
                        <c:v>Pam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80000"/>
                      </a:schemeClr>
                    </a:solidFill>
                  </a:ln>
                  <a:effectLst>
                    <a:glow rad="139700">
                      <a:schemeClr val="accent1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(2)'!$H$110:$AC$110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A3F-47F2-A3F6-4F0D7EB97F80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(2)'!$B$111</c15:sqref>
                        </c15:formulaRef>
                      </c:ext>
                    </c:extLst>
                    <c:strCache>
                      <c:ptCount val="1"/>
                      <c:pt idx="0">
                        <c:v>Reinhard</c:v>
                      </c:pt>
                    </c:strCache>
                  </c:strRef>
                </c:tx>
                <c:spPr>
                  <a:ln w="22225" cap="rnd">
                    <a:solidFill>
                      <a:schemeClr val="accent2">
                        <a:lumMod val="80000"/>
                      </a:schemeClr>
                    </a:solidFill>
                  </a:ln>
                  <a:effectLst>
                    <a:glow rad="139700">
                      <a:schemeClr val="accent2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(2)'!$H$111:$AC$111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A3F-47F2-A3F6-4F0D7EB97F80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(2)'!$B$112</c15:sqref>
                        </c15:formulaRef>
                      </c:ext>
                    </c:extLst>
                    <c:strCache>
                      <c:ptCount val="1"/>
                      <c:pt idx="0">
                        <c:v>Liam</c:v>
                      </c:pt>
                    </c:strCache>
                  </c:strRef>
                </c:tx>
                <c:spPr>
                  <a:ln w="22225" cap="rnd">
                    <a:solidFill>
                      <a:schemeClr val="accent3">
                        <a:lumMod val="80000"/>
                      </a:schemeClr>
                    </a:solidFill>
                  </a:ln>
                  <a:effectLst>
                    <a:glow rad="139700">
                      <a:schemeClr val="accent3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3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3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(2)'!$H$112:$AC$112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A3F-47F2-A3F6-4F0D7EB97F80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(2)'!$B$113</c15:sqref>
                        </c15:formulaRef>
                      </c:ext>
                    </c:extLst>
                    <c:strCache>
                      <c:ptCount val="1"/>
                      <c:pt idx="0">
                        <c:v>Lee</c:v>
                      </c:pt>
                    </c:strCache>
                  </c:strRef>
                </c:tx>
                <c:spPr>
                  <a:ln w="22225" cap="rnd">
                    <a:solidFill>
                      <a:schemeClr val="accent4">
                        <a:lumMod val="80000"/>
                      </a:schemeClr>
                    </a:solidFill>
                  </a:ln>
                  <a:effectLst>
                    <a:glow rad="139700">
                      <a:schemeClr val="accent4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4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4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(2)'!$H$113:$AC$113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A3F-47F2-A3F6-4F0D7EB97F80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(2)'!$B$114</c15:sqref>
                        </c15:formulaRef>
                      </c:ext>
                    </c:extLst>
                    <c:strCache>
                      <c:ptCount val="1"/>
                      <c:pt idx="0">
                        <c:v>Petra</c:v>
                      </c:pt>
                    </c:strCache>
                  </c:strRef>
                </c:tx>
                <c:spPr>
                  <a:ln w="22225" cap="rnd">
                    <a:solidFill>
                      <a:schemeClr val="accent5">
                        <a:lumMod val="80000"/>
                      </a:schemeClr>
                    </a:solidFill>
                  </a:ln>
                  <a:effectLst>
                    <a:glow rad="139700">
                      <a:schemeClr val="accent5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5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5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(2)'!$H$114:$AC$114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A3F-47F2-A3F6-4F0D7EB97F80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(2)'!$B$115</c15:sqref>
                        </c15:formulaRef>
                      </c:ext>
                    </c:extLst>
                    <c:strCache>
                      <c:ptCount val="1"/>
                      <c:pt idx="0">
                        <c:v>Smartin</c:v>
                      </c:pt>
                    </c:strCache>
                  </c:strRef>
                </c:tx>
                <c:spPr>
                  <a:ln w="22225" cap="rnd">
                    <a:solidFill>
                      <a:schemeClr val="accent6">
                        <a:lumMod val="80000"/>
                      </a:schemeClr>
                    </a:solidFill>
                  </a:ln>
                  <a:effectLst>
                    <a:glow rad="139700">
                      <a:schemeClr val="accent6">
                        <a:lumMod val="8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6">
                        <a:lumMod val="8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6">
                          <a:lumMod val="8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(2)'!$H$115:$AC$115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A3F-47F2-A3F6-4F0D7EB97F80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(2)'!$B$116</c15:sqref>
                        </c15:formulaRef>
                      </c:ext>
                    </c:extLst>
                    <c:strCache>
                      <c:ptCount val="1"/>
                      <c:pt idx="0">
                        <c:v>Riaan</c:v>
                      </c:pt>
                    </c:strCache>
                  </c:strRef>
                </c:tx>
                <c:spPr>
                  <a:ln w="22225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</a:ln>
                  <a:effectLst>
                    <a:glow rad="139700">
                      <a:schemeClr val="accent1">
                        <a:lumMod val="60000"/>
                        <a:lumOff val="4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1">
                        <a:lumMod val="60000"/>
                        <a:lumOff val="4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1">
                          <a:lumMod val="60000"/>
                          <a:lumOff val="4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(2)'!$H$116:$AC$116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A3F-47F2-A3F6-4F0D7EB97F80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(2)'!$B$117</c15:sqref>
                        </c15:formulaRef>
                      </c:ext>
                    </c:extLst>
                    <c:strCache>
                      <c:ptCount val="1"/>
                      <c:pt idx="0">
                        <c:v>Clarice</c:v>
                      </c:pt>
                    </c:strCache>
                  </c:strRef>
                </c:tx>
                <c:spPr>
                  <a:ln w="22225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</a:ln>
                  <a:effectLst>
                    <a:glow rad="139700">
                      <a:schemeClr val="accent2">
                        <a:lumMod val="60000"/>
                        <a:lumOff val="40000"/>
                        <a:satMod val="175000"/>
                        <a:alpha val="14000"/>
                      </a:schemeClr>
                    </a:glow>
                  </a:effectLst>
                </c:spPr>
                <c:marker>
                  <c:symbol val="circle"/>
                  <c:size val="3"/>
                  <c:spPr>
                    <a:solidFill>
                      <a:schemeClr val="accent2">
                        <a:lumMod val="60000"/>
                        <a:lumOff val="40000"/>
                        <a:lumMod val="60000"/>
                        <a:lumOff val="40000"/>
                      </a:schemeClr>
                    </a:solidFill>
                    <a:ln>
                      <a:noFill/>
                    </a:ln>
                    <a:effectLst>
                      <a:glow rad="63500">
                        <a:schemeClr val="accent2">
                          <a:lumMod val="60000"/>
                          <a:lumOff val="40000"/>
                          <a:satMod val="175000"/>
                          <a:alpha val="25000"/>
                        </a:schemeClr>
                      </a:glo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(2)'!$H$91:$AC$91</c15:sqref>
                        </c15:formulaRef>
                      </c:ext>
                    </c:extLst>
                    <c:numCache>
                      <c:formatCode>General</c:formatCode>
                      <c:ptCount val="22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'Results (2)'!$H$117:$AC$117</c15:sqref>
                        </c15:formulaRef>
                      </c:ext>
                    </c:extLst>
                    <c:numCache>
                      <c:formatCode>0</c:formatCode>
                      <c:ptCount val="22"/>
                      <c:pt idx="0">
                        <c:v>0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A3F-47F2-A3F6-4F0D7EB97F80}"/>
                  </c:ext>
                </c:extLst>
              </c15:ser>
            </c15:filteredScatterSeries>
          </c:ext>
        </c:extLst>
      </c:scatterChart>
      <c:valAx>
        <c:axId val="499555023"/>
        <c:scaling>
          <c:orientation val="minMax"/>
          <c:max val="15"/>
          <c:min val="1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800"/>
                  <a:t>Race #</a:t>
                </a:r>
              </a:p>
            </c:rich>
          </c:tx>
          <c:layout>
            <c:manualLayout>
              <c:xMode val="edge"/>
              <c:yMode val="edge"/>
              <c:x val="0.40709928975413506"/>
              <c:y val="0.9358500847322741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5983"/>
        <c:crosses val="autoZero"/>
        <c:crossBetween val="midCat"/>
        <c:majorUnit val="1"/>
      </c:valAx>
      <c:valAx>
        <c:axId val="499555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 sz="1800"/>
                  <a:t>Points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95550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497978107067341"/>
          <c:y val="8.6178556882975849E-2"/>
          <c:w val="0.11419592781932573"/>
          <c:h val="0.80294681645397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Normal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Stats!$N$4:$N$29</c:f>
              <c:numCache>
                <c:formatCode>General</c:formatCode>
                <c:ptCount val="26"/>
                <c:pt idx="0">
                  <c:v>1.4363204599425072</c:v>
                </c:pt>
                <c:pt idx="1">
                  <c:v>1.4233220847394077</c:v>
                </c:pt>
                <c:pt idx="2">
                  <c:v>1.4038245219347583</c:v>
                </c:pt>
                <c:pt idx="3">
                  <c:v>1.3908261467316585</c:v>
                </c:pt>
                <c:pt idx="4">
                  <c:v>1.3063367079115111</c:v>
                </c:pt>
                <c:pt idx="5">
                  <c:v>1.2543432070991127</c:v>
                </c:pt>
                <c:pt idx="6">
                  <c:v>1.2283464566929134</c:v>
                </c:pt>
                <c:pt idx="7">
                  <c:v>1.1893513310836146</c:v>
                </c:pt>
                <c:pt idx="8">
                  <c:v>1.1178602674665667</c:v>
                </c:pt>
                <c:pt idx="9">
                  <c:v>1.1113610798650169</c:v>
                </c:pt>
                <c:pt idx="10">
                  <c:v>1.0593675790526185</c:v>
                </c:pt>
                <c:pt idx="11">
                  <c:v>0.99437570303712042</c:v>
                </c:pt>
                <c:pt idx="12">
                  <c:v>0.98787651543557053</c:v>
                </c:pt>
                <c:pt idx="13">
                  <c:v>0.96187976502937134</c:v>
                </c:pt>
                <c:pt idx="14">
                  <c:v>0.92288463942007248</c:v>
                </c:pt>
                <c:pt idx="15">
                  <c:v>0.86764154480689915</c:v>
                </c:pt>
                <c:pt idx="16">
                  <c:v>0.83189601299837523</c:v>
                </c:pt>
                <c:pt idx="17">
                  <c:v>0.83189601299837523</c:v>
                </c:pt>
                <c:pt idx="18">
                  <c:v>0.81239845019372581</c:v>
                </c:pt>
                <c:pt idx="19">
                  <c:v>0.81239845019372581</c:v>
                </c:pt>
                <c:pt idx="20">
                  <c:v>0.7604049493813273</c:v>
                </c:pt>
                <c:pt idx="21">
                  <c:v>0.74090738657667787</c:v>
                </c:pt>
                <c:pt idx="22">
                  <c:v>0.71491063617047867</c:v>
                </c:pt>
                <c:pt idx="23">
                  <c:v>0.69541307336582925</c:v>
                </c:pt>
                <c:pt idx="24">
                  <c:v>0.66291713535808028</c:v>
                </c:pt>
                <c:pt idx="25">
                  <c:v>0.48093988251468567</c:v>
                </c:pt>
              </c:numCache>
            </c:numRef>
          </c:xVal>
          <c:yVal>
            <c:numRef>
              <c:f>Stats!$O$4:$O$29</c:f>
              <c:numCache>
                <c:formatCode>General</c:formatCode>
                <c:ptCount val="26"/>
                <c:pt idx="0">
                  <c:v>4.9721494290009037E-3</c:v>
                </c:pt>
                <c:pt idx="1">
                  <c:v>5.3911610868546903E-3</c:v>
                </c:pt>
                <c:pt idx="2">
                  <c:v>6.0589461445767611E-3</c:v>
                </c:pt>
                <c:pt idx="3">
                  <c:v>6.5294810704919961E-3</c:v>
                </c:pt>
                <c:pt idx="4">
                  <c:v>1.0002473926913539E-2</c:v>
                </c:pt>
                <c:pt idx="5">
                  <c:v>1.235319337642031E-2</c:v>
                </c:pt>
                <c:pt idx="6">
                  <c:v>1.352818077080723E-2</c:v>
                </c:pt>
                <c:pt idx="7">
                  <c:v>1.522158755042829E-2</c:v>
                </c:pt>
                <c:pt idx="8">
                  <c:v>1.7845365361361228E-2</c:v>
                </c:pt>
                <c:pt idx="9">
                  <c:v>1.8038905701912862E-2</c:v>
                </c:pt>
                <c:pt idx="10">
                  <c:v>1.9236431958174888E-2</c:v>
                </c:pt>
                <c:pt idx="11">
                  <c:v>1.9729150299583661E-2</c:v>
                </c:pt>
                <c:pt idx="12">
                  <c:v>1.9712679388423301E-2</c:v>
                </c:pt>
                <c:pt idx="13">
                  <c:v>1.9527120465561199E-2</c:v>
                </c:pt>
                <c:pt idx="14">
                  <c:v>1.8901981816387279E-2</c:v>
                </c:pt>
                <c:pt idx="15">
                  <c:v>1.7382712820256909E-2</c:v>
                </c:pt>
                <c:pt idx="16">
                  <c:v>1.608212601961553E-2</c:v>
                </c:pt>
                <c:pt idx="17">
                  <c:v>1.608212601961553E-2</c:v>
                </c:pt>
                <c:pt idx="18">
                  <c:v>1.5294458716747268E-2</c:v>
                </c:pt>
                <c:pt idx="19">
                  <c:v>1.5294458716747268E-2</c:v>
                </c:pt>
                <c:pt idx="20">
                  <c:v>1.3022278386586397E-2</c:v>
                </c:pt>
                <c:pt idx="21">
                  <c:v>1.2136989396893441E-2</c:v>
                </c:pt>
                <c:pt idx="22">
                  <c:v>1.0955287581715141E-2</c:v>
                </c:pt>
                <c:pt idx="23">
                  <c:v>1.0080196547497765E-2</c:v>
                </c:pt>
                <c:pt idx="24">
                  <c:v>8.6675809521073056E-3</c:v>
                </c:pt>
                <c:pt idx="25">
                  <c:v>2.8052181072260487E-3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E81-4FD4-9BA0-9B472C75A2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9939840"/>
        <c:axId val="43306672"/>
      </c:scatterChart>
      <c:valAx>
        <c:axId val="15199398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06672"/>
        <c:crosses val="autoZero"/>
        <c:crossBetween val="midCat"/>
      </c:valAx>
      <c:valAx>
        <c:axId val="43306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9939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44450</xdr:colOff>
      <xdr:row>0</xdr:row>
      <xdr:rowOff>0</xdr:rowOff>
    </xdr:from>
    <xdr:to>
      <xdr:col>6</xdr:col>
      <xdr:colOff>664934</xdr:colOff>
      <xdr:row>2</xdr:row>
      <xdr:rowOff>36350</xdr:rowOff>
    </xdr:to>
    <xdr:pic>
      <xdr:nvPicPr>
        <xdr:cNvPr id="2" name="Graphic 1" descr="Race Car with solid fill">
          <a:extLst>
            <a:ext uri="{FF2B5EF4-FFF2-40B4-BE49-F238E27FC236}">
              <a16:creationId xmlns:a16="http://schemas.microsoft.com/office/drawing/2014/main" id="{313E12A8-D773-4953-A2B3-9B5B8774F9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761230" y="0"/>
          <a:ext cx="620484" cy="600230"/>
        </a:xfrm>
        <a:prstGeom prst="rect">
          <a:avLst/>
        </a:prstGeom>
      </xdr:spPr>
    </xdr:pic>
    <xdr:clientData/>
  </xdr:twoCellAnchor>
  <xdr:twoCellAnchor>
    <xdr:from>
      <xdr:col>1</xdr:col>
      <xdr:colOff>830262</xdr:colOff>
      <xdr:row>48</xdr:row>
      <xdr:rowOff>0</xdr:rowOff>
    </xdr:from>
    <xdr:to>
      <xdr:col>17</xdr:col>
      <xdr:colOff>317499</xdr:colOff>
      <xdr:row>80</xdr:row>
      <xdr:rowOff>0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43786EA8-AB5F-43D9-AEDE-75D41BD48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79375</xdr:colOff>
      <xdr:row>31</xdr:row>
      <xdr:rowOff>136525</xdr:rowOff>
    </xdr:from>
    <xdr:to>
      <xdr:col>13</xdr:col>
      <xdr:colOff>384175</xdr:colOff>
      <xdr:row>46</xdr:row>
      <xdr:rowOff>117475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D5EA951-0872-4FFE-A5FD-23DB210F1F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0000000}" autoFormatId="16" applyNumberFormats="0" applyBorderFormats="0" applyFontFormats="0" applyPatternFormats="0" applyAlignmentFormats="0" applyWidthHeightFormats="0">
  <queryTableRefresh nextId="26" unboundColumnsRight="1">
    <queryTableFields count="10">
      <queryTableField id="8" name="Timestamp" tableColumnId="8"/>
      <queryTableField id="9" name="Who are you?" tableColumnId="9"/>
      <queryTableField id="10" name="Race" tableColumnId="10"/>
      <queryTableField id="11" name="First Pick" tableColumnId="11"/>
      <queryTableField id="12" name="Second Pick" tableColumnId="12"/>
      <queryTableField id="22" name="Best Memes" tableColumnId="2"/>
      <queryTableField id="23" name="Master Commentator" tableColumnId="3"/>
      <queryTableField id="24" name="Random Question" tableColumnId="4"/>
      <queryTableField id="25" name="Random Award" tableColumnId="5"/>
      <queryTableField id="17" dataBound="0" tableColumnId="1"/>
    </queryTableFields>
    <queryTableDeletedFields count="8">
      <deletedField name="Best Memes"/>
      <deletedField name="Master Commentator"/>
      <deletedField name="Random Question"/>
      <deletedField name="Random Award"/>
      <deletedField name="Best Memes"/>
      <deletedField name="Master Commentator"/>
      <deletedField name="Random Question"/>
      <deletedField name="Random Award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300-000001000000}" autoFormatId="16" applyNumberFormats="0" applyBorderFormats="0" applyFontFormats="0" applyPatternFormats="0" applyAlignmentFormats="0" applyWidthHeightFormats="0">
  <queryTableRefresh nextId="9">
    <queryTableFields count="4">
      <queryTableField id="1" name="Pos" tableColumnId="1"/>
      <queryTableField id="3" name="Driver" tableColumnId="3"/>
      <queryTableField id="4" name="Time" tableColumnId="4"/>
      <queryTableField id="8" name="Stops" tableColumnId="8"/>
    </queryTableFields>
    <queryTableDeletedFields count="1">
      <deletedField name="Laps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46717A0-42FF-427C-B905-BF6EB4D320AC}" name="Table_Table_0__2" displayName="Table_Table_0__2" ref="A1:J515" tableType="queryTable" totalsRowShown="0">
  <autoFilter ref="A1:J515" xr:uid="{646717A0-42FF-427C-B905-BF6EB4D320AC}"/>
  <tableColumns count="10">
    <tableColumn id="8" xr3:uid="{283FCDC6-7656-483A-BC44-EAB1FC944F6B}" uniqueName="8" name="Timestamp" queryTableFieldId="8" dataDxfId="14"/>
    <tableColumn id="9" xr3:uid="{180CF2C9-B550-4797-9FE9-917BD089A948}" uniqueName="9" name="Who are you?" queryTableFieldId="9" dataDxfId="13"/>
    <tableColumn id="10" xr3:uid="{B9F5C330-134B-4019-BEB1-03561FDA1C86}" uniqueName="10" name="Race" queryTableFieldId="10" dataDxfId="12"/>
    <tableColumn id="11" xr3:uid="{CEEFF590-5949-4319-8561-294B9A8092C0}" uniqueName="11" name="First Pick" queryTableFieldId="11" dataDxfId="11"/>
    <tableColumn id="12" xr3:uid="{4F91FF74-F096-4F23-9A74-E7177E84ACFB}" uniqueName="12" name="Second Pick" queryTableFieldId="12" dataDxfId="10"/>
    <tableColumn id="2" xr3:uid="{8F592CF2-116A-47BD-AE3A-DF2FD74BF6F5}" uniqueName="2" name="Best Memes" queryTableFieldId="22" dataDxfId="9"/>
    <tableColumn id="3" xr3:uid="{B61BEB0B-F2A2-4223-BC2A-B6DECF3DA264}" uniqueName="3" name="Master Commentator" queryTableFieldId="23" dataDxfId="8"/>
    <tableColumn id="4" xr3:uid="{4BA18D9F-5594-45EF-9227-3243321198DB}" uniqueName="4" name="Random Question" queryTableFieldId="24" dataDxfId="7"/>
    <tableColumn id="5" xr3:uid="{5B760978-F11C-4BD5-95AC-A0D412418DE4}" uniqueName="5" name="Random Award" queryTableFieldId="25" dataDxfId="6"/>
    <tableColumn id="1" xr3:uid="{5D87AD4E-EC36-433D-BC71-ECBD13088101}" uniqueName="1" name="Points" queryTableFieldId="17" dataDxfId="5">
      <calculatedColumnFormula array="1">MAX(_xlfn.XLOOKUP(D2,Table5[Driver],'Race Results'!$E$3:$E$22),_xlfn.XLOOKUP(E2,Table5[Driver],'Race Results'!$E$3:$E$22)*0.5)</calculatedColumnFormula>
    </tableColumn>
  </tableColumns>
  <tableStyleInfo name="TableStyleMedium1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C2BB5D5-0DD5-4D2B-B261-57C14684AAE4}" name="Table_0" displayName="Table_0" ref="A2:D22" tableType="queryTable" totalsRowShown="0" headerRowDxfId="54" dataDxfId="52" headerRowBorderDxfId="53">
  <autoFilter ref="A2:D22" xr:uid="{FC2BB5D5-0DD5-4D2B-B261-57C14684AAE4}"/>
  <tableColumns count="4">
    <tableColumn id="1" xr3:uid="{56323713-7B56-4EC2-AFD5-D1953641CF7F}" uniqueName="1" name="Pos" queryTableFieldId="1" dataDxfId="4"/>
    <tableColumn id="3" xr3:uid="{D48BA325-2340-4E3C-8378-F5261189AA23}" uniqueName="3" name="Driver" queryTableFieldId="3" dataDxfId="3"/>
    <tableColumn id="4" xr3:uid="{DFCEC983-3F4B-40C5-80F9-46DD7EFC9D9D}" uniqueName="4" name="Time" queryTableFieldId="4" dataDxfId="2"/>
    <tableColumn id="8" xr3:uid="{662C2F5F-F616-4EB1-A0F3-4BCDE90E0366}" uniqueName="8" name="Stops" queryTableFieldId="8" dataDxfId="1"/>
  </tableColumns>
  <tableStyleInfo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867CAD-12D5-44D1-B095-AB712A1FDB7E}" name="Table5" displayName="Table5" ref="G2:L22" totalsRowShown="0" headerRowBorderDxfId="51">
  <autoFilter ref="G2:L22" xr:uid="{83867CAD-12D5-44D1-B095-AB712A1FDB7E}"/>
  <sortState xmlns:xlrd2="http://schemas.microsoft.com/office/spreadsheetml/2017/richdata2" ref="G3:L22">
    <sortCondition ref="H2:H22"/>
  </sortState>
  <tableColumns count="6">
    <tableColumn id="1" xr3:uid="{ECE61288-3CDC-4D59-BAA3-86822D03239D}" name="Map" dataDxfId="50">
      <calculatedColumnFormula>Table_0[[#This Row],[Driver]]</calculatedColumnFormula>
    </tableColumn>
    <tableColumn id="2" xr3:uid="{580C30C8-5085-47DE-8D0E-2AC03771C8C4}" name="Position" dataDxfId="49">
      <calculatedColumnFormula>IFERROR(VALUE(_xlfn.XLOOKUP(G3,Table_0[Driver],Table_0[Pos])),"R")</calculatedColumnFormula>
    </tableColumn>
    <tableColumn id="3" xr3:uid="{D233E641-86CD-467E-BF6F-7386073FADC4}" name="Driver" dataDxfId="0">
      <calculatedColumnFormula>_xlfn.XLOOKUP(Table_0[[#This Row],[Driver]],DriverNameMapping!$A$2:$A$24,DriverNameMapping!$B$2:$B$24)</calculatedColumnFormula>
    </tableColumn>
    <tableColumn id="4" xr3:uid="{A68ADFF8-557B-4D10-AF77-EB1DC534581E}" name="Time" dataDxfId="48">
      <calculatedColumnFormula>_xlfn.XLOOKUP(G3,Table_0[Driver],Table_0[Time])</calculatedColumnFormula>
    </tableColumn>
    <tableColumn id="5" xr3:uid="{A73225E6-61BB-4527-B6D6-361D228C53A3}" name="Stops" dataDxfId="47">
      <calculatedColumnFormula>_xlfn.XLOOKUP(G3,Table_0[Driver],Table_0[Stops])</calculatedColumnFormula>
    </tableColumn>
    <tableColumn id="6" xr3:uid="{5B4E140B-B68E-4029-9135-471BC8E1ECB0}" name="Points" dataDxfId="46">
      <calculatedColumnFormula array="1">_xlfn.XLOOKUP(H3,VALUE(Table_0[Pos]),$E$3:$E$22,0)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BEE0FF5-485F-4113-AA14-8637A0A05357}" name="Table15" displayName="Table15" ref="B1:AC27" totalsRowShown="0" headerRowDxfId="45" dataDxfId="44">
  <autoFilter ref="B1:AC27" xr:uid="{C2B0D7A7-0352-47F9-BB5D-8DC5E0097A96}"/>
  <sortState xmlns:xlrd2="http://schemas.microsoft.com/office/spreadsheetml/2017/richdata2" ref="B2:AC27">
    <sortCondition descending="1" ref="G1:G27"/>
  </sortState>
  <tableColumns count="28">
    <tableColumn id="2" xr3:uid="{09902E3E-4B1B-4885-9981-2E4D7133584A}" name="Name" dataDxfId="43"/>
    <tableColumn id="1" xr3:uid="{EDDE577A-BC4F-4E25-BB1E-2DB8F90171E4}" name="Previous Race Total" dataDxfId="42">
      <calculatedColumnFormula array="1">Table15[[#This Row],[Total]]-_xlfn.XLOOKUP($G$35,$H$36:$AC$36,Table15[[#This Row],[Saudi Arabia - 19 March]:[Abu Dhabi - 26 November]])</calculatedColumnFormula>
    </tableColumn>
    <tableColumn id="26" xr3:uid="{CF08FD4E-9360-42B3-B747-24C77CC08E13}" name="Previous race Ranking" dataDxfId="41">
      <calculatedColumnFormula array="1">_xlfn.XLOOKUP(B2,_xlfn.SORTBY(Table15[Name],Table15[Previous Race Total],-1),$A$2:$A$27)</calculatedColumnFormula>
    </tableColumn>
    <tableColumn id="28" xr3:uid="{AC8DC2E4-B69A-46B0-BCC6-EDCF7C0F6BE4}" name="Current ranking" dataDxfId="40">
      <calculatedColumnFormula array="1">_xlfn.XLOOKUP(B2,_xlfn.SORTBY(Table15[Name],Table15[Total],-1),$A$2:$A$27)</calculatedColumnFormula>
    </tableColumn>
    <tableColumn id="27" xr3:uid="{E75F08AA-2CC2-4ED0-955B-CEC305B78551}" name="Column1" dataDxfId="39">
      <calculatedColumnFormula>Table15[[#This Row],[Previous race Ranking]]-Table15[[#This Row],[Current ranking]]</calculatedColumnFormula>
    </tableColumn>
    <tableColumn id="25" xr3:uid="{E185FD6E-00DB-4E7B-A7B8-B642DF5DDF75}" name="Total" dataDxfId="38">
      <calculatedColumnFormula>SUM(H2:AC2)</calculatedColumnFormula>
    </tableColumn>
    <tableColumn id="3" xr3:uid="{078EC4E5-1F22-4B41-80FA-ECC5232754EB}" name="Saudi Arabia - 19 March" dataDxfId="37">
      <calculatedColumnFormula array="1">IFERROR(_xlfn.XLOOKUP(1,(Table15[[#This Row],[Brazil - 5 November]]=Points!$B:$B)*(Table15[[#Headers],[Saudi Arabia - 19 March]]=Points!$C:$C),Points!$J:$J,0,0,-1),0)</calculatedColumnFormula>
    </tableColumn>
    <tableColumn id="4" xr3:uid="{B0DBA72F-D70B-4222-9B55-810140D5B774}" name="Australia - 2 April" dataDxfId="36">
      <calculatedColumnFormula array="1">IFERROR(_xlfn.XLOOKUP(1,(Table15[[#This Row],[Las Vegas - 18 November]]=Points!$B:$B)*(Table15[[#Headers],[Australia - 2 April]]=Points!$C:$C),Points!$J:$J,0,0,-1),0)</calculatedColumnFormula>
    </tableColumn>
    <tableColumn id="5" xr3:uid="{29E9E0F2-B517-4726-B7D0-344FD1FFE26F}" name="Azerbaijan - 30 April" dataDxfId="35">
      <calculatedColumnFormula array="1">IFERROR(_xlfn.XLOOKUP(1,(Table15[[#This Row],[Abu Dhabi - 26 November]]=Points!$B:$B)*(Table15[[#Headers],[Azerbaijan - 30 April]]=Points!$C:$C),Points!$J:$J,0,0,-1),0)</calculatedColumnFormula>
    </tableColumn>
    <tableColumn id="6" xr3:uid="{9345566D-C8B0-463E-8D08-91B75C5C6B60}" name="Miami - 7 May" dataDxfId="34">
      <calculatedColumnFormula array="1">IFERROR(_xlfn.XLOOKUP(1,(Table15[[#This Row],[Name]]=Points!$B:$B)*(Table15[[#Headers],[Miami - 7 May]]=Points!$C:$C),Points!$J:$J,0,0,-1),0)</calculatedColumnFormula>
    </tableColumn>
    <tableColumn id="7" xr3:uid="{A1DB75D6-BA35-4914-A939-AC197B891D30}" name="Italy - 21 May" dataDxfId="33">
      <calculatedColumnFormula array="1">IFERROR(_xlfn.XLOOKUP(1,(Table15[[#This Row],[Name]]=Points!$B:$B)*(Table15[[#Headers],[Italy - 21 May]]=Points!$C:$C),Points!$J:$J,0,0,-1),0)</calculatedColumnFormula>
    </tableColumn>
    <tableColumn id="8" xr3:uid="{43F870F5-822E-480F-8208-07C35282F3D2}" name="Monaco - 28 May" dataDxfId="32">
      <calculatedColumnFormula array="1">IFERROR(_xlfn.XLOOKUP(1,(Table15[[#This Row],[Name]]=Points!$B:$B)*(Table15[[#Headers],[Monaco - 28 May]]=Points!$C:$C),Points!$J:$J,0,0,-1),0)</calculatedColumnFormula>
    </tableColumn>
    <tableColumn id="9" xr3:uid="{A6556F38-0E61-4746-96A3-C10050DA494B}" name="Spain - 4 June" dataDxfId="31">
      <calculatedColumnFormula array="1">IFERROR(_xlfn.XLOOKUP(1,(Table15[[#This Row],[Name]]=Points!$B:$B)*(Table15[[#Headers],[Spain - 4 June]]=Points!$C:$C),Points!$J:$J,0,0,-1),0)</calculatedColumnFormula>
    </tableColumn>
    <tableColumn id="10" xr3:uid="{084C6B7B-B6B8-4C9E-9ED3-E83142D61E6B}" name="Canada - 18 June" dataDxfId="30">
      <calculatedColumnFormula array="1">IFERROR(_xlfn.XLOOKUP(1,(Table15[[#This Row],[Name]]=Points!$B:$B)*(Table15[[#Headers],[Canada - 18 June]]=Points!$C:$C),Points!$J:$J,0,0,-1),0)</calculatedColumnFormula>
    </tableColumn>
    <tableColumn id="11" xr3:uid="{F4DA8ED6-6310-46C5-8992-0B6D2F299766}" name="Austria - 2 July" dataDxfId="29">
      <calculatedColumnFormula array="1">IFERROR(_xlfn.XLOOKUP(1,(Table15[[#This Row],[Name]]=Points!$B:$B)*(Table15[[#Headers],[Austria - 2 July]]=Points!$C:$C),Points!$J:$J,0,0,-1),0)</calculatedColumnFormula>
    </tableColumn>
    <tableColumn id="12" xr3:uid="{6B520017-CEDB-4B6F-AF21-EB47F9BC35BE}" name="Great Britain - 9 July" dataDxfId="28">
      <calculatedColumnFormula array="1">IFERROR(_xlfn.XLOOKUP(1,(Table15[[#This Row],[Name]]=Points!$B:$B)*(Table15[[#Headers],[Great Britain - 9 July]]=Points!$C:$C),Points!$J:$J,0,0,-1),0)</calculatedColumnFormula>
    </tableColumn>
    <tableColumn id="13" xr3:uid="{CC80915D-ECA7-4F52-9EE7-BA03620F53AD}" name="Hungary - 23 July" dataDxfId="27">
      <calculatedColumnFormula array="1">IFERROR(_xlfn.XLOOKUP(1,(Table15[[#This Row],[Name]]=Points!$B:$B)*(Table15[[#Headers],[Hungary - 23 July]]=Points!$C:$C),Points!$J:$J,0,0,-1),0)</calculatedColumnFormula>
    </tableColumn>
    <tableColumn id="14" xr3:uid="{179BB863-0879-4B63-A6CB-E2D4DCCE1E12}" name="Belgium - 30 July" dataDxfId="26">
      <calculatedColumnFormula array="1">IFERROR(_xlfn.XLOOKUP(1,(Table15[[#This Row],[Name]]=Points!$B:$B)*(Table15[[#Headers],[Belgium - 30 July]]=Points!$C:$C),Points!$J:$J,0,0,-1),0)</calculatedColumnFormula>
    </tableColumn>
    <tableColumn id="15" xr3:uid="{5AC8A5F5-F8C8-41DE-9062-A5B8F0E30739}" name="Netherlands - 27 August" dataDxfId="25">
      <calculatedColumnFormula array="1">IFERROR(_xlfn.XLOOKUP(1,(Table15[[#This Row],[Name]]=Points!$B:$B)*(Table15[[#Headers],[Netherlands - 27 August]]=Points!$C:$C),Points!$J:$J,0,0,-1),0)</calculatedColumnFormula>
    </tableColumn>
    <tableColumn id="16" xr3:uid="{AA037D20-95A7-49A7-B22D-3FEA8F187509}" name="Italy - 3 September" dataDxfId="24">
      <calculatedColumnFormula array="1">IFERROR(_xlfn.XLOOKUP(1,(Table15[[#This Row],[Name]]=Points!$B:$B)*(Table15[[#Headers],[Italy - 3 September]]=Points!$C:$C),Points!$J:$J,0,0,-1),0)</calculatedColumnFormula>
    </tableColumn>
    <tableColumn id="17" xr3:uid="{E908278C-0B45-404A-8CE2-339BF32F7455}" name="Singapore - 17 September" dataDxfId="23">
      <calculatedColumnFormula array="1">IFERROR(_xlfn.XLOOKUP(1,(Table15[[#This Row],[Name]]=Points!$B:$B)*(Table15[[#Headers],[Singapore - 17 September]]=Points!$C:$C),Points!$J:$J,0,0,-1),0)</calculatedColumnFormula>
    </tableColumn>
    <tableColumn id="18" xr3:uid="{C31DFF9B-4540-4FB7-B400-8DDEA2FA2DB8}" name="Japan - 24 September" dataDxfId="22">
      <calculatedColumnFormula array="1">IFERROR(_xlfn.XLOOKUP(1,(Table15[[#This Row],[Name]]=Points!$B:$B)*(Table15[[#Headers],[Japan - 24 September]]=Points!$C:$C),Points!$J:$J,0,0,-1),0)</calculatedColumnFormula>
    </tableColumn>
    <tableColumn id="19" xr3:uid="{BD3DE372-3226-43BD-9DB2-5DE27A015119}" name="Qatar - 8 October" dataDxfId="21">
      <calculatedColumnFormula array="1">IFERROR(_xlfn.XLOOKUP(1,(Table15[[#This Row],[Name]]=Points!$B:$B)*(Table15[[#Headers],[Qatar - 8 October]]=Points!$C:$C),Points!$J:$J,0,0,-1),0)</calculatedColumnFormula>
    </tableColumn>
    <tableColumn id="20" xr3:uid="{8B49827C-EA76-4524-8CDF-9B8B86A17BEC}" name="United States - 22 October" dataDxfId="20">
      <calculatedColumnFormula array="1">IFERROR(_xlfn.XLOOKUP(1,(Table15[[#This Row],[Name]]=Points!$B:$B)*(Table15[[#Headers],[United States - 22 October]]=Points!$C:$C),Points!$J:$J,0,0,-1),0)</calculatedColumnFormula>
    </tableColumn>
    <tableColumn id="21" xr3:uid="{EC025A43-E6CC-4A6C-8CCB-C0A3E7E4ACF2}" name="Mexico - 29 October" dataDxfId="19">
      <calculatedColumnFormula array="1">IFERROR(_xlfn.XLOOKUP(1,(Table15[[#This Row],[Name]]=Points!$B:$B)*(Table15[[#Headers],[Mexico - 29 October]]=Points!$C:$C),Points!$J:$J,0,0,-1),0)</calculatedColumnFormula>
    </tableColumn>
    <tableColumn id="22" xr3:uid="{8BE7F1B5-302F-4843-944D-11494C56F71B}" name="Brazil - 5 November" dataDxfId="18">
      <calculatedColumnFormula array="1">IFERROR(_xlfn.XLOOKUP(1,(Table15[[#This Row],[Name]]=Points!$B:$B)*(Table15[[#Headers],[Brazil - 5 November]]=Points!$C:$C),Points!$J:$J,0,0,-1),0)</calculatedColumnFormula>
    </tableColumn>
    <tableColumn id="23" xr3:uid="{26450457-5825-4FAB-A671-F81F4FCDB70D}" name="Las Vegas - 18 November" dataDxfId="17">
      <calculatedColumnFormula array="1">IFERROR(_xlfn.XLOOKUP(1,(Table15[[#This Row],[Name]]=Points!$B:$B)*(Table15[[#Headers],[Las Vegas - 18 November]]=Points!$C:$C),Points!$J:$J,0,0,-1),0)</calculatedColumnFormula>
    </tableColumn>
    <tableColumn id="24" xr3:uid="{69BDB461-8317-40EA-A247-B9039A0C4846}" name="Abu Dhabi - 26 November" dataDxfId="16">
      <calculatedColumnFormula array="1">IFERROR(_xlfn.XLOOKUP(1,(Table15[[#This Row],[Name]]=Points!$B:$B)*(Table15[[#Headers],[Abu Dhabi - 26 November]]=Points!$C:$C),Points!$J:$J,0,0,-1),0)</calculatedColumnFormula>
    </tableColumn>
  </tableColumns>
  <tableStyleInfo name="TableStyleMedium11" showFirstColumn="0" showLastColumn="0" showRowStripes="0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4A38A7-7AFF-4960-B94F-4988066CC26E}">
  <dimension ref="A1:J681"/>
  <sheetViews>
    <sheetView showGridLines="0" zoomScale="55" zoomScaleNormal="55" workbookViewId="0">
      <pane ySplit="1" topLeftCell="A2" activePane="bottomLeft" state="frozen"/>
      <selection activeCell="E1" sqref="E1"/>
      <selection pane="bottomLeft" activeCell="H38" sqref="H38"/>
    </sheetView>
  </sheetViews>
  <sheetFormatPr defaultRowHeight="14.4" x14ac:dyDescent="0.3"/>
  <cols>
    <col min="1" max="1" width="21.5546875" style="43" bestFit="1" customWidth="1"/>
    <col min="2" max="2" width="21.109375" bestFit="1" customWidth="1"/>
    <col min="3" max="3" width="26.77734375" bestFit="1" customWidth="1"/>
    <col min="4" max="5" width="34.6640625" bestFit="1" customWidth="1"/>
    <col min="6" max="6" width="19.109375" bestFit="1" customWidth="1"/>
    <col min="7" max="7" width="29" bestFit="1" customWidth="1"/>
    <col min="8" max="8" width="80.88671875" bestFit="1" customWidth="1"/>
    <col min="9" max="9" width="22.5546875" bestFit="1" customWidth="1"/>
    <col min="10" max="10" width="16.88671875" style="5" bestFit="1" customWidth="1"/>
    <col min="11" max="11" width="20.77734375" bestFit="1" customWidth="1"/>
    <col min="12" max="15" width="30" bestFit="1" customWidth="1"/>
  </cols>
  <sheetData>
    <row r="1" spans="1:10" x14ac:dyDescent="0.3">
      <c r="A1" s="43" t="s">
        <v>72</v>
      </c>
      <c r="B1" t="s">
        <v>275</v>
      </c>
      <c r="C1" t="s">
        <v>73</v>
      </c>
      <c r="D1" t="s">
        <v>276</v>
      </c>
      <c r="E1" t="s">
        <v>277</v>
      </c>
      <c r="F1" t="s">
        <v>294</v>
      </c>
      <c r="G1" t="s">
        <v>295</v>
      </c>
      <c r="H1" t="s">
        <v>296</v>
      </c>
      <c r="I1" t="s">
        <v>297</v>
      </c>
      <c r="J1" s="13" t="s">
        <v>74</v>
      </c>
    </row>
    <row r="2" spans="1:10" x14ac:dyDescent="0.3">
      <c r="A2" s="114" t="s">
        <v>298</v>
      </c>
      <c r="B2" s="115" t="s">
        <v>69</v>
      </c>
      <c r="C2" s="115" t="s">
        <v>22</v>
      </c>
      <c r="D2" s="115" t="s">
        <v>299</v>
      </c>
      <c r="E2" s="115" t="s">
        <v>300</v>
      </c>
      <c r="F2" s="115"/>
      <c r="G2" s="115"/>
      <c r="H2" s="115"/>
      <c r="I2" s="115"/>
      <c r="J2" s="116" t="e" cm="1">
        <f t="array" ref="J2">MAX(_xlfn.XLOOKUP(D2,Table5[Driver],'Race Results'!$E$3:$E$22),_xlfn.XLOOKUP(E2,Table5[Driver],'Race Results'!$E$3:$E$22)*0.5)</f>
        <v>#N/A</v>
      </c>
    </row>
    <row r="3" spans="1:10" x14ac:dyDescent="0.3">
      <c r="A3" s="114" t="s">
        <v>301</v>
      </c>
      <c r="B3" s="115" t="s">
        <v>302</v>
      </c>
      <c r="C3" s="115" t="s">
        <v>22</v>
      </c>
      <c r="D3" s="115" t="s">
        <v>299</v>
      </c>
      <c r="E3" s="115" t="s">
        <v>300</v>
      </c>
      <c r="F3" s="115"/>
      <c r="G3" s="115"/>
      <c r="H3" s="115"/>
      <c r="I3" s="115"/>
      <c r="J3" s="116" t="e" cm="1">
        <f t="array" ref="J3">MAX(_xlfn.XLOOKUP(D3,Table5[Driver],'Race Results'!$E$3:$E$22),_xlfn.XLOOKUP(E3,Table5[Driver],'Race Results'!$E$3:$E$22)*0.5)</f>
        <v>#N/A</v>
      </c>
    </row>
    <row r="4" spans="1:10" x14ac:dyDescent="0.3">
      <c r="A4" s="114" t="s">
        <v>303</v>
      </c>
      <c r="B4" s="115" t="s">
        <v>52</v>
      </c>
      <c r="C4" s="115" t="s">
        <v>22</v>
      </c>
      <c r="D4" s="115" t="s">
        <v>304</v>
      </c>
      <c r="E4" s="115" t="s">
        <v>305</v>
      </c>
      <c r="F4" s="115"/>
      <c r="G4" s="115"/>
      <c r="H4" s="115"/>
      <c r="I4" s="115"/>
      <c r="J4" s="116" t="e" cm="1">
        <f t="array" ref="J4">MAX(_xlfn.XLOOKUP(D4,Table5[Driver],'Race Results'!$E$3:$E$22),_xlfn.XLOOKUP(E4,Table5[Driver],'Race Results'!$E$3:$E$22)*0.5)</f>
        <v>#N/A</v>
      </c>
    </row>
    <row r="5" spans="1:10" x14ac:dyDescent="0.3">
      <c r="A5" s="114" t="s">
        <v>306</v>
      </c>
      <c r="B5" s="115" t="s">
        <v>46</v>
      </c>
      <c r="C5" s="115" t="s">
        <v>22</v>
      </c>
      <c r="D5" s="115" t="s">
        <v>307</v>
      </c>
      <c r="E5" s="115" t="s">
        <v>300</v>
      </c>
      <c r="F5" s="115"/>
      <c r="G5" s="115"/>
      <c r="H5" s="115"/>
      <c r="I5" s="115"/>
      <c r="J5" s="116" t="e" cm="1">
        <f t="array" ref="J5">MAX(_xlfn.XLOOKUP(D5,Table5[Driver],'Race Results'!$E$3:$E$22),_xlfn.XLOOKUP(E5,Table5[Driver],'Race Results'!$E$3:$E$22)*0.5)</f>
        <v>#N/A</v>
      </c>
    </row>
    <row r="6" spans="1:10" x14ac:dyDescent="0.3">
      <c r="A6" s="114" t="s">
        <v>308</v>
      </c>
      <c r="B6" s="115" t="s">
        <v>67</v>
      </c>
      <c r="C6" s="115" t="s">
        <v>22</v>
      </c>
      <c r="D6" s="115" t="s">
        <v>309</v>
      </c>
      <c r="E6" s="115" t="s">
        <v>300</v>
      </c>
      <c r="F6" s="115"/>
      <c r="G6" s="115"/>
      <c r="H6" s="115"/>
      <c r="I6" s="115"/>
      <c r="J6" s="116" t="e" cm="1">
        <f t="array" ref="J6">MAX(_xlfn.XLOOKUP(D6,Table5[Driver],'Race Results'!$E$3:$E$22),_xlfn.XLOOKUP(E6,Table5[Driver],'Race Results'!$E$3:$E$22)*0.5)</f>
        <v>#N/A</v>
      </c>
    </row>
    <row r="7" spans="1:10" x14ac:dyDescent="0.3">
      <c r="A7" s="114" t="s">
        <v>310</v>
      </c>
      <c r="B7" s="115" t="s">
        <v>57</v>
      </c>
      <c r="C7" s="115" t="s">
        <v>22</v>
      </c>
      <c r="D7" s="115" t="s">
        <v>304</v>
      </c>
      <c r="E7" s="115" t="s">
        <v>311</v>
      </c>
      <c r="F7" s="115"/>
      <c r="G7" s="115"/>
      <c r="H7" s="115"/>
      <c r="I7" s="115"/>
      <c r="J7" s="116" t="e" cm="1">
        <f t="array" ref="J7">MAX(_xlfn.XLOOKUP(D7,Table5[Driver],'Race Results'!$E$3:$E$22),_xlfn.XLOOKUP(E7,Table5[Driver],'Race Results'!$E$3:$E$22)*0.5)</f>
        <v>#N/A</v>
      </c>
    </row>
    <row r="8" spans="1:10" x14ac:dyDescent="0.3">
      <c r="A8" s="114" t="s">
        <v>312</v>
      </c>
      <c r="B8" s="115" t="s">
        <v>63</v>
      </c>
      <c r="C8" s="115" t="s">
        <v>22</v>
      </c>
      <c r="D8" s="115" t="s">
        <v>313</v>
      </c>
      <c r="E8" s="115" t="s">
        <v>314</v>
      </c>
      <c r="F8" s="115"/>
      <c r="G8" s="115"/>
      <c r="H8" s="115"/>
      <c r="I8" s="115"/>
      <c r="J8" s="116" t="e" cm="1">
        <f t="array" ref="J8">MAX(_xlfn.XLOOKUP(D8,Table5[Driver],'Race Results'!$E$3:$E$22),_xlfn.XLOOKUP(E8,Table5[Driver],'Race Results'!$E$3:$E$22)*0.5)</f>
        <v>#N/A</v>
      </c>
    </row>
    <row r="9" spans="1:10" x14ac:dyDescent="0.3">
      <c r="A9" s="114" t="s">
        <v>315</v>
      </c>
      <c r="B9" s="115" t="s">
        <v>58</v>
      </c>
      <c r="C9" s="115" t="s">
        <v>22</v>
      </c>
      <c r="D9" s="115" t="s">
        <v>309</v>
      </c>
      <c r="E9" s="115" t="s">
        <v>316</v>
      </c>
      <c r="F9" s="115"/>
      <c r="G9" s="115"/>
      <c r="H9" s="115"/>
      <c r="I9" s="115"/>
      <c r="J9" s="116" t="e" cm="1">
        <f t="array" ref="J9">MAX(_xlfn.XLOOKUP(D9,Table5[Driver],'Race Results'!$E$3:$E$22),_xlfn.XLOOKUP(E9,Table5[Driver],'Race Results'!$E$3:$E$22)*0.5)</f>
        <v>#N/A</v>
      </c>
    </row>
    <row r="10" spans="1:10" x14ac:dyDescent="0.3">
      <c r="A10" s="114" t="s">
        <v>317</v>
      </c>
      <c r="B10" s="115" t="s">
        <v>318</v>
      </c>
      <c r="C10" s="115" t="s">
        <v>22</v>
      </c>
      <c r="D10" s="115" t="s">
        <v>309</v>
      </c>
      <c r="E10" s="115" t="s">
        <v>316</v>
      </c>
      <c r="F10" s="115"/>
      <c r="G10" s="115"/>
      <c r="H10" s="115"/>
      <c r="I10" s="115"/>
      <c r="J10" s="116" t="e" cm="1">
        <f t="array" ref="J10">MAX(_xlfn.XLOOKUP(D10,Table5[Driver],'Race Results'!$E$3:$E$22),_xlfn.XLOOKUP(E10,Table5[Driver],'Race Results'!$E$3:$E$22)*0.5)</f>
        <v>#N/A</v>
      </c>
    </row>
    <row r="11" spans="1:10" x14ac:dyDescent="0.3">
      <c r="A11" s="114" t="s">
        <v>319</v>
      </c>
      <c r="B11" s="115" t="s">
        <v>320</v>
      </c>
      <c r="C11" s="115" t="s">
        <v>22</v>
      </c>
      <c r="D11" s="115" t="s">
        <v>309</v>
      </c>
      <c r="E11" s="115" t="s">
        <v>311</v>
      </c>
      <c r="F11" s="115"/>
      <c r="G11" s="115"/>
      <c r="H11" s="115"/>
      <c r="I11" s="115"/>
      <c r="J11" s="116" t="e" cm="1">
        <f t="array" ref="J11">MAX(_xlfn.XLOOKUP(D11,Table5[Driver],'Race Results'!$E$3:$E$22),_xlfn.XLOOKUP(E11,Table5[Driver],'Race Results'!$E$3:$E$22)*0.5)</f>
        <v>#N/A</v>
      </c>
    </row>
    <row r="12" spans="1:10" x14ac:dyDescent="0.3">
      <c r="A12" s="114" t="s">
        <v>321</v>
      </c>
      <c r="B12" s="115" t="s">
        <v>64</v>
      </c>
      <c r="C12" s="115" t="s">
        <v>22</v>
      </c>
      <c r="D12" s="115" t="s">
        <v>300</v>
      </c>
      <c r="E12" s="115" t="s">
        <v>322</v>
      </c>
      <c r="F12" s="115"/>
      <c r="G12" s="115"/>
      <c r="H12" s="115"/>
      <c r="I12" s="115"/>
      <c r="J12" s="116" t="e" cm="1">
        <f t="array" ref="J12">MAX(_xlfn.XLOOKUP(D12,Table5[Driver],'Race Results'!$E$3:$E$22),_xlfn.XLOOKUP(E12,Table5[Driver],'Race Results'!$E$3:$E$22)*0.5)</f>
        <v>#N/A</v>
      </c>
    </row>
    <row r="13" spans="1:10" x14ac:dyDescent="0.3">
      <c r="A13" s="114" t="s">
        <v>323</v>
      </c>
      <c r="B13" s="115" t="s">
        <v>49</v>
      </c>
      <c r="C13" s="115" t="s">
        <v>22</v>
      </c>
      <c r="D13" s="115" t="s">
        <v>307</v>
      </c>
      <c r="E13" s="115" t="s">
        <v>300</v>
      </c>
      <c r="F13" s="115"/>
      <c r="G13" s="115"/>
      <c r="H13" s="115"/>
      <c r="I13" s="115"/>
      <c r="J13" s="116" t="e" cm="1">
        <f t="array" ref="J13">MAX(_xlfn.XLOOKUP(D13,Table5[Driver],'Race Results'!$E$3:$E$22),_xlfn.XLOOKUP(E13,Table5[Driver],'Race Results'!$E$3:$E$22)*0.5)</f>
        <v>#N/A</v>
      </c>
    </row>
    <row r="14" spans="1:10" x14ac:dyDescent="0.3">
      <c r="A14" s="114" t="s">
        <v>324</v>
      </c>
      <c r="B14" s="115" t="s">
        <v>55</v>
      </c>
      <c r="C14" s="115" t="s">
        <v>22</v>
      </c>
      <c r="D14" s="115" t="s">
        <v>309</v>
      </c>
      <c r="E14" s="115" t="s">
        <v>313</v>
      </c>
      <c r="F14" s="115"/>
      <c r="G14" s="115"/>
      <c r="H14" s="115"/>
      <c r="I14" s="115"/>
      <c r="J14" s="116" t="e" cm="1">
        <f t="array" ref="J14">MAX(_xlfn.XLOOKUP(D14,Table5[Driver],'Race Results'!$E$3:$E$22),_xlfn.XLOOKUP(E14,Table5[Driver],'Race Results'!$E$3:$E$22)*0.5)</f>
        <v>#N/A</v>
      </c>
    </row>
    <row r="15" spans="1:10" x14ac:dyDescent="0.3">
      <c r="A15" s="114" t="s">
        <v>325</v>
      </c>
      <c r="B15" s="115" t="s">
        <v>326</v>
      </c>
      <c r="C15" s="115" t="s">
        <v>22</v>
      </c>
      <c r="D15" s="115" t="s">
        <v>300</v>
      </c>
      <c r="E15" s="115" t="s">
        <v>327</v>
      </c>
      <c r="F15" s="115"/>
      <c r="G15" s="115"/>
      <c r="H15" s="115"/>
      <c r="I15" s="115"/>
      <c r="J15" s="116" t="e" cm="1">
        <f t="array" ref="J15">MAX(_xlfn.XLOOKUP(D15,Table5[Driver],'Race Results'!$E$3:$E$22),_xlfn.XLOOKUP(E15,Table5[Driver],'Race Results'!$E$3:$E$22)*0.5)</f>
        <v>#N/A</v>
      </c>
    </row>
    <row r="16" spans="1:10" x14ac:dyDescent="0.3">
      <c r="A16" s="114" t="s">
        <v>328</v>
      </c>
      <c r="B16" s="115" t="s">
        <v>329</v>
      </c>
      <c r="C16" s="115" t="s">
        <v>22</v>
      </c>
      <c r="D16" s="115" t="s">
        <v>299</v>
      </c>
      <c r="E16" s="115" t="s">
        <v>307</v>
      </c>
      <c r="F16" s="115"/>
      <c r="G16" s="115"/>
      <c r="H16" s="115"/>
      <c r="I16" s="115"/>
      <c r="J16" s="116" t="e" cm="1">
        <f t="array" ref="J16">MAX(_xlfn.XLOOKUP(D16,Table5[Driver],'Race Results'!$E$3:$E$22),_xlfn.XLOOKUP(E16,Table5[Driver],'Race Results'!$E$3:$E$22)*0.5)</f>
        <v>#N/A</v>
      </c>
    </row>
    <row r="17" spans="1:10" x14ac:dyDescent="0.3">
      <c r="A17" s="114" t="s">
        <v>330</v>
      </c>
      <c r="B17" s="115" t="s">
        <v>56</v>
      </c>
      <c r="C17" s="115" t="s">
        <v>22</v>
      </c>
      <c r="D17" s="115" t="s">
        <v>313</v>
      </c>
      <c r="E17" s="115" t="s">
        <v>316</v>
      </c>
      <c r="F17" s="115"/>
      <c r="G17" s="115"/>
      <c r="H17" s="115"/>
      <c r="I17" s="115"/>
      <c r="J17" s="116" t="e" cm="1">
        <f t="array" ref="J17">MAX(_xlfn.XLOOKUP(D17,Table5[Driver],'Race Results'!$E$3:$E$22),_xlfn.XLOOKUP(E17,Table5[Driver],'Race Results'!$E$3:$E$22)*0.5)</f>
        <v>#N/A</v>
      </c>
    </row>
    <row r="18" spans="1:10" x14ac:dyDescent="0.3">
      <c r="A18" s="114" t="s">
        <v>331</v>
      </c>
      <c r="B18" s="115" t="s">
        <v>44</v>
      </c>
      <c r="C18" s="115" t="s">
        <v>22</v>
      </c>
      <c r="D18" s="115" t="s">
        <v>307</v>
      </c>
      <c r="E18" s="115" t="s">
        <v>316</v>
      </c>
      <c r="F18" s="115"/>
      <c r="G18" s="115"/>
      <c r="H18" s="115"/>
      <c r="I18" s="115"/>
      <c r="J18" s="116" t="e" cm="1">
        <f t="array" ref="J18">MAX(_xlfn.XLOOKUP(D18,Table5[Driver],'Race Results'!$E$3:$E$22),_xlfn.XLOOKUP(E18,Table5[Driver],'Race Results'!$E$3:$E$22)*0.5)</f>
        <v>#N/A</v>
      </c>
    </row>
    <row r="19" spans="1:10" x14ac:dyDescent="0.3">
      <c r="A19" s="114" t="s">
        <v>332</v>
      </c>
      <c r="B19" s="115" t="s">
        <v>54</v>
      </c>
      <c r="C19" s="115" t="s">
        <v>22</v>
      </c>
      <c r="D19" s="115" t="s">
        <v>316</v>
      </c>
      <c r="E19" s="115" t="s">
        <v>300</v>
      </c>
      <c r="F19" s="115"/>
      <c r="G19" s="115"/>
      <c r="H19" s="115"/>
      <c r="I19" s="115"/>
      <c r="J19" s="116" t="e" cm="1">
        <f t="array" ref="J19">MAX(_xlfn.XLOOKUP(D19,Table5[Driver],'Race Results'!$E$3:$E$22),_xlfn.XLOOKUP(E19,Table5[Driver],'Race Results'!$E$3:$E$22)*0.5)</f>
        <v>#N/A</v>
      </c>
    </row>
    <row r="20" spans="1:10" x14ac:dyDescent="0.3">
      <c r="A20" s="114" t="s">
        <v>333</v>
      </c>
      <c r="B20" s="115" t="s">
        <v>334</v>
      </c>
      <c r="C20" s="115" t="s">
        <v>22</v>
      </c>
      <c r="D20" s="115" t="s">
        <v>313</v>
      </c>
      <c r="E20" s="115" t="s">
        <v>304</v>
      </c>
      <c r="F20" s="115"/>
      <c r="G20" s="115"/>
      <c r="H20" s="115"/>
      <c r="I20" s="115"/>
      <c r="J20" s="116" t="e" cm="1">
        <f t="array" ref="J20">MAX(_xlfn.XLOOKUP(D20,Table5[Driver],'Race Results'!$E$3:$E$22),_xlfn.XLOOKUP(E20,Table5[Driver],'Race Results'!$E$3:$E$22)*0.5)</f>
        <v>#N/A</v>
      </c>
    </row>
    <row r="21" spans="1:10" x14ac:dyDescent="0.3">
      <c r="A21" s="114" t="s">
        <v>335</v>
      </c>
      <c r="B21" s="115" t="s">
        <v>50</v>
      </c>
      <c r="C21" s="115" t="s">
        <v>22</v>
      </c>
      <c r="D21" s="115" t="s">
        <v>300</v>
      </c>
      <c r="E21" s="115" t="s">
        <v>316</v>
      </c>
      <c r="F21" s="115"/>
      <c r="G21" s="115"/>
      <c r="H21" s="115"/>
      <c r="I21" s="115"/>
      <c r="J21" s="116" t="e" cm="1">
        <f t="array" ref="J21">MAX(_xlfn.XLOOKUP(D21,Table5[Driver],'Race Results'!$E$3:$E$22),_xlfn.XLOOKUP(E21,Table5[Driver],'Race Results'!$E$3:$E$22)*0.5)</f>
        <v>#N/A</v>
      </c>
    </row>
    <row r="22" spans="1:10" x14ac:dyDescent="0.3">
      <c r="A22" s="114" t="s">
        <v>336</v>
      </c>
      <c r="B22" s="115" t="s">
        <v>48</v>
      </c>
      <c r="C22" s="115" t="s">
        <v>22</v>
      </c>
      <c r="D22" s="115" t="s">
        <v>299</v>
      </c>
      <c r="E22" s="115" t="s">
        <v>304</v>
      </c>
      <c r="F22" s="115"/>
      <c r="G22" s="115"/>
      <c r="H22" s="115"/>
      <c r="I22" s="115"/>
      <c r="J22" s="116" t="e" cm="1">
        <f t="array" ref="J22">MAX(_xlfn.XLOOKUP(D22,Table5[Driver],'Race Results'!$E$3:$E$22),_xlfn.XLOOKUP(E22,Table5[Driver],'Race Results'!$E$3:$E$22)*0.5)</f>
        <v>#N/A</v>
      </c>
    </row>
    <row r="23" spans="1:10" x14ac:dyDescent="0.3">
      <c r="A23" s="114" t="s">
        <v>337</v>
      </c>
      <c r="B23" s="115" t="s">
        <v>61</v>
      </c>
      <c r="C23" s="115" t="s">
        <v>22</v>
      </c>
      <c r="D23" s="115" t="s">
        <v>309</v>
      </c>
      <c r="E23" s="115" t="s">
        <v>316</v>
      </c>
      <c r="F23" s="115"/>
      <c r="G23" s="115"/>
      <c r="H23" s="115"/>
      <c r="I23" s="115"/>
      <c r="J23" s="116" t="e" cm="1">
        <f t="array" ref="J23">MAX(_xlfn.XLOOKUP(D23,Table5[Driver],'Race Results'!$E$3:$E$22),_xlfn.XLOOKUP(E23,Table5[Driver],'Race Results'!$E$3:$E$22)*0.5)</f>
        <v>#N/A</v>
      </c>
    </row>
    <row r="24" spans="1:10" x14ac:dyDescent="0.3">
      <c r="A24" s="114" t="s">
        <v>338</v>
      </c>
      <c r="B24" s="115" t="s">
        <v>45</v>
      </c>
      <c r="C24" s="115" t="s">
        <v>22</v>
      </c>
      <c r="D24" s="115" t="s">
        <v>316</v>
      </c>
      <c r="E24" s="115" t="s">
        <v>339</v>
      </c>
      <c r="F24" s="115"/>
      <c r="G24" s="115"/>
      <c r="H24" s="115"/>
      <c r="I24" s="115"/>
      <c r="J24" s="116" t="e" cm="1">
        <f t="array" ref="J24">MAX(_xlfn.XLOOKUP(D24,Table5[Driver],'Race Results'!$E$3:$E$22),_xlfn.XLOOKUP(E24,Table5[Driver],'Race Results'!$E$3:$E$22)*0.5)</f>
        <v>#N/A</v>
      </c>
    </row>
    <row r="25" spans="1:10" x14ac:dyDescent="0.3">
      <c r="A25" s="114" t="s">
        <v>340</v>
      </c>
      <c r="B25" s="115" t="s">
        <v>341</v>
      </c>
      <c r="C25" s="115" t="s">
        <v>22</v>
      </c>
      <c r="D25" s="115" t="s">
        <v>300</v>
      </c>
      <c r="E25" s="115" t="s">
        <v>327</v>
      </c>
      <c r="F25" s="115"/>
      <c r="G25" s="115"/>
      <c r="H25" s="115"/>
      <c r="I25" s="115"/>
      <c r="J25" s="116" t="e" cm="1">
        <f t="array" ref="J25">MAX(_xlfn.XLOOKUP(D25,Table5[Driver],'Race Results'!$E$3:$E$22),_xlfn.XLOOKUP(E25,Table5[Driver],'Race Results'!$E$3:$E$22)*0.5)</f>
        <v>#N/A</v>
      </c>
    </row>
    <row r="26" spans="1:10" x14ac:dyDescent="0.3">
      <c r="A26" s="114" t="s">
        <v>342</v>
      </c>
      <c r="B26" s="115" t="s">
        <v>44</v>
      </c>
      <c r="C26" s="115" t="s">
        <v>23</v>
      </c>
      <c r="D26" s="115" t="s">
        <v>327</v>
      </c>
      <c r="E26" s="115" t="s">
        <v>307</v>
      </c>
      <c r="F26" s="115"/>
      <c r="G26" s="115"/>
      <c r="H26" s="115"/>
      <c r="I26" s="115"/>
      <c r="J26" s="116" t="e" cm="1">
        <f t="array" ref="J26">MAX(_xlfn.XLOOKUP(D26,Table5[Driver],'Race Results'!$E$3:$E$22),_xlfn.XLOOKUP(E26,Table5[Driver],'Race Results'!$E$3:$E$22)*0.5)</f>
        <v>#N/A</v>
      </c>
    </row>
    <row r="27" spans="1:10" x14ac:dyDescent="0.3">
      <c r="A27" s="114" t="s">
        <v>343</v>
      </c>
      <c r="B27" s="115" t="s">
        <v>46</v>
      </c>
      <c r="C27" s="115" t="s">
        <v>23</v>
      </c>
      <c r="D27" s="115" t="s">
        <v>327</v>
      </c>
      <c r="E27" s="115" t="s">
        <v>316</v>
      </c>
      <c r="F27" s="115"/>
      <c r="G27" s="115"/>
      <c r="H27" s="115"/>
      <c r="I27" s="115"/>
      <c r="J27" s="116" t="e" cm="1">
        <f t="array" ref="J27">MAX(_xlfn.XLOOKUP(D27,Table5[Driver],'Race Results'!$E$3:$E$22),_xlfn.XLOOKUP(E27,Table5[Driver],'Race Results'!$E$3:$E$22)*0.5)</f>
        <v>#N/A</v>
      </c>
    </row>
    <row r="28" spans="1:10" x14ac:dyDescent="0.3">
      <c r="A28" s="114" t="s">
        <v>344</v>
      </c>
      <c r="B28" s="115" t="s">
        <v>51</v>
      </c>
      <c r="C28" s="115" t="s">
        <v>23</v>
      </c>
      <c r="D28" s="115" t="s">
        <v>299</v>
      </c>
      <c r="E28" s="115" t="s">
        <v>311</v>
      </c>
      <c r="F28" s="115"/>
      <c r="G28" s="115"/>
      <c r="H28" s="115"/>
      <c r="I28" s="115"/>
      <c r="J28" s="116" t="e" cm="1">
        <f t="array" ref="J28">MAX(_xlfn.XLOOKUP(D28,Table5[Driver],'Race Results'!$E$3:$E$22),_xlfn.XLOOKUP(E28,Table5[Driver],'Race Results'!$E$3:$E$22)*0.5)</f>
        <v>#N/A</v>
      </c>
    </row>
    <row r="29" spans="1:10" x14ac:dyDescent="0.3">
      <c r="A29" s="114" t="s">
        <v>345</v>
      </c>
      <c r="B29" s="115" t="s">
        <v>346</v>
      </c>
      <c r="C29" s="115" t="s">
        <v>23</v>
      </c>
      <c r="D29" s="115" t="s">
        <v>316</v>
      </c>
      <c r="E29" s="115" t="s">
        <v>327</v>
      </c>
      <c r="F29" s="115"/>
      <c r="G29" s="115"/>
      <c r="H29" s="115"/>
      <c r="I29" s="115"/>
      <c r="J29" s="116" t="e" cm="1">
        <f t="array" ref="J29">MAX(_xlfn.XLOOKUP(D29,Table5[Driver],'Race Results'!$E$3:$E$22),_xlfn.XLOOKUP(E29,Table5[Driver],'Race Results'!$E$3:$E$22)*0.5)</f>
        <v>#N/A</v>
      </c>
    </row>
    <row r="30" spans="1:10" x14ac:dyDescent="0.3">
      <c r="A30" s="114" t="s">
        <v>347</v>
      </c>
      <c r="B30" s="115" t="s">
        <v>57</v>
      </c>
      <c r="C30" s="115" t="s">
        <v>23</v>
      </c>
      <c r="D30" s="115" t="s">
        <v>299</v>
      </c>
      <c r="E30" s="115" t="s">
        <v>313</v>
      </c>
      <c r="F30" s="115"/>
      <c r="G30" s="115"/>
      <c r="H30" s="115"/>
      <c r="I30" s="115"/>
      <c r="J30" s="116" t="e" cm="1">
        <f t="array" ref="J30">MAX(_xlfn.XLOOKUP(D30,Table5[Driver],'Race Results'!$E$3:$E$22),_xlfn.XLOOKUP(E30,Table5[Driver],'Race Results'!$E$3:$E$22)*0.5)</f>
        <v>#N/A</v>
      </c>
    </row>
    <row r="31" spans="1:10" x14ac:dyDescent="0.3">
      <c r="A31" s="114" t="s">
        <v>348</v>
      </c>
      <c r="B31" s="115" t="s">
        <v>349</v>
      </c>
      <c r="C31" s="115" t="s">
        <v>23</v>
      </c>
      <c r="D31" s="115" t="s">
        <v>316</v>
      </c>
      <c r="E31" s="115" t="s">
        <v>327</v>
      </c>
      <c r="F31" s="115"/>
      <c r="G31" s="115"/>
      <c r="H31" s="115"/>
      <c r="I31" s="115"/>
      <c r="J31" s="116" t="e" cm="1">
        <f t="array" ref="J31">MAX(_xlfn.XLOOKUP(D31,Table5[Driver],'Race Results'!$E$3:$E$22),_xlfn.XLOOKUP(E31,Table5[Driver],'Race Results'!$E$3:$E$22)*0.5)</f>
        <v>#N/A</v>
      </c>
    </row>
    <row r="32" spans="1:10" x14ac:dyDescent="0.3">
      <c r="A32" s="114" t="s">
        <v>350</v>
      </c>
      <c r="B32" s="115" t="s">
        <v>63</v>
      </c>
      <c r="C32" s="115" t="s">
        <v>23</v>
      </c>
      <c r="D32" s="115" t="s">
        <v>351</v>
      </c>
      <c r="E32" s="115" t="s">
        <v>316</v>
      </c>
      <c r="F32" s="115"/>
      <c r="G32" s="115"/>
      <c r="H32" s="115"/>
      <c r="I32" s="115"/>
      <c r="J32" s="116" t="e" cm="1">
        <f t="array" ref="J32">MAX(_xlfn.XLOOKUP(D32,Table5[Driver],'Race Results'!$E$3:$E$22),_xlfn.XLOOKUP(E32,Table5[Driver],'Race Results'!$E$3:$E$22)*0.5)</f>
        <v>#N/A</v>
      </c>
    </row>
    <row r="33" spans="1:10" x14ac:dyDescent="0.3">
      <c r="A33" s="114" t="s">
        <v>352</v>
      </c>
      <c r="B33" s="115" t="s">
        <v>353</v>
      </c>
      <c r="C33" s="115" t="s">
        <v>23</v>
      </c>
      <c r="D33" s="115" t="s">
        <v>311</v>
      </c>
      <c r="E33" s="115" t="s">
        <v>351</v>
      </c>
      <c r="F33" s="115"/>
      <c r="G33" s="115"/>
      <c r="H33" s="115"/>
      <c r="I33" s="115"/>
      <c r="J33" s="116" t="e" cm="1">
        <f t="array" ref="J33">MAX(_xlfn.XLOOKUP(D33,Table5[Driver],'Race Results'!$E$3:$E$22),_xlfn.XLOOKUP(E33,Table5[Driver],'Race Results'!$E$3:$E$22)*0.5)</f>
        <v>#N/A</v>
      </c>
    </row>
    <row r="34" spans="1:10" x14ac:dyDescent="0.3">
      <c r="A34" s="114" t="s">
        <v>354</v>
      </c>
      <c r="B34" s="115" t="s">
        <v>48</v>
      </c>
      <c r="C34" s="115" t="s">
        <v>23</v>
      </c>
      <c r="D34" s="115" t="s">
        <v>313</v>
      </c>
      <c r="E34" s="115" t="s">
        <v>299</v>
      </c>
      <c r="F34" s="115"/>
      <c r="G34" s="115"/>
      <c r="H34" s="115"/>
      <c r="I34" s="115"/>
      <c r="J34" s="116" t="e" cm="1">
        <f t="array" ref="J34">MAX(_xlfn.XLOOKUP(D34,Table5[Driver],'Race Results'!$E$3:$E$22),_xlfn.XLOOKUP(E34,Table5[Driver],'Race Results'!$E$3:$E$22)*0.5)</f>
        <v>#N/A</v>
      </c>
    </row>
    <row r="35" spans="1:10" x14ac:dyDescent="0.3">
      <c r="A35" s="114" t="s">
        <v>355</v>
      </c>
      <c r="B35" s="115" t="s">
        <v>53</v>
      </c>
      <c r="C35" s="115" t="s">
        <v>23</v>
      </c>
      <c r="D35" s="115" t="s">
        <v>313</v>
      </c>
      <c r="E35" s="115" t="s">
        <v>299</v>
      </c>
      <c r="F35" s="115"/>
      <c r="G35" s="115"/>
      <c r="H35" s="115"/>
      <c r="I35" s="115"/>
      <c r="J35" s="116" t="e" cm="1">
        <f t="array" ref="J35">MAX(_xlfn.XLOOKUP(D35,Table5[Driver],'Race Results'!$E$3:$E$22),_xlfn.XLOOKUP(E35,Table5[Driver],'Race Results'!$E$3:$E$22)*0.5)</f>
        <v>#N/A</v>
      </c>
    </row>
    <row r="36" spans="1:10" x14ac:dyDescent="0.3">
      <c r="A36" s="114" t="s">
        <v>356</v>
      </c>
      <c r="B36" s="115" t="s">
        <v>58</v>
      </c>
      <c r="C36" s="115" t="s">
        <v>23</v>
      </c>
      <c r="D36" s="115" t="s">
        <v>316</v>
      </c>
      <c r="E36" s="115" t="s">
        <v>300</v>
      </c>
      <c r="F36" s="115"/>
      <c r="G36" s="115"/>
      <c r="H36" s="115"/>
      <c r="I36" s="115"/>
      <c r="J36" s="116" t="e" cm="1">
        <f t="array" ref="J36">MAX(_xlfn.XLOOKUP(D36,Table5[Driver],'Race Results'!$E$3:$E$22),_xlfn.XLOOKUP(E36,Table5[Driver],'Race Results'!$E$3:$E$22)*0.5)</f>
        <v>#N/A</v>
      </c>
    </row>
    <row r="37" spans="1:10" x14ac:dyDescent="0.3">
      <c r="A37" s="114" t="s">
        <v>357</v>
      </c>
      <c r="B37" s="115" t="s">
        <v>50</v>
      </c>
      <c r="C37" s="115" t="s">
        <v>23</v>
      </c>
      <c r="D37" s="115" t="s">
        <v>351</v>
      </c>
      <c r="E37" s="115" t="s">
        <v>316</v>
      </c>
      <c r="F37" s="115"/>
      <c r="G37" s="115"/>
      <c r="H37" s="115"/>
      <c r="I37" s="115"/>
      <c r="J37" s="116" t="e" cm="1">
        <f t="array" ref="J37">MAX(_xlfn.XLOOKUP(D37,Table5[Driver],'Race Results'!$E$3:$E$22),_xlfn.XLOOKUP(E37,Table5[Driver],'Race Results'!$E$3:$E$22)*0.5)</f>
        <v>#N/A</v>
      </c>
    </row>
    <row r="38" spans="1:10" x14ac:dyDescent="0.3">
      <c r="A38" s="114" t="s">
        <v>358</v>
      </c>
      <c r="B38" s="115" t="s">
        <v>45</v>
      </c>
      <c r="C38" s="115" t="s">
        <v>23</v>
      </c>
      <c r="D38" s="115" t="s">
        <v>327</v>
      </c>
      <c r="E38" s="115" t="s">
        <v>316</v>
      </c>
      <c r="F38" s="115"/>
      <c r="G38" s="115"/>
      <c r="H38" s="115"/>
      <c r="I38" s="115"/>
      <c r="J38" s="116" t="e" cm="1">
        <f t="array" ref="J38">MAX(_xlfn.XLOOKUP(D38,Table5[Driver],'Race Results'!$E$3:$E$22),_xlfn.XLOOKUP(E38,Table5[Driver],'Race Results'!$E$3:$E$22)*0.5)</f>
        <v>#N/A</v>
      </c>
    </row>
    <row r="39" spans="1:10" x14ac:dyDescent="0.3">
      <c r="A39" s="114" t="s">
        <v>359</v>
      </c>
      <c r="B39" s="115" t="s">
        <v>67</v>
      </c>
      <c r="C39" s="115" t="s">
        <v>23</v>
      </c>
      <c r="D39" s="115" t="s">
        <v>299</v>
      </c>
      <c r="E39" s="115" t="s">
        <v>314</v>
      </c>
      <c r="F39" s="115"/>
      <c r="G39" s="115"/>
      <c r="H39" s="115"/>
      <c r="I39" s="115"/>
      <c r="J39" s="116" t="e" cm="1">
        <f t="array" ref="J39">MAX(_xlfn.XLOOKUP(D39,Table5[Driver],'Race Results'!$E$3:$E$22),_xlfn.XLOOKUP(E39,Table5[Driver],'Race Results'!$E$3:$E$22)*0.5)</f>
        <v>#N/A</v>
      </c>
    </row>
    <row r="40" spans="1:10" x14ac:dyDescent="0.3">
      <c r="A40" s="114" t="s">
        <v>360</v>
      </c>
      <c r="B40" s="115" t="s">
        <v>361</v>
      </c>
      <c r="C40" s="115" t="s">
        <v>23</v>
      </c>
      <c r="D40" s="115" t="s">
        <v>327</v>
      </c>
      <c r="E40" s="115" t="s">
        <v>362</v>
      </c>
      <c r="F40" s="115"/>
      <c r="G40" s="115"/>
      <c r="H40" s="115"/>
      <c r="I40" s="115"/>
      <c r="J40" s="116" t="e" cm="1">
        <f t="array" ref="J40">MAX(_xlfn.XLOOKUP(D40,Table5[Driver],'Race Results'!$E$3:$E$22),_xlfn.XLOOKUP(E40,Table5[Driver],'Race Results'!$E$3:$E$22)*0.5)</f>
        <v>#N/A</v>
      </c>
    </row>
    <row r="41" spans="1:10" x14ac:dyDescent="0.3">
      <c r="A41" s="114" t="s">
        <v>363</v>
      </c>
      <c r="B41" s="115" t="s">
        <v>56</v>
      </c>
      <c r="C41" s="115" t="s">
        <v>23</v>
      </c>
      <c r="D41" s="115" t="s">
        <v>313</v>
      </c>
      <c r="E41" s="115" t="s">
        <v>316</v>
      </c>
      <c r="F41" s="115"/>
      <c r="G41" s="115"/>
      <c r="H41" s="115"/>
      <c r="I41" s="115"/>
      <c r="J41" s="116" t="e" cm="1">
        <f t="array" ref="J41">MAX(_xlfn.XLOOKUP(D41,Table5[Driver],'Race Results'!$E$3:$E$22),_xlfn.XLOOKUP(E41,Table5[Driver],'Race Results'!$E$3:$E$22)*0.5)</f>
        <v>#N/A</v>
      </c>
    </row>
    <row r="42" spans="1:10" x14ac:dyDescent="0.3">
      <c r="A42" s="114" t="s">
        <v>364</v>
      </c>
      <c r="B42" s="115" t="s">
        <v>365</v>
      </c>
      <c r="C42" s="115" t="s">
        <v>23</v>
      </c>
      <c r="D42" s="115" t="s">
        <v>351</v>
      </c>
      <c r="E42" s="115" t="s">
        <v>307</v>
      </c>
      <c r="F42" s="115"/>
      <c r="G42" s="115"/>
      <c r="H42" s="115"/>
      <c r="I42" s="115"/>
      <c r="J42" s="116" t="e" cm="1">
        <f t="array" ref="J42">MAX(_xlfn.XLOOKUP(D42,Table5[Driver],'Race Results'!$E$3:$E$22),_xlfn.XLOOKUP(E42,Table5[Driver],'Race Results'!$E$3:$E$22)*0.5)</f>
        <v>#N/A</v>
      </c>
    </row>
    <row r="43" spans="1:10" x14ac:dyDescent="0.3">
      <c r="A43" s="114" t="s">
        <v>366</v>
      </c>
      <c r="B43" s="115" t="s">
        <v>367</v>
      </c>
      <c r="C43" s="115" t="s">
        <v>23</v>
      </c>
      <c r="D43" s="115" t="s">
        <v>313</v>
      </c>
      <c r="E43" s="115" t="s">
        <v>299</v>
      </c>
      <c r="F43" s="115"/>
      <c r="G43" s="115"/>
      <c r="H43" s="115"/>
      <c r="I43" s="115"/>
      <c r="J43" s="116" t="e" cm="1">
        <f t="array" ref="J43">MAX(_xlfn.XLOOKUP(D43,Table5[Driver],'Race Results'!$E$3:$E$22),_xlfn.XLOOKUP(E43,Table5[Driver],'Race Results'!$E$3:$E$22)*0.5)</f>
        <v>#N/A</v>
      </c>
    </row>
    <row r="44" spans="1:10" x14ac:dyDescent="0.3">
      <c r="A44" s="114" t="s">
        <v>368</v>
      </c>
      <c r="B44" s="115" t="s">
        <v>334</v>
      </c>
      <c r="C44" s="115" t="s">
        <v>23</v>
      </c>
      <c r="D44" s="115" t="s">
        <v>299</v>
      </c>
      <c r="E44" s="115" t="s">
        <v>316</v>
      </c>
      <c r="F44" s="115"/>
      <c r="G44" s="115"/>
      <c r="H44" s="115"/>
      <c r="I44" s="115"/>
      <c r="J44" s="116" t="e" cm="1">
        <f t="array" ref="J44">MAX(_xlfn.XLOOKUP(D44,Table5[Driver],'Race Results'!$E$3:$E$22),_xlfn.XLOOKUP(E44,Table5[Driver],'Race Results'!$E$3:$E$22)*0.5)</f>
        <v>#N/A</v>
      </c>
    </row>
    <row r="45" spans="1:10" x14ac:dyDescent="0.3">
      <c r="A45" s="114" t="s">
        <v>369</v>
      </c>
      <c r="B45" s="115" t="s">
        <v>59</v>
      </c>
      <c r="C45" s="115" t="s">
        <v>23</v>
      </c>
      <c r="D45" s="115" t="s">
        <v>307</v>
      </c>
      <c r="E45" s="115" t="s">
        <v>300</v>
      </c>
      <c r="F45" s="115"/>
      <c r="G45" s="115"/>
      <c r="H45" s="115"/>
      <c r="I45" s="115"/>
      <c r="J45" s="116" t="e" cm="1">
        <f t="array" ref="J45">MAX(_xlfn.XLOOKUP(D45,Table5[Driver],'Race Results'!$E$3:$E$22),_xlfn.XLOOKUP(E45,Table5[Driver],'Race Results'!$E$3:$E$22)*0.5)</f>
        <v>#N/A</v>
      </c>
    </row>
    <row r="46" spans="1:10" x14ac:dyDescent="0.3">
      <c r="A46" s="114" t="s">
        <v>370</v>
      </c>
      <c r="B46" s="115" t="s">
        <v>371</v>
      </c>
      <c r="C46" s="115" t="s">
        <v>23</v>
      </c>
      <c r="D46" s="115" t="s">
        <v>316</v>
      </c>
      <c r="E46" s="115" t="s">
        <v>313</v>
      </c>
      <c r="F46" s="115"/>
      <c r="G46" s="115"/>
      <c r="H46" s="115"/>
      <c r="I46" s="115"/>
      <c r="J46" s="116" t="e" cm="1">
        <f t="array" ref="J46">MAX(_xlfn.XLOOKUP(D46,Table5[Driver],'Race Results'!$E$3:$E$22),_xlfn.XLOOKUP(E46,Table5[Driver],'Race Results'!$E$3:$E$22)*0.5)</f>
        <v>#N/A</v>
      </c>
    </row>
    <row r="47" spans="1:10" x14ac:dyDescent="0.3">
      <c r="A47" s="114" t="s">
        <v>372</v>
      </c>
      <c r="B47" s="115" t="s">
        <v>329</v>
      </c>
      <c r="C47" s="115" t="s">
        <v>23</v>
      </c>
      <c r="D47" s="115" t="s">
        <v>299</v>
      </c>
      <c r="E47" s="115" t="s">
        <v>327</v>
      </c>
      <c r="F47" s="115"/>
      <c r="G47" s="115"/>
      <c r="H47" s="115"/>
      <c r="I47" s="115"/>
      <c r="J47" s="115" t="e" cm="1">
        <f t="array" ref="J47">MAX(_xlfn.XLOOKUP(D47,Table5[Driver],'Race Results'!$E$3:$E$22),_xlfn.XLOOKUP(E47,Table5[Driver],'Race Results'!$E$3:$E$22)*0.5)</f>
        <v>#N/A</v>
      </c>
    </row>
    <row r="48" spans="1:10" x14ac:dyDescent="0.3">
      <c r="A48" s="114" t="s">
        <v>373</v>
      </c>
      <c r="B48" s="115" t="s">
        <v>374</v>
      </c>
      <c r="C48" s="115" t="s">
        <v>23</v>
      </c>
      <c r="D48" s="115" t="s">
        <v>316</v>
      </c>
      <c r="E48" s="115" t="s">
        <v>299</v>
      </c>
      <c r="F48" s="115"/>
      <c r="G48" s="115"/>
      <c r="H48" s="115"/>
      <c r="I48" s="115"/>
      <c r="J48" s="115" t="e" cm="1">
        <f t="array" ref="J48">MAX(_xlfn.XLOOKUP(D48,Table5[Driver],'Race Results'!$E$3:$E$22),_xlfn.XLOOKUP(E48,Table5[Driver],'Race Results'!$E$3:$E$22)*0.5)</f>
        <v>#N/A</v>
      </c>
    </row>
    <row r="49" spans="1:10" x14ac:dyDescent="0.3">
      <c r="A49" s="114" t="s">
        <v>375</v>
      </c>
      <c r="B49" s="115" t="s">
        <v>61</v>
      </c>
      <c r="C49" s="115" t="s">
        <v>23</v>
      </c>
      <c r="D49" s="115" t="s">
        <v>299</v>
      </c>
      <c r="E49" s="115" t="s">
        <v>327</v>
      </c>
      <c r="F49" s="115"/>
      <c r="G49" s="115"/>
      <c r="H49" s="115"/>
      <c r="I49" s="115"/>
      <c r="J49" s="115" t="e" cm="1">
        <f t="array" ref="J49">MAX(_xlfn.XLOOKUP(D49,Table5[Driver],'Race Results'!$E$3:$E$22),_xlfn.XLOOKUP(E49,Table5[Driver],'Race Results'!$E$3:$E$22)*0.5)</f>
        <v>#N/A</v>
      </c>
    </row>
    <row r="50" spans="1:10" x14ac:dyDescent="0.3">
      <c r="A50" s="114" t="s">
        <v>376</v>
      </c>
      <c r="B50" s="115" t="s">
        <v>62</v>
      </c>
      <c r="C50" s="115" t="s">
        <v>23</v>
      </c>
      <c r="D50" s="115" t="s">
        <v>377</v>
      </c>
      <c r="E50" s="115" t="s">
        <v>322</v>
      </c>
      <c r="F50" s="115"/>
      <c r="G50" s="115"/>
      <c r="H50" s="115"/>
      <c r="I50" s="115"/>
      <c r="J50" s="115" t="e" cm="1">
        <f t="array" ref="J50">MAX(_xlfn.XLOOKUP(D50,Table5[Driver],'Race Results'!$E$3:$E$22),_xlfn.XLOOKUP(E50,Table5[Driver],'Race Results'!$E$3:$E$22)*0.5)</f>
        <v>#N/A</v>
      </c>
    </row>
    <row r="51" spans="1:10" x14ac:dyDescent="0.3">
      <c r="A51" s="114" t="s">
        <v>378</v>
      </c>
      <c r="B51" s="115" t="s">
        <v>54</v>
      </c>
      <c r="C51" s="115" t="s">
        <v>24</v>
      </c>
      <c r="D51" s="115" t="s">
        <v>75</v>
      </c>
      <c r="E51" s="115" t="s">
        <v>76</v>
      </c>
      <c r="F51" s="115"/>
      <c r="G51" s="115"/>
      <c r="H51" s="115"/>
      <c r="I51" s="115"/>
      <c r="J51" s="115" t="e" cm="1">
        <f t="array" ref="J51">MAX(_xlfn.XLOOKUP(D51,Table5[Driver],'Race Results'!$E$3:$E$22),_xlfn.XLOOKUP(E51,Table5[Driver],'Race Results'!$E$3:$E$22)*0.5)</f>
        <v>#N/A</v>
      </c>
    </row>
    <row r="52" spans="1:10" x14ac:dyDescent="0.3">
      <c r="A52" s="114" t="s">
        <v>379</v>
      </c>
      <c r="B52" s="115" t="s">
        <v>68</v>
      </c>
      <c r="C52" s="115" t="s">
        <v>24</v>
      </c>
      <c r="D52" s="115" t="s">
        <v>77</v>
      </c>
      <c r="E52" s="115" t="s">
        <v>78</v>
      </c>
      <c r="F52" s="115"/>
      <c r="G52" s="115"/>
      <c r="H52" s="115"/>
      <c r="I52" s="115"/>
      <c r="J52" s="115" t="e" cm="1">
        <f t="array" ref="J52">MAX(_xlfn.XLOOKUP(D52,Table5[Driver],'Race Results'!$E$3:$E$22),_xlfn.XLOOKUP(E52,Table5[Driver],'Race Results'!$E$3:$E$22)*0.5)</f>
        <v>#N/A</v>
      </c>
    </row>
    <row r="53" spans="1:10" x14ac:dyDescent="0.3">
      <c r="A53" s="114" t="s">
        <v>380</v>
      </c>
      <c r="B53" s="115" t="s">
        <v>65</v>
      </c>
      <c r="C53" s="115" t="s">
        <v>24</v>
      </c>
      <c r="D53" s="115" t="s">
        <v>79</v>
      </c>
      <c r="E53" s="115" t="s">
        <v>77</v>
      </c>
      <c r="F53" s="115"/>
      <c r="G53" s="115"/>
      <c r="H53" s="115"/>
      <c r="I53" s="115"/>
      <c r="J53" s="115" t="e" cm="1">
        <f t="array" ref="J53">MAX(_xlfn.XLOOKUP(D53,Table5[Driver],'Race Results'!$E$3:$E$22),_xlfn.XLOOKUP(E53,Table5[Driver],'Race Results'!$E$3:$E$22)*0.5)</f>
        <v>#N/A</v>
      </c>
    </row>
    <row r="54" spans="1:10" x14ac:dyDescent="0.3">
      <c r="A54" s="114" t="s">
        <v>381</v>
      </c>
      <c r="B54" s="115" t="s">
        <v>47</v>
      </c>
      <c r="C54" s="115" t="s">
        <v>24</v>
      </c>
      <c r="D54" s="115" t="s">
        <v>80</v>
      </c>
      <c r="E54" s="115" t="s">
        <v>75</v>
      </c>
      <c r="F54" s="115"/>
      <c r="G54" s="115"/>
      <c r="H54" s="115"/>
      <c r="I54" s="115"/>
      <c r="J54" s="115" t="e" cm="1">
        <f t="array" ref="J54">MAX(_xlfn.XLOOKUP(D54,Table5[Driver],'Race Results'!$E$3:$E$22),_xlfn.XLOOKUP(E54,Table5[Driver],'Race Results'!$E$3:$E$22)*0.5)</f>
        <v>#N/A</v>
      </c>
    </row>
    <row r="55" spans="1:10" x14ac:dyDescent="0.3">
      <c r="A55" s="114" t="s">
        <v>382</v>
      </c>
      <c r="B55" s="115" t="s">
        <v>44</v>
      </c>
      <c r="C55" s="115" t="s">
        <v>24</v>
      </c>
      <c r="D55" s="115" t="s">
        <v>77</v>
      </c>
      <c r="E55" s="115" t="s">
        <v>75</v>
      </c>
      <c r="F55" s="115"/>
      <c r="G55" s="115"/>
      <c r="H55" s="115"/>
      <c r="I55" s="115"/>
      <c r="J55" s="115" t="e" cm="1">
        <f t="array" ref="J55">MAX(_xlfn.XLOOKUP(D55,Table5[Driver],'Race Results'!$E$3:$E$22),_xlfn.XLOOKUP(E55,Table5[Driver],'Race Results'!$E$3:$E$22)*0.5)</f>
        <v>#N/A</v>
      </c>
    </row>
    <row r="56" spans="1:10" x14ac:dyDescent="0.3">
      <c r="A56" s="114" t="s">
        <v>383</v>
      </c>
      <c r="B56" s="115" t="s">
        <v>46</v>
      </c>
      <c r="C56" s="115" t="s">
        <v>24</v>
      </c>
      <c r="D56" s="115" t="s">
        <v>75</v>
      </c>
      <c r="E56" s="115" t="s">
        <v>81</v>
      </c>
      <c r="F56" s="115"/>
      <c r="G56" s="115"/>
      <c r="H56" s="115"/>
      <c r="I56" s="115"/>
      <c r="J56" s="115" t="e" cm="1">
        <f t="array" ref="J56">MAX(_xlfn.XLOOKUP(D56,Table5[Driver],'Race Results'!$E$3:$E$22),_xlfn.XLOOKUP(E56,Table5[Driver],'Race Results'!$E$3:$E$22)*0.5)</f>
        <v>#N/A</v>
      </c>
    </row>
    <row r="57" spans="1:10" x14ac:dyDescent="0.3">
      <c r="A57" s="114" t="s">
        <v>384</v>
      </c>
      <c r="B57" s="115" t="s">
        <v>50</v>
      </c>
      <c r="C57" s="115" t="s">
        <v>24</v>
      </c>
      <c r="D57" s="115" t="s">
        <v>81</v>
      </c>
      <c r="E57" s="115" t="s">
        <v>77</v>
      </c>
      <c r="F57" s="115"/>
      <c r="G57" s="115"/>
      <c r="H57" s="115"/>
      <c r="I57" s="115"/>
      <c r="J57" s="115" t="e" cm="1">
        <f t="array" ref="J57">MAX(_xlfn.XLOOKUP(D57,Table5[Driver],'Race Results'!$E$3:$E$22),_xlfn.XLOOKUP(E57,Table5[Driver],'Race Results'!$E$3:$E$22)*0.5)</f>
        <v>#N/A</v>
      </c>
    </row>
    <row r="58" spans="1:10" x14ac:dyDescent="0.3">
      <c r="A58" s="114" t="s">
        <v>385</v>
      </c>
      <c r="B58" s="115" t="s">
        <v>58</v>
      </c>
      <c r="C58" s="115" t="s">
        <v>24</v>
      </c>
      <c r="D58" s="115" t="s">
        <v>77</v>
      </c>
      <c r="E58" s="115" t="s">
        <v>78</v>
      </c>
      <c r="F58" s="115"/>
      <c r="G58" s="115"/>
      <c r="H58" s="115"/>
      <c r="I58" s="115"/>
      <c r="J58" s="115" t="e" cm="1">
        <f t="array" ref="J58">MAX(_xlfn.XLOOKUP(D58,Table5[Driver],'Race Results'!$E$3:$E$22),_xlfn.XLOOKUP(E58,Table5[Driver],'Race Results'!$E$3:$E$22)*0.5)</f>
        <v>#N/A</v>
      </c>
    </row>
    <row r="59" spans="1:10" x14ac:dyDescent="0.3">
      <c r="A59" s="114" t="s">
        <v>386</v>
      </c>
      <c r="B59" s="115" t="s">
        <v>56</v>
      </c>
      <c r="C59" s="115" t="s">
        <v>24</v>
      </c>
      <c r="D59" s="115" t="s">
        <v>77</v>
      </c>
      <c r="E59" s="115" t="s">
        <v>82</v>
      </c>
      <c r="F59" s="115"/>
      <c r="G59" s="115"/>
      <c r="H59" s="115"/>
      <c r="I59" s="115"/>
      <c r="J59" s="115" t="e" cm="1">
        <f t="array" ref="J59">MAX(_xlfn.XLOOKUP(D59,Table5[Driver],'Race Results'!$E$3:$E$22),_xlfn.XLOOKUP(E59,Table5[Driver],'Race Results'!$E$3:$E$22)*0.5)</f>
        <v>#N/A</v>
      </c>
    </row>
    <row r="60" spans="1:10" x14ac:dyDescent="0.3">
      <c r="A60" s="114" t="s">
        <v>387</v>
      </c>
      <c r="B60" s="115" t="s">
        <v>51</v>
      </c>
      <c r="C60" s="115" t="s">
        <v>24</v>
      </c>
      <c r="D60" s="115" t="s">
        <v>81</v>
      </c>
      <c r="E60" s="115" t="s">
        <v>78</v>
      </c>
      <c r="F60" s="115"/>
      <c r="G60" s="115"/>
      <c r="H60" s="115"/>
      <c r="I60" s="115"/>
      <c r="J60" s="115" t="e" cm="1">
        <f t="array" ref="J60">MAX(_xlfn.XLOOKUP(D60,Table5[Driver],'Race Results'!$E$3:$E$22),_xlfn.XLOOKUP(E60,Table5[Driver],'Race Results'!$E$3:$E$22)*0.5)</f>
        <v>#N/A</v>
      </c>
    </row>
    <row r="61" spans="1:10" x14ac:dyDescent="0.3">
      <c r="A61" s="114" t="s">
        <v>388</v>
      </c>
      <c r="B61" s="115" t="s">
        <v>55</v>
      </c>
      <c r="C61" s="115" t="s">
        <v>24</v>
      </c>
      <c r="D61" s="115" t="s">
        <v>81</v>
      </c>
      <c r="E61" s="115" t="s">
        <v>77</v>
      </c>
      <c r="F61" s="115"/>
      <c r="G61" s="115"/>
      <c r="H61" s="115"/>
      <c r="I61" s="115"/>
      <c r="J61" s="115" t="e" cm="1">
        <f t="array" ref="J61">MAX(_xlfn.XLOOKUP(D61,Table5[Driver],'Race Results'!$E$3:$E$22),_xlfn.XLOOKUP(E61,Table5[Driver],'Race Results'!$E$3:$E$22)*0.5)</f>
        <v>#N/A</v>
      </c>
    </row>
    <row r="62" spans="1:10" x14ac:dyDescent="0.3">
      <c r="A62" s="114" t="s">
        <v>389</v>
      </c>
      <c r="B62" s="115" t="s">
        <v>62</v>
      </c>
      <c r="C62" s="115" t="s">
        <v>24</v>
      </c>
      <c r="D62" s="115" t="s">
        <v>83</v>
      </c>
      <c r="E62" s="115" t="s">
        <v>76</v>
      </c>
      <c r="F62" s="115"/>
      <c r="G62" s="115"/>
      <c r="H62" s="115"/>
      <c r="I62" s="115"/>
      <c r="J62" s="115" t="e" cm="1">
        <f t="array" ref="J62">MAX(_xlfn.XLOOKUP(D62,Table5[Driver],'Race Results'!$E$3:$E$22),_xlfn.XLOOKUP(E62,Table5[Driver],'Race Results'!$E$3:$E$22)*0.5)</f>
        <v>#N/A</v>
      </c>
    </row>
    <row r="63" spans="1:10" x14ac:dyDescent="0.3">
      <c r="A63" s="114" t="s">
        <v>390</v>
      </c>
      <c r="B63" s="115" t="s">
        <v>59</v>
      </c>
      <c r="C63" s="115" t="s">
        <v>24</v>
      </c>
      <c r="D63" s="115" t="s">
        <v>81</v>
      </c>
      <c r="E63" s="115" t="s">
        <v>84</v>
      </c>
      <c r="F63" s="115"/>
      <c r="G63" s="115"/>
      <c r="H63" s="115"/>
      <c r="I63" s="115"/>
      <c r="J63" s="115" t="e" cm="1">
        <f t="array" ref="J63">MAX(_xlfn.XLOOKUP(D63,Table5[Driver],'Race Results'!$E$3:$E$22),_xlfn.XLOOKUP(E63,Table5[Driver],'Race Results'!$E$3:$E$22)*0.5)</f>
        <v>#N/A</v>
      </c>
    </row>
    <row r="64" spans="1:10" x14ac:dyDescent="0.3">
      <c r="A64" s="114" t="s">
        <v>391</v>
      </c>
      <c r="B64" s="115" t="s">
        <v>48</v>
      </c>
      <c r="C64" s="115" t="s">
        <v>24</v>
      </c>
      <c r="D64" s="115" t="s">
        <v>78</v>
      </c>
      <c r="E64" s="115" t="s">
        <v>77</v>
      </c>
      <c r="F64" s="115"/>
      <c r="G64" s="115"/>
      <c r="H64" s="115"/>
      <c r="I64" s="115"/>
      <c r="J64" s="115" t="e" cm="1">
        <f t="array" ref="J64">MAX(_xlfn.XLOOKUP(D64,Table5[Driver],'Race Results'!$E$3:$E$22),_xlfn.XLOOKUP(E64,Table5[Driver],'Race Results'!$E$3:$E$22)*0.5)</f>
        <v>#N/A</v>
      </c>
    </row>
    <row r="65" spans="1:10" x14ac:dyDescent="0.3">
      <c r="A65" s="114" t="s">
        <v>392</v>
      </c>
      <c r="B65" s="115" t="s">
        <v>45</v>
      </c>
      <c r="C65" s="115" t="s">
        <v>24</v>
      </c>
      <c r="D65" s="115" t="s">
        <v>77</v>
      </c>
      <c r="E65" s="115" t="s">
        <v>81</v>
      </c>
      <c r="F65" s="115"/>
      <c r="G65" s="115"/>
      <c r="H65" s="115"/>
      <c r="I65" s="115"/>
      <c r="J65" s="115" t="e" cm="1">
        <f t="array" ref="J65">MAX(_xlfn.XLOOKUP(D65,Table5[Driver],'Race Results'!$E$3:$E$22),_xlfn.XLOOKUP(E65,Table5[Driver],'Race Results'!$E$3:$E$22)*0.5)</f>
        <v>#N/A</v>
      </c>
    </row>
    <row r="66" spans="1:10" x14ac:dyDescent="0.3">
      <c r="A66" s="114" t="s">
        <v>393</v>
      </c>
      <c r="B66" s="115" t="s">
        <v>49</v>
      </c>
      <c r="C66" s="115" t="s">
        <v>24</v>
      </c>
      <c r="D66" s="115" t="s">
        <v>75</v>
      </c>
      <c r="E66" s="115" t="s">
        <v>78</v>
      </c>
      <c r="F66" s="115"/>
      <c r="G66" s="115"/>
      <c r="H66" s="115"/>
      <c r="I66" s="115"/>
      <c r="J66" s="115" t="e" cm="1">
        <f t="array" ref="J66">MAX(_xlfn.XLOOKUP(D66,Table5[Driver],'Race Results'!$E$3:$E$22),_xlfn.XLOOKUP(E66,Table5[Driver],'Race Results'!$E$3:$E$22)*0.5)</f>
        <v>#N/A</v>
      </c>
    </row>
    <row r="67" spans="1:10" x14ac:dyDescent="0.3">
      <c r="A67" s="114" t="s">
        <v>394</v>
      </c>
      <c r="B67" s="115" t="s">
        <v>64</v>
      </c>
      <c r="C67" s="115" t="s">
        <v>24</v>
      </c>
      <c r="D67" s="115" t="s">
        <v>81</v>
      </c>
      <c r="E67" s="115" t="s">
        <v>82</v>
      </c>
      <c r="F67" s="115"/>
      <c r="G67" s="115"/>
      <c r="H67" s="115"/>
      <c r="I67" s="115"/>
      <c r="J67" s="115" t="e" cm="1">
        <f t="array" ref="J67">MAX(_xlfn.XLOOKUP(D67,Table5[Driver],'Race Results'!$E$3:$E$22),_xlfn.XLOOKUP(E67,Table5[Driver],'Race Results'!$E$3:$E$22)*0.5)</f>
        <v>#N/A</v>
      </c>
    </row>
    <row r="68" spans="1:10" x14ac:dyDescent="0.3">
      <c r="A68" s="114" t="s">
        <v>395</v>
      </c>
      <c r="B68" s="115" t="s">
        <v>61</v>
      </c>
      <c r="C68" s="115" t="s">
        <v>24</v>
      </c>
      <c r="D68" s="115" t="s">
        <v>75</v>
      </c>
      <c r="E68" s="115" t="s">
        <v>81</v>
      </c>
      <c r="F68" s="115"/>
      <c r="G68" s="115"/>
      <c r="H68" s="115"/>
      <c r="I68" s="115"/>
      <c r="J68" s="115" t="e" cm="1">
        <f t="array" ref="J68">MAX(_xlfn.XLOOKUP(D68,Table5[Driver],'Race Results'!$E$3:$E$22),_xlfn.XLOOKUP(E68,Table5[Driver],'Race Results'!$E$3:$E$22)*0.5)</f>
        <v>#N/A</v>
      </c>
    </row>
    <row r="69" spans="1:10" x14ac:dyDescent="0.3">
      <c r="A69" s="114" t="s">
        <v>396</v>
      </c>
      <c r="B69" s="115" t="s">
        <v>63</v>
      </c>
      <c r="C69" s="115" t="s">
        <v>24</v>
      </c>
      <c r="D69" s="115" t="s">
        <v>77</v>
      </c>
      <c r="E69" s="115" t="s">
        <v>75</v>
      </c>
      <c r="F69" s="115"/>
      <c r="G69" s="115"/>
      <c r="H69" s="115"/>
      <c r="I69" s="115"/>
      <c r="J69" s="115" t="e" cm="1">
        <f t="array" ref="J69">MAX(_xlfn.XLOOKUP(D69,Table5[Driver],'Race Results'!$E$3:$E$22),_xlfn.XLOOKUP(E69,Table5[Driver],'Race Results'!$E$3:$E$22)*0.5)</f>
        <v>#N/A</v>
      </c>
    </row>
    <row r="70" spans="1:10" x14ac:dyDescent="0.3">
      <c r="A70" s="114" t="s">
        <v>397</v>
      </c>
      <c r="B70" s="115" t="s">
        <v>67</v>
      </c>
      <c r="C70" s="115" t="s">
        <v>24</v>
      </c>
      <c r="D70" s="115" t="s">
        <v>81</v>
      </c>
      <c r="E70" s="115" t="s">
        <v>85</v>
      </c>
      <c r="F70" s="115"/>
      <c r="G70" s="115"/>
      <c r="H70" s="115"/>
      <c r="I70" s="115"/>
      <c r="J70" s="115" t="e" cm="1">
        <f t="array" ref="J70">MAX(_xlfn.XLOOKUP(D70,Table5[Driver],'Race Results'!$E$3:$E$22),_xlfn.XLOOKUP(E70,Table5[Driver],'Race Results'!$E$3:$E$22)*0.5)</f>
        <v>#N/A</v>
      </c>
    </row>
    <row r="71" spans="1:10" x14ac:dyDescent="0.3">
      <c r="A71" s="114" t="s">
        <v>398</v>
      </c>
      <c r="B71" s="115" t="s">
        <v>57</v>
      </c>
      <c r="C71" s="115" t="s">
        <v>24</v>
      </c>
      <c r="D71" s="115" t="s">
        <v>81</v>
      </c>
      <c r="E71" s="115" t="s">
        <v>86</v>
      </c>
      <c r="F71" s="115"/>
      <c r="G71" s="115"/>
      <c r="H71" s="115"/>
      <c r="I71" s="115"/>
      <c r="J71" s="115" t="e" cm="1">
        <f t="array" ref="J71">MAX(_xlfn.XLOOKUP(D71,Table5[Driver],'Race Results'!$E$3:$E$22),_xlfn.XLOOKUP(E71,Table5[Driver],'Race Results'!$E$3:$E$22)*0.5)</f>
        <v>#N/A</v>
      </c>
    </row>
    <row r="72" spans="1:10" x14ac:dyDescent="0.3">
      <c r="A72" s="114" t="s">
        <v>399</v>
      </c>
      <c r="B72" s="115" t="s">
        <v>53</v>
      </c>
      <c r="C72" s="115" t="s">
        <v>24</v>
      </c>
      <c r="D72" s="115" t="s">
        <v>81</v>
      </c>
      <c r="E72" s="115" t="s">
        <v>77</v>
      </c>
      <c r="F72" s="115"/>
      <c r="G72" s="115"/>
      <c r="H72" s="115"/>
      <c r="I72" s="115"/>
      <c r="J72" s="115" t="e" cm="1">
        <f t="array" ref="J72">MAX(_xlfn.XLOOKUP(D72,Table5[Driver],'Race Results'!$E$3:$E$22),_xlfn.XLOOKUP(E72,Table5[Driver],'Race Results'!$E$3:$E$22)*0.5)</f>
        <v>#N/A</v>
      </c>
    </row>
    <row r="73" spans="1:10" x14ac:dyDescent="0.3">
      <c r="A73" s="114" t="s">
        <v>400</v>
      </c>
      <c r="B73" s="115" t="s">
        <v>69</v>
      </c>
      <c r="C73" s="115" t="s">
        <v>24</v>
      </c>
      <c r="D73" s="115" t="s">
        <v>80</v>
      </c>
      <c r="E73" s="115" t="s">
        <v>87</v>
      </c>
      <c r="F73" s="115"/>
      <c r="G73" s="115"/>
      <c r="H73" s="115"/>
      <c r="I73" s="115"/>
      <c r="J73" s="115" t="e" cm="1">
        <f t="array" ref="J73">MAX(_xlfn.XLOOKUP(D73,Table5[Driver],'Race Results'!$E$3:$E$22),_xlfn.XLOOKUP(E73,Table5[Driver],'Race Results'!$E$3:$E$22)*0.5)</f>
        <v>#N/A</v>
      </c>
    </row>
    <row r="74" spans="1:10" x14ac:dyDescent="0.3">
      <c r="A74" s="114" t="s">
        <v>401</v>
      </c>
      <c r="B74" s="115" t="s">
        <v>60</v>
      </c>
      <c r="C74" s="115" t="s">
        <v>24</v>
      </c>
      <c r="D74" s="115" t="s">
        <v>81</v>
      </c>
      <c r="E74" s="115" t="s">
        <v>78</v>
      </c>
      <c r="F74" s="115"/>
      <c r="G74" s="115"/>
      <c r="H74" s="115"/>
      <c r="I74" s="115"/>
      <c r="J74" s="115" t="e" cm="1">
        <f t="array" ref="J74">MAX(_xlfn.XLOOKUP(D74,Table5[Driver],'Race Results'!$E$3:$E$22),_xlfn.XLOOKUP(E74,Table5[Driver],'Race Results'!$E$3:$E$22)*0.5)</f>
        <v>#N/A</v>
      </c>
    </row>
    <row r="75" spans="1:10" x14ac:dyDescent="0.3">
      <c r="A75" s="114" t="s">
        <v>402</v>
      </c>
      <c r="B75" s="115" t="s">
        <v>52</v>
      </c>
      <c r="C75" s="115" t="s">
        <v>24</v>
      </c>
      <c r="D75" s="115" t="s">
        <v>88</v>
      </c>
      <c r="E75" s="115" t="s">
        <v>77</v>
      </c>
      <c r="F75" s="115"/>
      <c r="G75" s="115"/>
      <c r="H75" s="115"/>
      <c r="I75" s="115"/>
      <c r="J75" s="115" t="e" cm="1">
        <f t="array" ref="J75">MAX(_xlfn.XLOOKUP(D75,Table5[Driver],'Race Results'!$E$3:$E$22),_xlfn.XLOOKUP(E75,Table5[Driver],'Race Results'!$E$3:$E$22)*0.5)</f>
        <v>#N/A</v>
      </c>
    </row>
    <row r="76" spans="1:10" x14ac:dyDescent="0.3">
      <c r="A76" s="114" t="s">
        <v>403</v>
      </c>
      <c r="B76" s="115" t="s">
        <v>64</v>
      </c>
      <c r="C76" s="115" t="s">
        <v>25</v>
      </c>
      <c r="D76" s="115" t="s">
        <v>89</v>
      </c>
      <c r="E76" s="115" t="s">
        <v>79</v>
      </c>
      <c r="F76" s="115"/>
      <c r="G76" s="115"/>
      <c r="H76" s="115"/>
      <c r="I76" s="115"/>
      <c r="J76" s="115" t="e" cm="1">
        <f t="array" ref="J76">MAX(_xlfn.XLOOKUP(D76,Table5[Driver],'Race Results'!$E$3:$E$22),_xlfn.XLOOKUP(E76,Table5[Driver],'Race Results'!$E$3:$E$22)*0.5)</f>
        <v>#N/A</v>
      </c>
    </row>
    <row r="77" spans="1:10" x14ac:dyDescent="0.3">
      <c r="A77" s="114" t="s">
        <v>404</v>
      </c>
      <c r="B77" s="115" t="s">
        <v>49</v>
      </c>
      <c r="C77" s="115" t="s">
        <v>25</v>
      </c>
      <c r="D77" s="115" t="s">
        <v>75</v>
      </c>
      <c r="E77" s="115" t="s">
        <v>79</v>
      </c>
      <c r="F77" s="115"/>
      <c r="G77" s="115"/>
      <c r="H77" s="115"/>
      <c r="I77" s="115"/>
      <c r="J77" s="115" t="e" cm="1">
        <f t="array" ref="J77">MAX(_xlfn.XLOOKUP(D77,Table5[Driver],'Race Results'!$E$3:$E$22),_xlfn.XLOOKUP(E77,Table5[Driver],'Race Results'!$E$3:$E$22)*0.5)</f>
        <v>#N/A</v>
      </c>
    </row>
    <row r="78" spans="1:10" x14ac:dyDescent="0.3">
      <c r="A78" s="114" t="s">
        <v>405</v>
      </c>
      <c r="B78" s="115" t="s">
        <v>68</v>
      </c>
      <c r="C78" s="115" t="s">
        <v>25</v>
      </c>
      <c r="D78" s="115" t="s">
        <v>79</v>
      </c>
      <c r="E78" s="115" t="s">
        <v>80</v>
      </c>
      <c r="F78" s="115"/>
      <c r="G78" s="115"/>
      <c r="H78" s="115"/>
      <c r="I78" s="115"/>
      <c r="J78" s="115" t="e" cm="1">
        <f t="array" ref="J78">MAX(_xlfn.XLOOKUP(D78,Table5[Driver],'Race Results'!$E$3:$E$22),_xlfn.XLOOKUP(E78,Table5[Driver],'Race Results'!$E$3:$E$22)*0.5)</f>
        <v>#N/A</v>
      </c>
    </row>
    <row r="79" spans="1:10" x14ac:dyDescent="0.3">
      <c r="A79" s="114" t="s">
        <v>406</v>
      </c>
      <c r="B79" s="115" t="s">
        <v>59</v>
      </c>
      <c r="C79" s="115" t="s">
        <v>25</v>
      </c>
      <c r="D79" s="115" t="s">
        <v>85</v>
      </c>
      <c r="E79" s="115" t="s">
        <v>77</v>
      </c>
      <c r="F79" s="115"/>
      <c r="G79" s="115"/>
      <c r="H79" s="115"/>
      <c r="I79" s="115"/>
      <c r="J79" s="115" t="e" cm="1">
        <f t="array" ref="J79">MAX(_xlfn.XLOOKUP(D79,Table5[Driver],'Race Results'!$E$3:$E$22),_xlfn.XLOOKUP(E79,Table5[Driver],'Race Results'!$E$3:$E$22)*0.5)</f>
        <v>#N/A</v>
      </c>
    </row>
    <row r="80" spans="1:10" x14ac:dyDescent="0.3">
      <c r="A80" s="114" t="s">
        <v>407</v>
      </c>
      <c r="B80" s="115" t="s">
        <v>51</v>
      </c>
      <c r="C80" s="115" t="s">
        <v>25</v>
      </c>
      <c r="D80" s="115" t="s">
        <v>77</v>
      </c>
      <c r="E80" s="115" t="s">
        <v>79</v>
      </c>
      <c r="F80" s="115"/>
      <c r="G80" s="115"/>
      <c r="H80" s="115"/>
      <c r="I80" s="115"/>
      <c r="J80" s="115" t="e" cm="1">
        <f t="array" ref="J80">MAX(_xlfn.XLOOKUP(D80,Table5[Driver],'Race Results'!$E$3:$E$22),_xlfn.XLOOKUP(E80,Table5[Driver],'Race Results'!$E$3:$E$22)*0.5)</f>
        <v>#N/A</v>
      </c>
    </row>
    <row r="81" spans="1:10" x14ac:dyDescent="0.3">
      <c r="A81" s="114" t="s">
        <v>408</v>
      </c>
      <c r="B81" s="115" t="s">
        <v>63</v>
      </c>
      <c r="C81" s="115" t="s">
        <v>25</v>
      </c>
      <c r="D81" s="115" t="s">
        <v>77</v>
      </c>
      <c r="E81" s="115" t="s">
        <v>85</v>
      </c>
      <c r="F81" s="115"/>
      <c r="G81" s="115"/>
      <c r="H81" s="115"/>
      <c r="I81" s="115"/>
      <c r="J81" s="115" t="e" cm="1">
        <f t="array" ref="J81">MAX(_xlfn.XLOOKUP(D81,Table5[Driver],'Race Results'!$E$3:$E$22),_xlfn.XLOOKUP(E81,Table5[Driver],'Race Results'!$E$3:$E$22)*0.5)</f>
        <v>#N/A</v>
      </c>
    </row>
    <row r="82" spans="1:10" x14ac:dyDescent="0.3">
      <c r="A82" s="114" t="s">
        <v>409</v>
      </c>
      <c r="B82" s="115" t="s">
        <v>50</v>
      </c>
      <c r="C82" s="115" t="s">
        <v>25</v>
      </c>
      <c r="D82" s="115" t="s">
        <v>79</v>
      </c>
      <c r="E82" s="115" t="s">
        <v>77</v>
      </c>
      <c r="F82" s="115"/>
      <c r="G82" s="115"/>
      <c r="H82" s="115"/>
      <c r="I82" s="115"/>
      <c r="J82" s="115" t="e" cm="1">
        <f t="array" ref="J82">MAX(_xlfn.XLOOKUP(D82,Table5[Driver],'Race Results'!$E$3:$E$22),_xlfn.XLOOKUP(E82,Table5[Driver],'Race Results'!$E$3:$E$22)*0.5)</f>
        <v>#N/A</v>
      </c>
    </row>
    <row r="83" spans="1:10" x14ac:dyDescent="0.3">
      <c r="A83" s="114" t="s">
        <v>410</v>
      </c>
      <c r="B83" s="115" t="s">
        <v>57</v>
      </c>
      <c r="C83" s="115" t="s">
        <v>25</v>
      </c>
      <c r="D83" s="115" t="s">
        <v>77</v>
      </c>
      <c r="E83" s="115" t="s">
        <v>85</v>
      </c>
      <c r="F83" s="115"/>
      <c r="G83" s="115"/>
      <c r="H83" s="115"/>
      <c r="I83" s="115"/>
      <c r="J83" s="115" t="e" cm="1">
        <f t="array" ref="J83">MAX(_xlfn.XLOOKUP(D83,Table5[Driver],'Race Results'!$E$3:$E$22),_xlfn.XLOOKUP(E83,Table5[Driver],'Race Results'!$E$3:$E$22)*0.5)</f>
        <v>#N/A</v>
      </c>
    </row>
    <row r="84" spans="1:10" x14ac:dyDescent="0.3">
      <c r="A84" s="114" t="s">
        <v>411</v>
      </c>
      <c r="B84" s="115" t="s">
        <v>67</v>
      </c>
      <c r="C84" s="115" t="s">
        <v>25</v>
      </c>
      <c r="D84" s="115" t="s">
        <v>75</v>
      </c>
      <c r="E84" s="115" t="s">
        <v>77</v>
      </c>
      <c r="F84" s="115"/>
      <c r="G84" s="115"/>
      <c r="H84" s="115"/>
      <c r="I84" s="115"/>
      <c r="J84" s="115" t="e" cm="1">
        <f t="array" ref="J84">MAX(_xlfn.XLOOKUP(D84,Table5[Driver],'Race Results'!$E$3:$E$22),_xlfn.XLOOKUP(E84,Table5[Driver],'Race Results'!$E$3:$E$22)*0.5)</f>
        <v>#N/A</v>
      </c>
    </row>
    <row r="85" spans="1:10" x14ac:dyDescent="0.3">
      <c r="A85" s="114" t="s">
        <v>412</v>
      </c>
      <c r="B85" s="115" t="s">
        <v>46</v>
      </c>
      <c r="C85" s="115" t="s">
        <v>25</v>
      </c>
      <c r="D85" s="115" t="s">
        <v>79</v>
      </c>
      <c r="E85" s="115" t="s">
        <v>75</v>
      </c>
      <c r="F85" s="115"/>
      <c r="G85" s="115"/>
      <c r="H85" s="115"/>
      <c r="I85" s="115"/>
      <c r="J85" s="115" t="e" cm="1">
        <f t="array" ref="J85">MAX(_xlfn.XLOOKUP(D85,Table5[Driver],'Race Results'!$E$3:$E$22),_xlfn.XLOOKUP(E85,Table5[Driver],'Race Results'!$E$3:$E$22)*0.5)</f>
        <v>#N/A</v>
      </c>
    </row>
    <row r="86" spans="1:10" x14ac:dyDescent="0.3">
      <c r="A86" s="114" t="s">
        <v>413</v>
      </c>
      <c r="B86" s="115" t="s">
        <v>52</v>
      </c>
      <c r="C86" s="115" t="s">
        <v>25</v>
      </c>
      <c r="D86" s="115" t="s">
        <v>85</v>
      </c>
      <c r="E86" s="115" t="s">
        <v>84</v>
      </c>
      <c r="F86" s="115"/>
      <c r="G86" s="115"/>
      <c r="H86" s="115"/>
      <c r="I86" s="115"/>
      <c r="J86" s="115" t="e" cm="1">
        <f t="array" ref="J86">MAX(_xlfn.XLOOKUP(D86,Table5[Driver],'Race Results'!$E$3:$E$22),_xlfn.XLOOKUP(E86,Table5[Driver],'Race Results'!$E$3:$E$22)*0.5)</f>
        <v>#N/A</v>
      </c>
    </row>
    <row r="87" spans="1:10" x14ac:dyDescent="0.3">
      <c r="A87" s="114" t="s">
        <v>414</v>
      </c>
      <c r="B87" s="115" t="s">
        <v>48</v>
      </c>
      <c r="C87" s="115" t="s">
        <v>25</v>
      </c>
      <c r="D87" s="115" t="s">
        <v>90</v>
      </c>
      <c r="E87" s="115" t="s">
        <v>77</v>
      </c>
      <c r="F87" s="115"/>
      <c r="G87" s="115"/>
      <c r="H87" s="115"/>
      <c r="I87" s="115"/>
      <c r="J87" s="115" t="e" cm="1">
        <f t="array" ref="J87">MAX(_xlfn.XLOOKUP(D87,Table5[Driver],'Race Results'!$E$3:$E$22),_xlfn.XLOOKUP(E87,Table5[Driver],'Race Results'!$E$3:$E$22)*0.5)</f>
        <v>#N/A</v>
      </c>
    </row>
    <row r="88" spans="1:10" x14ac:dyDescent="0.3">
      <c r="A88" s="114" t="s">
        <v>415</v>
      </c>
      <c r="B88" s="115" t="s">
        <v>54</v>
      </c>
      <c r="C88" s="115" t="s">
        <v>25</v>
      </c>
      <c r="D88" s="115" t="s">
        <v>86</v>
      </c>
      <c r="E88" s="115" t="s">
        <v>90</v>
      </c>
      <c r="F88" s="115"/>
      <c r="G88" s="115"/>
      <c r="H88" s="115"/>
      <c r="I88" s="115"/>
      <c r="J88" s="115" t="e" cm="1">
        <f t="array" ref="J88">MAX(_xlfn.XLOOKUP(D88,Table5[Driver],'Race Results'!$E$3:$E$22),_xlfn.XLOOKUP(E88,Table5[Driver],'Race Results'!$E$3:$E$22)*0.5)</f>
        <v>#N/A</v>
      </c>
    </row>
    <row r="89" spans="1:10" x14ac:dyDescent="0.3">
      <c r="A89" s="114" t="s">
        <v>416</v>
      </c>
      <c r="B89" s="115" t="s">
        <v>56</v>
      </c>
      <c r="C89" s="115" t="s">
        <v>25</v>
      </c>
      <c r="D89" s="115" t="s">
        <v>90</v>
      </c>
      <c r="E89" s="115" t="s">
        <v>77</v>
      </c>
      <c r="F89" s="115"/>
      <c r="G89" s="115"/>
      <c r="H89" s="115"/>
      <c r="I89" s="115"/>
      <c r="J89" s="115" t="e" cm="1">
        <f t="array" ref="J89">MAX(_xlfn.XLOOKUP(D89,Table5[Driver],'Race Results'!$E$3:$E$22),_xlfn.XLOOKUP(E89,Table5[Driver],'Race Results'!$E$3:$E$22)*0.5)</f>
        <v>#N/A</v>
      </c>
    </row>
    <row r="90" spans="1:10" x14ac:dyDescent="0.3">
      <c r="A90" s="114" t="s">
        <v>417</v>
      </c>
      <c r="B90" s="115" t="s">
        <v>62</v>
      </c>
      <c r="C90" s="115" t="s">
        <v>25</v>
      </c>
      <c r="D90" s="115" t="s">
        <v>84</v>
      </c>
      <c r="E90" s="115" t="s">
        <v>82</v>
      </c>
      <c r="F90" s="115"/>
      <c r="G90" s="115"/>
      <c r="H90" s="115"/>
      <c r="I90" s="115"/>
      <c r="J90" s="115" t="e" cm="1">
        <f t="array" ref="J90">MAX(_xlfn.XLOOKUP(D90,Table5[Driver],'Race Results'!$E$3:$E$22),_xlfn.XLOOKUP(E90,Table5[Driver],'Race Results'!$E$3:$E$22)*0.5)</f>
        <v>#N/A</v>
      </c>
    </row>
    <row r="91" spans="1:10" x14ac:dyDescent="0.3">
      <c r="A91" s="114" t="s">
        <v>418</v>
      </c>
      <c r="B91" s="115" t="s">
        <v>55</v>
      </c>
      <c r="C91" s="115" t="s">
        <v>25</v>
      </c>
      <c r="D91" s="115" t="s">
        <v>79</v>
      </c>
      <c r="E91" s="115" t="s">
        <v>77</v>
      </c>
      <c r="F91" s="115"/>
      <c r="G91" s="115"/>
      <c r="H91" s="115"/>
      <c r="I91" s="115"/>
      <c r="J91" s="115" t="e" cm="1">
        <f t="array" ref="J91">MAX(_xlfn.XLOOKUP(D91,Table5[Driver],'Race Results'!$E$3:$E$22),_xlfn.XLOOKUP(E91,Table5[Driver],'Race Results'!$E$3:$E$22)*0.5)</f>
        <v>#N/A</v>
      </c>
    </row>
    <row r="92" spans="1:10" x14ac:dyDescent="0.3">
      <c r="A92" s="114" t="s">
        <v>419</v>
      </c>
      <c r="B92" s="115" t="s">
        <v>45</v>
      </c>
      <c r="C92" s="115" t="s">
        <v>25</v>
      </c>
      <c r="D92" s="115" t="s">
        <v>85</v>
      </c>
      <c r="E92" s="115" t="s">
        <v>89</v>
      </c>
      <c r="F92" s="115"/>
      <c r="G92" s="115"/>
      <c r="H92" s="115"/>
      <c r="I92" s="115"/>
      <c r="J92" s="115" t="e" cm="1">
        <f t="array" ref="J92">MAX(_xlfn.XLOOKUP(D92,Table5[Driver],'Race Results'!$E$3:$E$22),_xlfn.XLOOKUP(E92,Table5[Driver],'Race Results'!$E$3:$E$22)*0.5)</f>
        <v>#N/A</v>
      </c>
    </row>
    <row r="93" spans="1:10" x14ac:dyDescent="0.3">
      <c r="A93" s="114" t="s">
        <v>420</v>
      </c>
      <c r="B93" s="115" t="s">
        <v>58</v>
      </c>
      <c r="C93" s="115" t="s">
        <v>25</v>
      </c>
      <c r="D93" s="115" t="s">
        <v>80</v>
      </c>
      <c r="E93" s="115" t="s">
        <v>77</v>
      </c>
      <c r="F93" s="115"/>
      <c r="G93" s="115"/>
      <c r="H93" s="115"/>
      <c r="I93" s="115"/>
      <c r="J93" s="115" t="e" cm="1">
        <f t="array" ref="J93">MAX(_xlfn.XLOOKUP(D93,Table5[Driver],'Race Results'!$E$3:$E$22),_xlfn.XLOOKUP(E93,Table5[Driver],'Race Results'!$E$3:$E$22)*0.5)</f>
        <v>#N/A</v>
      </c>
    </row>
    <row r="94" spans="1:10" x14ac:dyDescent="0.3">
      <c r="A94" s="114" t="s">
        <v>421</v>
      </c>
      <c r="B94" s="115" t="s">
        <v>47</v>
      </c>
      <c r="C94" s="115" t="s">
        <v>25</v>
      </c>
      <c r="D94" s="115" t="s">
        <v>77</v>
      </c>
      <c r="E94" s="115" t="s">
        <v>90</v>
      </c>
      <c r="F94" s="115"/>
      <c r="G94" s="115"/>
      <c r="H94" s="115"/>
      <c r="I94" s="115"/>
      <c r="J94" s="115" t="e" cm="1">
        <f t="array" ref="J94">MAX(_xlfn.XLOOKUP(D94,Table5[Driver],'Race Results'!$E$3:$E$22),_xlfn.XLOOKUP(E94,Table5[Driver],'Race Results'!$E$3:$E$22)*0.5)</f>
        <v>#N/A</v>
      </c>
    </row>
    <row r="95" spans="1:10" x14ac:dyDescent="0.3">
      <c r="A95" s="114" t="s">
        <v>422</v>
      </c>
      <c r="B95" s="115" t="s">
        <v>65</v>
      </c>
      <c r="C95" s="115" t="s">
        <v>25</v>
      </c>
      <c r="D95" s="115" t="s">
        <v>79</v>
      </c>
      <c r="E95" s="115" t="s">
        <v>85</v>
      </c>
      <c r="F95" s="115"/>
      <c r="G95" s="115"/>
      <c r="H95" s="115"/>
      <c r="I95" s="115"/>
      <c r="J95" s="115" t="e" cm="1">
        <f t="array" ref="J95">MAX(_xlfn.XLOOKUP(D95,Table5[Driver],'Race Results'!$E$3:$E$22),_xlfn.XLOOKUP(E95,Table5[Driver],'Race Results'!$E$3:$E$22)*0.5)</f>
        <v>#N/A</v>
      </c>
    </row>
    <row r="96" spans="1:10" x14ac:dyDescent="0.3">
      <c r="A96" s="114" t="s">
        <v>423</v>
      </c>
      <c r="B96" s="115" t="s">
        <v>69</v>
      </c>
      <c r="C96" s="115" t="s">
        <v>25</v>
      </c>
      <c r="D96" s="115" t="s">
        <v>80</v>
      </c>
      <c r="E96" s="115" t="s">
        <v>89</v>
      </c>
      <c r="F96" s="115"/>
      <c r="G96" s="115"/>
      <c r="H96" s="115"/>
      <c r="I96" s="115"/>
      <c r="J96" s="115" t="e" cm="1">
        <f t="array" ref="J96">MAX(_xlfn.XLOOKUP(D96,Table5[Driver],'Race Results'!$E$3:$E$22),_xlfn.XLOOKUP(E96,Table5[Driver],'Race Results'!$E$3:$E$22)*0.5)</f>
        <v>#N/A</v>
      </c>
    </row>
    <row r="97" spans="1:10" x14ac:dyDescent="0.3">
      <c r="A97" s="114" t="s">
        <v>424</v>
      </c>
      <c r="B97" s="115" t="s">
        <v>44</v>
      </c>
      <c r="C97" s="115" t="s">
        <v>25</v>
      </c>
      <c r="D97" s="115" t="s">
        <v>75</v>
      </c>
      <c r="E97" s="115" t="s">
        <v>84</v>
      </c>
      <c r="F97" s="115"/>
      <c r="G97" s="115"/>
      <c r="H97" s="115"/>
      <c r="I97" s="115"/>
      <c r="J97" s="115" t="e" cm="1">
        <f t="array" ref="J97">MAX(_xlfn.XLOOKUP(D97,Table5[Driver],'Race Results'!$E$3:$E$22),_xlfn.XLOOKUP(E97,Table5[Driver],'Race Results'!$E$3:$E$22)*0.5)</f>
        <v>#N/A</v>
      </c>
    </row>
    <row r="98" spans="1:10" x14ac:dyDescent="0.3">
      <c r="A98" s="114" t="s">
        <v>425</v>
      </c>
      <c r="B98" s="115" t="s">
        <v>53</v>
      </c>
      <c r="C98" s="115" t="s">
        <v>25</v>
      </c>
      <c r="D98" s="115" t="s">
        <v>77</v>
      </c>
      <c r="E98" s="115" t="s">
        <v>85</v>
      </c>
      <c r="F98" s="115"/>
      <c r="G98" s="115"/>
      <c r="H98" s="115"/>
      <c r="I98" s="115"/>
      <c r="J98" s="115" t="e" cm="1">
        <f t="array" ref="J98">MAX(_xlfn.XLOOKUP(D98,Table5[Driver],'Race Results'!$E$3:$E$22),_xlfn.XLOOKUP(E98,Table5[Driver],'Race Results'!$E$3:$E$22)*0.5)</f>
        <v>#N/A</v>
      </c>
    </row>
    <row r="99" spans="1:10" x14ac:dyDescent="0.3">
      <c r="A99" s="114" t="s">
        <v>426</v>
      </c>
      <c r="B99" s="115" t="s">
        <v>61</v>
      </c>
      <c r="C99" s="115" t="s">
        <v>25</v>
      </c>
      <c r="D99" s="115" t="s">
        <v>79</v>
      </c>
      <c r="E99" s="115" t="s">
        <v>82</v>
      </c>
      <c r="F99" s="115"/>
      <c r="G99" s="115"/>
      <c r="H99" s="115"/>
      <c r="I99" s="115"/>
      <c r="J99" s="115" t="e" cm="1">
        <f t="array" ref="J99">MAX(_xlfn.XLOOKUP(D99,Table5[Driver],'Race Results'!$E$3:$E$22),_xlfn.XLOOKUP(E99,Table5[Driver],'Race Results'!$E$3:$E$22)*0.5)</f>
        <v>#N/A</v>
      </c>
    </row>
    <row r="100" spans="1:10" x14ac:dyDescent="0.3">
      <c r="A100" s="114" t="s">
        <v>427</v>
      </c>
      <c r="B100" s="115" t="s">
        <v>60</v>
      </c>
      <c r="C100" s="115" t="s">
        <v>25</v>
      </c>
      <c r="D100" s="115" t="s">
        <v>80</v>
      </c>
      <c r="E100" s="115" t="s">
        <v>77</v>
      </c>
      <c r="F100" s="115"/>
      <c r="G100" s="115"/>
      <c r="H100" s="115"/>
      <c r="I100" s="115"/>
      <c r="J100" s="115" t="e" cm="1">
        <f t="array" ref="J100">MAX(_xlfn.XLOOKUP(D100,Table5[Driver],'Race Results'!$E$3:$E$22),_xlfn.XLOOKUP(E100,Table5[Driver],'Race Results'!$E$3:$E$22)*0.5)</f>
        <v>#N/A</v>
      </c>
    </row>
    <row r="101" spans="1:10" x14ac:dyDescent="0.3">
      <c r="A101" s="114" t="s">
        <v>428</v>
      </c>
      <c r="B101" s="115" t="s">
        <v>55</v>
      </c>
      <c r="C101" s="115" t="s">
        <v>27</v>
      </c>
      <c r="D101" s="115" t="s">
        <v>86</v>
      </c>
      <c r="E101" s="115" t="s">
        <v>91</v>
      </c>
      <c r="F101" s="115"/>
      <c r="G101" s="115"/>
      <c r="H101" s="115"/>
      <c r="I101" s="115"/>
      <c r="J101" s="115" t="e" cm="1">
        <f t="array" ref="J101">MAX(_xlfn.XLOOKUP(D101,Table5[Driver],'Race Results'!$E$3:$E$22),_xlfn.XLOOKUP(E101,Table5[Driver],'Race Results'!$E$3:$E$22)*0.5)</f>
        <v>#N/A</v>
      </c>
    </row>
    <row r="102" spans="1:10" x14ac:dyDescent="0.3">
      <c r="A102" s="114" t="s">
        <v>429</v>
      </c>
      <c r="B102" s="115" t="s">
        <v>46</v>
      </c>
      <c r="C102" s="115" t="s">
        <v>27</v>
      </c>
      <c r="D102" s="115" t="s">
        <v>81</v>
      </c>
      <c r="E102" s="115" t="s">
        <v>75</v>
      </c>
      <c r="F102" s="115"/>
      <c r="G102" s="115"/>
      <c r="H102" s="115"/>
      <c r="I102" s="115"/>
      <c r="J102" s="115" t="e" cm="1">
        <f t="array" ref="J102">MAX(_xlfn.XLOOKUP(D102,Table5[Driver],'Race Results'!$E$3:$E$22),_xlfn.XLOOKUP(E102,Table5[Driver],'Race Results'!$E$3:$E$22)*0.5)</f>
        <v>#N/A</v>
      </c>
    </row>
    <row r="103" spans="1:10" x14ac:dyDescent="0.3">
      <c r="A103" s="114" t="s">
        <v>430</v>
      </c>
      <c r="B103" s="115" t="s">
        <v>52</v>
      </c>
      <c r="C103" s="115" t="s">
        <v>27</v>
      </c>
      <c r="D103" s="115" t="s">
        <v>81</v>
      </c>
      <c r="E103" s="115" t="s">
        <v>82</v>
      </c>
      <c r="F103" s="115"/>
      <c r="G103" s="115"/>
      <c r="H103" s="115"/>
      <c r="I103" s="115"/>
      <c r="J103" s="115" t="e" cm="1">
        <f t="array" ref="J103">MAX(_xlfn.XLOOKUP(D103,Table5[Driver],'Race Results'!$E$3:$E$22),_xlfn.XLOOKUP(E103,Table5[Driver],'Race Results'!$E$3:$E$22)*0.5)</f>
        <v>#N/A</v>
      </c>
    </row>
    <row r="104" spans="1:10" x14ac:dyDescent="0.3">
      <c r="A104" s="114" t="s">
        <v>431</v>
      </c>
      <c r="B104" s="115" t="s">
        <v>48</v>
      </c>
      <c r="C104" s="115" t="s">
        <v>27</v>
      </c>
      <c r="D104" s="115" t="s">
        <v>91</v>
      </c>
      <c r="E104" s="115" t="s">
        <v>78</v>
      </c>
      <c r="F104" s="115"/>
      <c r="G104" s="115"/>
      <c r="H104" s="115"/>
      <c r="I104" s="115"/>
      <c r="J104" s="115" t="e" cm="1">
        <f t="array" ref="J104">MAX(_xlfn.XLOOKUP(D104,Table5[Driver],'Race Results'!$E$3:$E$22),_xlfn.XLOOKUP(E104,Table5[Driver],'Race Results'!$E$3:$E$22)*0.5)</f>
        <v>#N/A</v>
      </c>
    </row>
    <row r="105" spans="1:10" x14ac:dyDescent="0.3">
      <c r="A105" s="114" t="s">
        <v>432</v>
      </c>
      <c r="B105" s="115" t="s">
        <v>45</v>
      </c>
      <c r="C105" s="115" t="s">
        <v>27</v>
      </c>
      <c r="D105" s="115" t="s">
        <v>91</v>
      </c>
      <c r="E105" s="115" t="s">
        <v>86</v>
      </c>
      <c r="F105" s="115"/>
      <c r="G105" s="115"/>
      <c r="H105" s="115"/>
      <c r="I105" s="115"/>
      <c r="J105" s="115" t="e" cm="1">
        <f t="array" ref="J105">MAX(_xlfn.XLOOKUP(D105,Table5[Driver],'Race Results'!$E$3:$E$22),_xlfn.XLOOKUP(E105,Table5[Driver],'Race Results'!$E$3:$E$22)*0.5)</f>
        <v>#N/A</v>
      </c>
    </row>
    <row r="106" spans="1:10" x14ac:dyDescent="0.3">
      <c r="A106" s="114" t="s">
        <v>433</v>
      </c>
      <c r="B106" s="115" t="s">
        <v>51</v>
      </c>
      <c r="C106" s="115" t="s">
        <v>27</v>
      </c>
      <c r="D106" s="115" t="s">
        <v>86</v>
      </c>
      <c r="E106" s="115" t="s">
        <v>81</v>
      </c>
      <c r="F106" s="115"/>
      <c r="G106" s="115"/>
      <c r="H106" s="115"/>
      <c r="I106" s="115"/>
      <c r="J106" s="115" t="e" cm="1">
        <f t="array" ref="J106">MAX(_xlfn.XLOOKUP(D106,Table5[Driver],'Race Results'!$E$3:$E$22),_xlfn.XLOOKUP(E106,Table5[Driver],'Race Results'!$E$3:$E$22)*0.5)</f>
        <v>#N/A</v>
      </c>
    </row>
    <row r="107" spans="1:10" x14ac:dyDescent="0.3">
      <c r="A107" s="114" t="s">
        <v>434</v>
      </c>
      <c r="B107" s="115" t="s">
        <v>49</v>
      </c>
      <c r="C107" s="115" t="s">
        <v>27</v>
      </c>
      <c r="D107" s="115" t="s">
        <v>81</v>
      </c>
      <c r="E107" s="115" t="s">
        <v>78</v>
      </c>
      <c r="F107" s="115"/>
      <c r="G107" s="115"/>
      <c r="H107" s="115"/>
      <c r="I107" s="115"/>
      <c r="J107" s="115" t="e" cm="1">
        <f t="array" ref="J107">MAX(_xlfn.XLOOKUP(D107,Table5[Driver],'Race Results'!$E$3:$E$22),_xlfn.XLOOKUP(E107,Table5[Driver],'Race Results'!$E$3:$E$22)*0.5)</f>
        <v>#N/A</v>
      </c>
    </row>
    <row r="108" spans="1:10" x14ac:dyDescent="0.3">
      <c r="A108" s="114" t="s">
        <v>435</v>
      </c>
      <c r="B108" s="115" t="s">
        <v>64</v>
      </c>
      <c r="C108" s="115" t="s">
        <v>27</v>
      </c>
      <c r="D108" s="115" t="s">
        <v>81</v>
      </c>
      <c r="E108" s="115" t="s">
        <v>75</v>
      </c>
      <c r="F108" s="115"/>
      <c r="G108" s="115"/>
      <c r="H108" s="115"/>
      <c r="I108" s="115"/>
      <c r="J108" s="115" t="e" cm="1">
        <f t="array" ref="J108">MAX(_xlfn.XLOOKUP(D108,Table5[Driver],'Race Results'!$E$3:$E$22),_xlfn.XLOOKUP(E108,Table5[Driver],'Race Results'!$E$3:$E$22)*0.5)</f>
        <v>#N/A</v>
      </c>
    </row>
    <row r="109" spans="1:10" x14ac:dyDescent="0.3">
      <c r="A109" s="114" t="s">
        <v>436</v>
      </c>
      <c r="B109" s="115" t="s">
        <v>68</v>
      </c>
      <c r="C109" s="115" t="s">
        <v>27</v>
      </c>
      <c r="D109" s="115" t="s">
        <v>86</v>
      </c>
      <c r="E109" s="115" t="s">
        <v>91</v>
      </c>
      <c r="F109" s="115"/>
      <c r="G109" s="115"/>
      <c r="H109" s="115"/>
      <c r="I109" s="115"/>
      <c r="J109" s="115" t="e" cm="1">
        <f t="array" ref="J109">MAX(_xlfn.XLOOKUP(D109,Table5[Driver],'Race Results'!$E$3:$E$22),_xlfn.XLOOKUP(E109,Table5[Driver],'Race Results'!$E$3:$E$22)*0.5)</f>
        <v>#N/A</v>
      </c>
    </row>
    <row r="110" spans="1:10" x14ac:dyDescent="0.3">
      <c r="A110" s="114" t="s">
        <v>437</v>
      </c>
      <c r="B110" s="115" t="s">
        <v>59</v>
      </c>
      <c r="C110" s="115" t="s">
        <v>27</v>
      </c>
      <c r="D110" s="115" t="s">
        <v>81</v>
      </c>
      <c r="E110" s="115" t="s">
        <v>91</v>
      </c>
      <c r="F110" s="115"/>
      <c r="G110" s="115"/>
      <c r="H110" s="115"/>
      <c r="I110" s="115"/>
      <c r="J110" s="115" t="e" cm="1">
        <f t="array" ref="J110">MAX(_xlfn.XLOOKUP(D110,Table5[Driver],'Race Results'!$E$3:$E$22),_xlfn.XLOOKUP(E110,Table5[Driver],'Race Results'!$E$3:$E$22)*0.5)</f>
        <v>#N/A</v>
      </c>
    </row>
    <row r="111" spans="1:10" x14ac:dyDescent="0.3">
      <c r="A111" s="114" t="s">
        <v>438</v>
      </c>
      <c r="B111" s="115" t="s">
        <v>50</v>
      </c>
      <c r="C111" s="115" t="s">
        <v>27</v>
      </c>
      <c r="D111" s="115" t="s">
        <v>92</v>
      </c>
      <c r="E111" s="115" t="s">
        <v>90</v>
      </c>
      <c r="F111" s="115"/>
      <c r="G111" s="115"/>
      <c r="H111" s="115"/>
      <c r="I111" s="115"/>
      <c r="J111" s="115" t="e" cm="1">
        <f t="array" ref="J111">MAX(_xlfn.XLOOKUP(D111,Table5[Driver],'Race Results'!$E$3:$E$22),_xlfn.XLOOKUP(E111,Table5[Driver],'Race Results'!$E$3:$E$22)*0.5)</f>
        <v>#N/A</v>
      </c>
    </row>
    <row r="112" spans="1:10" x14ac:dyDescent="0.3">
      <c r="A112" s="114" t="s">
        <v>439</v>
      </c>
      <c r="B112" s="115" t="s">
        <v>63</v>
      </c>
      <c r="C112" s="115" t="s">
        <v>27</v>
      </c>
      <c r="D112" s="115" t="s">
        <v>79</v>
      </c>
      <c r="E112" s="115" t="s">
        <v>75</v>
      </c>
      <c r="F112" s="115"/>
      <c r="G112" s="115"/>
      <c r="H112" s="115"/>
      <c r="I112" s="115"/>
      <c r="J112" s="115" t="e" cm="1">
        <f t="array" ref="J112">MAX(_xlfn.XLOOKUP(D112,Table5[Driver],'Race Results'!$E$3:$E$22),_xlfn.XLOOKUP(E112,Table5[Driver],'Race Results'!$E$3:$E$22)*0.5)</f>
        <v>#N/A</v>
      </c>
    </row>
    <row r="113" spans="1:10" x14ac:dyDescent="0.3">
      <c r="A113" s="114" t="s">
        <v>440</v>
      </c>
      <c r="B113" s="115" t="s">
        <v>44</v>
      </c>
      <c r="C113" s="115" t="s">
        <v>27</v>
      </c>
      <c r="D113" s="115" t="s">
        <v>78</v>
      </c>
      <c r="E113" s="115" t="s">
        <v>81</v>
      </c>
      <c r="F113" s="115"/>
      <c r="G113" s="115"/>
      <c r="H113" s="115"/>
      <c r="I113" s="115"/>
      <c r="J113" s="115" t="e" cm="1">
        <f t="array" ref="J113">MAX(_xlfn.XLOOKUP(D113,Table5[Driver],'Race Results'!$E$3:$E$22),_xlfn.XLOOKUP(E113,Table5[Driver],'Race Results'!$E$3:$E$22)*0.5)</f>
        <v>#N/A</v>
      </c>
    </row>
    <row r="114" spans="1:10" x14ac:dyDescent="0.3">
      <c r="A114" s="114" t="s">
        <v>441</v>
      </c>
      <c r="B114" s="115" t="s">
        <v>66</v>
      </c>
      <c r="C114" s="115" t="s">
        <v>27</v>
      </c>
      <c r="D114" s="115" t="s">
        <v>78</v>
      </c>
      <c r="E114" s="115" t="s">
        <v>75</v>
      </c>
      <c r="F114" s="115"/>
      <c r="G114" s="115"/>
      <c r="H114" s="115"/>
      <c r="I114" s="115"/>
      <c r="J114" s="115" t="e" cm="1">
        <f t="array" ref="J114">MAX(_xlfn.XLOOKUP(D114,Table5[Driver],'Race Results'!$E$3:$E$22),_xlfn.XLOOKUP(E114,Table5[Driver],'Race Results'!$E$3:$E$22)*0.5)</f>
        <v>#N/A</v>
      </c>
    </row>
    <row r="115" spans="1:10" x14ac:dyDescent="0.3">
      <c r="A115" s="114" t="s">
        <v>442</v>
      </c>
      <c r="B115" s="115" t="s">
        <v>54</v>
      </c>
      <c r="C115" s="115" t="s">
        <v>27</v>
      </c>
      <c r="D115" s="115" t="s">
        <v>81</v>
      </c>
      <c r="E115" s="115" t="s">
        <v>85</v>
      </c>
      <c r="F115" s="115"/>
      <c r="G115" s="115"/>
      <c r="H115" s="115"/>
      <c r="I115" s="115"/>
      <c r="J115" s="115" t="e" cm="1">
        <f t="array" ref="J115">MAX(_xlfn.XLOOKUP(D115,Table5[Driver],'Race Results'!$E$3:$E$22),_xlfn.XLOOKUP(E115,Table5[Driver],'Race Results'!$E$3:$E$22)*0.5)</f>
        <v>#N/A</v>
      </c>
    </row>
    <row r="116" spans="1:10" x14ac:dyDescent="0.3">
      <c r="A116" s="114" t="s">
        <v>443</v>
      </c>
      <c r="B116" s="115" t="s">
        <v>56</v>
      </c>
      <c r="C116" s="115" t="s">
        <v>27</v>
      </c>
      <c r="D116" s="115" t="s">
        <v>85</v>
      </c>
      <c r="E116" s="115" t="s">
        <v>81</v>
      </c>
      <c r="F116" s="115"/>
      <c r="G116" s="115"/>
      <c r="H116" s="115"/>
      <c r="I116" s="115"/>
      <c r="J116" s="115" t="e" cm="1">
        <f t="array" ref="J116">MAX(_xlfn.XLOOKUP(D116,Table5[Driver],'Race Results'!$E$3:$E$22),_xlfn.XLOOKUP(E116,Table5[Driver],'Race Results'!$E$3:$E$22)*0.5)</f>
        <v>#N/A</v>
      </c>
    </row>
    <row r="117" spans="1:10" x14ac:dyDescent="0.3">
      <c r="A117" s="114" t="s">
        <v>444</v>
      </c>
      <c r="B117" s="115" t="s">
        <v>60</v>
      </c>
      <c r="C117" s="115" t="s">
        <v>27</v>
      </c>
      <c r="D117" s="115" t="s">
        <v>81</v>
      </c>
      <c r="E117" s="115" t="s">
        <v>85</v>
      </c>
      <c r="F117" s="115"/>
      <c r="G117" s="115"/>
      <c r="H117" s="115"/>
      <c r="I117" s="115"/>
      <c r="J117" s="115" t="e" cm="1">
        <f t="array" ref="J117">MAX(_xlfn.XLOOKUP(D117,Table5[Driver],'Race Results'!$E$3:$E$22),_xlfn.XLOOKUP(E117,Table5[Driver],'Race Results'!$E$3:$E$22)*0.5)</f>
        <v>#N/A</v>
      </c>
    </row>
    <row r="118" spans="1:10" x14ac:dyDescent="0.3">
      <c r="A118" s="114" t="s">
        <v>445</v>
      </c>
      <c r="B118" s="115" t="s">
        <v>69</v>
      </c>
      <c r="C118" s="115" t="s">
        <v>27</v>
      </c>
      <c r="D118" s="115" t="s">
        <v>81</v>
      </c>
      <c r="E118" s="115" t="s">
        <v>80</v>
      </c>
      <c r="F118" s="115"/>
      <c r="G118" s="115"/>
      <c r="H118" s="115"/>
      <c r="I118" s="115"/>
      <c r="J118" s="115" t="e" cm="1">
        <f t="array" ref="J118">MAX(_xlfn.XLOOKUP(D118,Table5[Driver],'Race Results'!$E$3:$E$22),_xlfn.XLOOKUP(E118,Table5[Driver],'Race Results'!$E$3:$E$22)*0.5)</f>
        <v>#N/A</v>
      </c>
    </row>
    <row r="119" spans="1:10" x14ac:dyDescent="0.3">
      <c r="A119" s="114" t="s">
        <v>446</v>
      </c>
      <c r="B119" s="115" t="s">
        <v>67</v>
      </c>
      <c r="C119" s="115" t="s">
        <v>27</v>
      </c>
      <c r="D119" s="115" t="s">
        <v>81</v>
      </c>
      <c r="E119" s="115" t="s">
        <v>90</v>
      </c>
      <c r="F119" s="115"/>
      <c r="G119" s="115"/>
      <c r="H119" s="115"/>
      <c r="I119" s="115"/>
      <c r="J119" s="115" t="e" cm="1">
        <f t="array" ref="J119">MAX(_xlfn.XLOOKUP(D119,Table5[Driver],'Race Results'!$E$3:$E$22),_xlfn.XLOOKUP(E119,Table5[Driver],'Race Results'!$E$3:$E$22)*0.5)</f>
        <v>#N/A</v>
      </c>
    </row>
    <row r="120" spans="1:10" x14ac:dyDescent="0.3">
      <c r="A120" s="114" t="s">
        <v>447</v>
      </c>
      <c r="B120" s="115" t="s">
        <v>57</v>
      </c>
      <c r="C120" s="115" t="s">
        <v>27</v>
      </c>
      <c r="D120" s="115" t="s">
        <v>81</v>
      </c>
      <c r="E120" s="115" t="s">
        <v>85</v>
      </c>
      <c r="F120" s="115"/>
      <c r="G120" s="115"/>
      <c r="H120" s="115"/>
      <c r="I120" s="115"/>
      <c r="J120" s="115" t="e" cm="1">
        <f t="array" ref="J120">MAX(_xlfn.XLOOKUP(D120,Table5[Driver],'Race Results'!$E$3:$E$22),_xlfn.XLOOKUP(E120,Table5[Driver],'Race Results'!$E$3:$E$22)*0.5)</f>
        <v>#N/A</v>
      </c>
    </row>
    <row r="121" spans="1:10" x14ac:dyDescent="0.3">
      <c r="A121" s="114" t="s">
        <v>448</v>
      </c>
      <c r="B121" s="115" t="s">
        <v>58</v>
      </c>
      <c r="C121" s="115" t="s">
        <v>27</v>
      </c>
      <c r="D121" s="115" t="s">
        <v>81</v>
      </c>
      <c r="E121" s="115" t="s">
        <v>85</v>
      </c>
      <c r="F121" s="115"/>
      <c r="G121" s="115"/>
      <c r="H121" s="115"/>
      <c r="I121" s="115"/>
      <c r="J121" s="115" t="e" cm="1">
        <f t="array" ref="J121">MAX(_xlfn.XLOOKUP(D121,Table5[Driver],'Race Results'!$E$3:$E$22),_xlfn.XLOOKUP(E121,Table5[Driver],'Race Results'!$E$3:$E$22)*0.5)</f>
        <v>#N/A</v>
      </c>
    </row>
    <row r="122" spans="1:10" x14ac:dyDescent="0.3">
      <c r="A122" s="114" t="s">
        <v>449</v>
      </c>
      <c r="B122" s="115" t="s">
        <v>61</v>
      </c>
      <c r="C122" s="115" t="s">
        <v>27</v>
      </c>
      <c r="D122" s="115" t="s">
        <v>81</v>
      </c>
      <c r="E122" s="115" t="s">
        <v>91</v>
      </c>
      <c r="F122" s="115"/>
      <c r="G122" s="115"/>
      <c r="H122" s="115"/>
      <c r="I122" s="115"/>
      <c r="J122" s="115" t="e" cm="1">
        <f t="array" ref="J122">MAX(_xlfn.XLOOKUP(D122,Table5[Driver],'Race Results'!$E$3:$E$22),_xlfn.XLOOKUP(E122,Table5[Driver],'Race Results'!$E$3:$E$22)*0.5)</f>
        <v>#N/A</v>
      </c>
    </row>
    <row r="123" spans="1:10" x14ac:dyDescent="0.3">
      <c r="A123" s="114" t="s">
        <v>450</v>
      </c>
      <c r="B123" s="115" t="s">
        <v>65</v>
      </c>
      <c r="C123" s="115" t="s">
        <v>27</v>
      </c>
      <c r="D123" s="115" t="s">
        <v>86</v>
      </c>
      <c r="E123" s="115" t="s">
        <v>82</v>
      </c>
      <c r="F123" s="115"/>
      <c r="G123" s="115"/>
      <c r="H123" s="115"/>
      <c r="I123" s="115"/>
      <c r="J123" s="115" t="e" cm="1">
        <f t="array" ref="J123">MAX(_xlfn.XLOOKUP(D123,Table5[Driver],'Race Results'!$E$3:$E$22),_xlfn.XLOOKUP(E123,Table5[Driver],'Race Results'!$E$3:$E$22)*0.5)</f>
        <v>#N/A</v>
      </c>
    </row>
    <row r="124" spans="1:10" x14ac:dyDescent="0.3">
      <c r="A124" s="114" t="s">
        <v>451</v>
      </c>
      <c r="B124" s="115" t="s">
        <v>47</v>
      </c>
      <c r="C124" s="115" t="s">
        <v>27</v>
      </c>
      <c r="D124" s="115" t="s">
        <v>82</v>
      </c>
      <c r="E124" s="115" t="s">
        <v>86</v>
      </c>
      <c r="F124" s="115"/>
      <c r="G124" s="115"/>
      <c r="H124" s="115"/>
      <c r="I124" s="115"/>
      <c r="J124" s="115" t="e" cm="1">
        <f t="array" ref="J124">MAX(_xlfn.XLOOKUP(D124,Table5[Driver],'Race Results'!$E$3:$E$22),_xlfn.XLOOKUP(E124,Table5[Driver],'Race Results'!$E$3:$E$22)*0.5)</f>
        <v>#N/A</v>
      </c>
    </row>
    <row r="125" spans="1:10" x14ac:dyDescent="0.3">
      <c r="A125" s="114" t="s">
        <v>452</v>
      </c>
      <c r="B125" s="115" t="s">
        <v>53</v>
      </c>
      <c r="C125" s="115" t="s">
        <v>27</v>
      </c>
      <c r="D125" s="115" t="s">
        <v>81</v>
      </c>
      <c r="E125" s="115" t="s">
        <v>86</v>
      </c>
      <c r="F125" s="115"/>
      <c r="G125" s="115"/>
      <c r="H125" s="115"/>
      <c r="I125" s="115"/>
      <c r="J125" s="115" t="e" cm="1">
        <f t="array" ref="J125">MAX(_xlfn.XLOOKUP(D125,Table5[Driver],'Race Results'!$E$3:$E$22),_xlfn.XLOOKUP(E125,Table5[Driver],'Race Results'!$E$3:$E$22)*0.5)</f>
        <v>#N/A</v>
      </c>
    </row>
    <row r="126" spans="1:10" x14ac:dyDescent="0.3">
      <c r="A126" s="114" t="s">
        <v>453</v>
      </c>
      <c r="B126" s="115" t="s">
        <v>62</v>
      </c>
      <c r="C126" s="115" t="s">
        <v>27</v>
      </c>
      <c r="D126" s="115" t="s">
        <v>84</v>
      </c>
      <c r="E126" s="115" t="s">
        <v>80</v>
      </c>
      <c r="F126" s="115"/>
      <c r="G126" s="115"/>
      <c r="H126" s="115"/>
      <c r="I126" s="115"/>
      <c r="J126" s="115" t="e" cm="1">
        <f t="array" ref="J126">MAX(_xlfn.XLOOKUP(D126,Table5[Driver],'Race Results'!$E$3:$E$22),_xlfn.XLOOKUP(E126,Table5[Driver],'Race Results'!$E$3:$E$22)*0.5)</f>
        <v>#N/A</v>
      </c>
    </row>
    <row r="127" spans="1:10" x14ac:dyDescent="0.3">
      <c r="A127" s="114" t="s">
        <v>454</v>
      </c>
      <c r="B127" s="115" t="s">
        <v>68</v>
      </c>
      <c r="C127" s="115" t="s">
        <v>28</v>
      </c>
      <c r="D127" s="115" t="s">
        <v>82</v>
      </c>
      <c r="E127" s="115" t="s">
        <v>76</v>
      </c>
      <c r="F127" s="115"/>
      <c r="G127" s="115"/>
      <c r="H127" s="115"/>
      <c r="I127" s="115"/>
      <c r="J127" s="115" t="e" cm="1">
        <f t="array" ref="J127">MAX(_xlfn.XLOOKUP(D127,Table5[Driver],'Race Results'!$E$3:$E$22),_xlfn.XLOOKUP(E127,Table5[Driver],'Race Results'!$E$3:$E$22)*0.5)</f>
        <v>#N/A</v>
      </c>
    </row>
    <row r="128" spans="1:10" x14ac:dyDescent="0.3">
      <c r="A128" s="114" t="s">
        <v>455</v>
      </c>
      <c r="B128" s="115" t="s">
        <v>65</v>
      </c>
      <c r="C128" s="115" t="s">
        <v>28</v>
      </c>
      <c r="D128" s="115" t="s">
        <v>77</v>
      </c>
      <c r="E128" s="115" t="s">
        <v>85</v>
      </c>
      <c r="F128" s="115"/>
      <c r="G128" s="115"/>
      <c r="H128" s="115"/>
      <c r="I128" s="115"/>
      <c r="J128" s="115" t="e" cm="1">
        <f t="array" ref="J128">MAX(_xlfn.XLOOKUP(D128,Table5[Driver],'Race Results'!$E$3:$E$22),_xlfn.XLOOKUP(E128,Table5[Driver],'Race Results'!$E$3:$E$22)*0.5)</f>
        <v>#N/A</v>
      </c>
    </row>
    <row r="129" spans="1:10" x14ac:dyDescent="0.3">
      <c r="A129" s="114" t="s">
        <v>456</v>
      </c>
      <c r="B129" s="115" t="s">
        <v>47</v>
      </c>
      <c r="C129" s="115" t="s">
        <v>28</v>
      </c>
      <c r="D129" s="115" t="s">
        <v>86</v>
      </c>
      <c r="E129" s="115" t="s">
        <v>85</v>
      </c>
      <c r="F129" s="115"/>
      <c r="G129" s="115"/>
      <c r="H129" s="115"/>
      <c r="I129" s="115"/>
      <c r="J129" s="115" t="e" cm="1">
        <f t="array" ref="J129">MAX(_xlfn.XLOOKUP(D129,Table5[Driver],'Race Results'!$E$3:$E$22),_xlfn.XLOOKUP(E129,Table5[Driver],'Race Results'!$E$3:$E$22)*0.5)</f>
        <v>#N/A</v>
      </c>
    </row>
    <row r="130" spans="1:10" x14ac:dyDescent="0.3">
      <c r="A130" s="114" t="s">
        <v>457</v>
      </c>
      <c r="B130" s="115" t="s">
        <v>66</v>
      </c>
      <c r="C130" s="115" t="s">
        <v>28</v>
      </c>
      <c r="D130" s="115" t="s">
        <v>78</v>
      </c>
      <c r="E130" s="115" t="s">
        <v>84</v>
      </c>
      <c r="F130" s="115"/>
      <c r="G130" s="115"/>
      <c r="H130" s="115"/>
      <c r="I130" s="115"/>
      <c r="J130" s="115" t="e" cm="1">
        <f t="array" ref="J130">MAX(_xlfn.XLOOKUP(D130,Table5[Driver],'Race Results'!$E$3:$E$22),_xlfn.XLOOKUP(E130,Table5[Driver],'Race Results'!$E$3:$E$22)*0.5)</f>
        <v>#N/A</v>
      </c>
    </row>
    <row r="131" spans="1:10" x14ac:dyDescent="0.3">
      <c r="A131" s="114" t="s">
        <v>458</v>
      </c>
      <c r="B131" s="115" t="s">
        <v>64</v>
      </c>
      <c r="C131" s="115" t="s">
        <v>28</v>
      </c>
      <c r="D131" s="115" t="s">
        <v>79</v>
      </c>
      <c r="E131" s="115" t="s">
        <v>82</v>
      </c>
      <c r="F131" s="115"/>
      <c r="G131" s="115"/>
      <c r="H131" s="115"/>
      <c r="I131" s="115"/>
      <c r="J131" s="115" t="e" cm="1">
        <f t="array" ref="J131">MAX(_xlfn.XLOOKUP(D131,Table5[Driver],'Race Results'!$E$3:$E$22),_xlfn.XLOOKUP(E131,Table5[Driver],'Race Results'!$E$3:$E$22)*0.5)</f>
        <v>#N/A</v>
      </c>
    </row>
    <row r="132" spans="1:10" x14ac:dyDescent="0.3">
      <c r="A132" s="114" t="s">
        <v>459</v>
      </c>
      <c r="B132" s="115" t="s">
        <v>63</v>
      </c>
      <c r="C132" s="115" t="s">
        <v>28</v>
      </c>
      <c r="D132" s="115" t="s">
        <v>78</v>
      </c>
      <c r="E132" s="115" t="s">
        <v>81</v>
      </c>
      <c r="F132" s="115"/>
      <c r="G132" s="115"/>
      <c r="H132" s="115"/>
      <c r="I132" s="115"/>
      <c r="J132" s="115" t="e" cm="1">
        <f t="array" ref="J132">MAX(_xlfn.XLOOKUP(D132,Table5[Driver],'Race Results'!$E$3:$E$22),_xlfn.XLOOKUP(E132,Table5[Driver],'Race Results'!$E$3:$E$22)*0.5)</f>
        <v>#N/A</v>
      </c>
    </row>
    <row r="133" spans="1:10" x14ac:dyDescent="0.3">
      <c r="A133" s="114" t="s">
        <v>460</v>
      </c>
      <c r="B133" s="115" t="s">
        <v>49</v>
      </c>
      <c r="C133" s="115" t="s">
        <v>28</v>
      </c>
      <c r="D133" s="115" t="s">
        <v>77</v>
      </c>
      <c r="E133" s="115" t="s">
        <v>85</v>
      </c>
      <c r="F133" s="115"/>
      <c r="G133" s="115"/>
      <c r="H133" s="115"/>
      <c r="I133" s="115"/>
      <c r="J133" s="115" t="e" cm="1">
        <f t="array" ref="J133">MAX(_xlfn.XLOOKUP(D133,Table5[Driver],'Race Results'!$E$3:$E$22),_xlfn.XLOOKUP(E133,Table5[Driver],'Race Results'!$E$3:$E$22)*0.5)</f>
        <v>#N/A</v>
      </c>
    </row>
    <row r="134" spans="1:10" x14ac:dyDescent="0.3">
      <c r="A134" s="114" t="s">
        <v>461</v>
      </c>
      <c r="B134" s="115" t="s">
        <v>50</v>
      </c>
      <c r="C134" s="115" t="s">
        <v>28</v>
      </c>
      <c r="D134" s="115" t="s">
        <v>77</v>
      </c>
      <c r="E134" s="115" t="s">
        <v>84</v>
      </c>
      <c r="F134" s="115"/>
      <c r="G134" s="115"/>
      <c r="H134" s="115"/>
      <c r="I134" s="115"/>
      <c r="J134" s="115" t="e" cm="1">
        <f t="array" ref="J134">MAX(_xlfn.XLOOKUP(D134,Table5[Driver],'Race Results'!$E$3:$E$22),_xlfn.XLOOKUP(E134,Table5[Driver],'Race Results'!$E$3:$E$22)*0.5)</f>
        <v>#N/A</v>
      </c>
    </row>
    <row r="135" spans="1:10" x14ac:dyDescent="0.3">
      <c r="A135" s="114" t="s">
        <v>462</v>
      </c>
      <c r="B135" s="115" t="s">
        <v>46</v>
      </c>
      <c r="C135" s="115" t="s">
        <v>28</v>
      </c>
      <c r="D135" s="115" t="s">
        <v>78</v>
      </c>
      <c r="E135" s="115" t="s">
        <v>79</v>
      </c>
      <c r="F135" s="115"/>
      <c r="G135" s="115"/>
      <c r="H135" s="115"/>
      <c r="I135" s="115"/>
      <c r="J135" s="115" t="e" cm="1">
        <f t="array" ref="J135">MAX(_xlfn.XLOOKUP(D135,Table5[Driver],'Race Results'!$E$3:$E$22),_xlfn.XLOOKUP(E135,Table5[Driver],'Race Results'!$E$3:$E$22)*0.5)</f>
        <v>#N/A</v>
      </c>
    </row>
    <row r="136" spans="1:10" x14ac:dyDescent="0.3">
      <c r="A136" s="114" t="s">
        <v>463</v>
      </c>
      <c r="B136" s="115" t="s">
        <v>51</v>
      </c>
      <c r="C136" s="115" t="s">
        <v>28</v>
      </c>
      <c r="D136" s="115" t="s">
        <v>79</v>
      </c>
      <c r="E136" s="115" t="s">
        <v>78</v>
      </c>
      <c r="F136" s="115"/>
      <c r="G136" s="115"/>
      <c r="H136" s="115"/>
      <c r="I136" s="115"/>
      <c r="J136" s="115" t="e" cm="1">
        <f t="array" ref="J136">MAX(_xlfn.XLOOKUP(D136,Table5[Driver],'Race Results'!$E$3:$E$22),_xlfn.XLOOKUP(E136,Table5[Driver],'Race Results'!$E$3:$E$22)*0.5)</f>
        <v>#N/A</v>
      </c>
    </row>
    <row r="137" spans="1:10" x14ac:dyDescent="0.3">
      <c r="A137" s="114" t="s">
        <v>464</v>
      </c>
      <c r="B137" s="115" t="s">
        <v>53</v>
      </c>
      <c r="C137" s="115" t="s">
        <v>28</v>
      </c>
      <c r="D137" s="115" t="s">
        <v>79</v>
      </c>
      <c r="E137" s="115" t="s">
        <v>76</v>
      </c>
      <c r="F137" s="115"/>
      <c r="G137" s="115"/>
      <c r="H137" s="115"/>
      <c r="I137" s="115"/>
      <c r="J137" s="115" t="e" cm="1">
        <f t="array" ref="J137">MAX(_xlfn.XLOOKUP(D137,Table5[Driver],'Race Results'!$E$3:$E$22),_xlfn.XLOOKUP(E137,Table5[Driver],'Race Results'!$E$3:$E$22)*0.5)</f>
        <v>#N/A</v>
      </c>
    </row>
    <row r="138" spans="1:10" x14ac:dyDescent="0.3">
      <c r="A138" s="114" t="s">
        <v>465</v>
      </c>
      <c r="B138" s="115" t="s">
        <v>69</v>
      </c>
      <c r="C138" s="115" t="s">
        <v>28</v>
      </c>
      <c r="D138" s="115" t="s">
        <v>93</v>
      </c>
      <c r="E138" s="115" t="s">
        <v>77</v>
      </c>
      <c r="F138" s="115"/>
      <c r="G138" s="115"/>
      <c r="H138" s="115"/>
      <c r="I138" s="115"/>
      <c r="J138" s="115" t="e" cm="1">
        <f t="array" ref="J138">MAX(_xlfn.XLOOKUP(D138,Table5[Driver],'Race Results'!$E$3:$E$22),_xlfn.XLOOKUP(E138,Table5[Driver],'Race Results'!$E$3:$E$22)*0.5)</f>
        <v>#N/A</v>
      </c>
    </row>
    <row r="139" spans="1:10" x14ac:dyDescent="0.3">
      <c r="A139" s="114" t="s">
        <v>466</v>
      </c>
      <c r="B139" s="115" t="s">
        <v>59</v>
      </c>
      <c r="C139" s="115" t="s">
        <v>28</v>
      </c>
      <c r="D139" s="115" t="s">
        <v>77</v>
      </c>
      <c r="E139" s="115" t="s">
        <v>86</v>
      </c>
      <c r="F139" s="115"/>
      <c r="G139" s="115"/>
      <c r="H139" s="115"/>
      <c r="I139" s="115"/>
      <c r="J139" s="115" t="e" cm="1">
        <f t="array" ref="J139">MAX(_xlfn.XLOOKUP(D139,Table5[Driver],'Race Results'!$E$3:$E$22),_xlfn.XLOOKUP(E139,Table5[Driver],'Race Results'!$E$3:$E$22)*0.5)</f>
        <v>#N/A</v>
      </c>
    </row>
    <row r="140" spans="1:10" x14ac:dyDescent="0.3">
      <c r="A140" s="114" t="s">
        <v>467</v>
      </c>
      <c r="B140" s="115" t="s">
        <v>44</v>
      </c>
      <c r="C140" s="115" t="s">
        <v>28</v>
      </c>
      <c r="D140" s="115" t="s">
        <v>78</v>
      </c>
      <c r="E140" s="115" t="s">
        <v>84</v>
      </c>
      <c r="F140" s="115"/>
      <c r="G140" s="115"/>
      <c r="H140" s="115"/>
      <c r="I140" s="115"/>
      <c r="J140" s="115" t="e" cm="1">
        <f t="array" ref="J140">MAX(_xlfn.XLOOKUP(D140,Table5[Driver],'Race Results'!$E$3:$E$22),_xlfn.XLOOKUP(E140,Table5[Driver],'Race Results'!$E$3:$E$22)*0.5)</f>
        <v>#N/A</v>
      </c>
    </row>
    <row r="141" spans="1:10" x14ac:dyDescent="0.3">
      <c r="A141" s="114" t="s">
        <v>468</v>
      </c>
      <c r="B141" s="115" t="s">
        <v>52</v>
      </c>
      <c r="C141" s="115" t="s">
        <v>28</v>
      </c>
      <c r="D141" s="115" t="s">
        <v>85</v>
      </c>
      <c r="E141" s="115" t="s">
        <v>90</v>
      </c>
      <c r="F141" s="115"/>
      <c r="G141" s="115"/>
      <c r="H141" s="115"/>
      <c r="I141" s="115"/>
      <c r="J141" s="115" t="e" cm="1">
        <f t="array" ref="J141">MAX(_xlfn.XLOOKUP(D141,Table5[Driver],'Race Results'!$E$3:$E$22),_xlfn.XLOOKUP(E141,Table5[Driver],'Race Results'!$E$3:$E$22)*0.5)</f>
        <v>#N/A</v>
      </c>
    </row>
    <row r="142" spans="1:10" x14ac:dyDescent="0.3">
      <c r="A142" s="114" t="s">
        <v>469</v>
      </c>
      <c r="B142" s="115" t="s">
        <v>62</v>
      </c>
      <c r="C142" s="115" t="s">
        <v>28</v>
      </c>
      <c r="D142" s="115" t="s">
        <v>85</v>
      </c>
      <c r="E142" s="115" t="s">
        <v>89</v>
      </c>
      <c r="F142" s="115"/>
      <c r="G142" s="115"/>
      <c r="H142" s="115"/>
      <c r="I142" s="115"/>
      <c r="J142" s="115" t="e" cm="1">
        <f t="array" ref="J142">MAX(_xlfn.XLOOKUP(D142,Table5[Driver],'Race Results'!$E$3:$E$22),_xlfn.XLOOKUP(E142,Table5[Driver],'Race Results'!$E$3:$E$22)*0.5)</f>
        <v>#N/A</v>
      </c>
    </row>
    <row r="143" spans="1:10" x14ac:dyDescent="0.3">
      <c r="A143" s="114" t="s">
        <v>470</v>
      </c>
      <c r="B143" s="115" t="s">
        <v>56</v>
      </c>
      <c r="C143" s="115" t="s">
        <v>28</v>
      </c>
      <c r="D143" s="115" t="s">
        <v>81</v>
      </c>
      <c r="E143" s="115" t="s">
        <v>78</v>
      </c>
      <c r="F143" s="115"/>
      <c r="G143" s="115"/>
      <c r="H143" s="115"/>
      <c r="I143" s="115"/>
      <c r="J143" s="115" t="e" cm="1">
        <f t="array" ref="J143">MAX(_xlfn.XLOOKUP(D143,Table5[Driver],'Race Results'!$E$3:$E$22),_xlfn.XLOOKUP(E143,Table5[Driver],'Race Results'!$E$3:$E$22)*0.5)</f>
        <v>#N/A</v>
      </c>
    </row>
    <row r="144" spans="1:10" x14ac:dyDescent="0.3">
      <c r="A144" s="114" t="s">
        <v>471</v>
      </c>
      <c r="B144" s="115" t="s">
        <v>61</v>
      </c>
      <c r="C144" s="115" t="s">
        <v>28</v>
      </c>
      <c r="D144" s="115" t="s">
        <v>78</v>
      </c>
      <c r="E144" s="115" t="s">
        <v>79</v>
      </c>
      <c r="F144" s="115"/>
      <c r="G144" s="115"/>
      <c r="H144" s="115"/>
      <c r="I144" s="115"/>
      <c r="J144" s="115" t="e" cm="1">
        <f t="array" ref="J144">MAX(_xlfn.XLOOKUP(D144,Table5[Driver],'Race Results'!$E$3:$E$22),_xlfn.XLOOKUP(E144,Table5[Driver],'Race Results'!$E$3:$E$22)*0.5)</f>
        <v>#N/A</v>
      </c>
    </row>
    <row r="145" spans="1:10" x14ac:dyDescent="0.3">
      <c r="A145" s="114" t="s">
        <v>472</v>
      </c>
      <c r="B145" s="115" t="s">
        <v>54</v>
      </c>
      <c r="C145" s="115" t="s">
        <v>28</v>
      </c>
      <c r="D145" s="115" t="s">
        <v>78</v>
      </c>
      <c r="E145" s="115" t="s">
        <v>79</v>
      </c>
      <c r="F145" s="115"/>
      <c r="G145" s="115"/>
      <c r="H145" s="115"/>
      <c r="I145" s="115"/>
      <c r="J145" s="115" t="e" cm="1">
        <f t="array" ref="J145">MAX(_xlfn.XLOOKUP(D145,Table5[Driver],'Race Results'!$E$3:$E$22),_xlfn.XLOOKUP(E145,Table5[Driver],'Race Results'!$E$3:$E$22)*0.5)</f>
        <v>#N/A</v>
      </c>
    </row>
    <row r="146" spans="1:10" x14ac:dyDescent="0.3">
      <c r="A146" s="114" t="s">
        <v>473</v>
      </c>
      <c r="B146" s="115" t="s">
        <v>67</v>
      </c>
      <c r="C146" s="115" t="s">
        <v>28</v>
      </c>
      <c r="D146" s="115" t="s">
        <v>79</v>
      </c>
      <c r="E146" s="115" t="s">
        <v>81</v>
      </c>
      <c r="F146" s="115"/>
      <c r="G146" s="115"/>
      <c r="H146" s="115"/>
      <c r="I146" s="115"/>
      <c r="J146" s="115" t="e" cm="1">
        <f t="array" ref="J146">MAX(_xlfn.XLOOKUP(D146,Table5[Driver],'Race Results'!$E$3:$E$22),_xlfn.XLOOKUP(E146,Table5[Driver],'Race Results'!$E$3:$E$22)*0.5)</f>
        <v>#N/A</v>
      </c>
    </row>
    <row r="147" spans="1:10" x14ac:dyDescent="0.3">
      <c r="A147" s="114" t="s">
        <v>474</v>
      </c>
      <c r="B147" s="115" t="s">
        <v>58</v>
      </c>
      <c r="C147" s="115" t="s">
        <v>28</v>
      </c>
      <c r="D147" s="115" t="s">
        <v>85</v>
      </c>
      <c r="E147" s="115" t="s">
        <v>78</v>
      </c>
      <c r="F147" s="115"/>
      <c r="G147" s="115"/>
      <c r="H147" s="115"/>
      <c r="I147" s="115"/>
      <c r="J147" s="115" t="e" cm="1">
        <f t="array" ref="J147">MAX(_xlfn.XLOOKUP(D147,Table5[Driver],'Race Results'!$E$3:$E$22),_xlfn.XLOOKUP(E147,Table5[Driver],'Race Results'!$E$3:$E$22)*0.5)</f>
        <v>#N/A</v>
      </c>
    </row>
    <row r="148" spans="1:10" x14ac:dyDescent="0.3">
      <c r="A148" s="114" t="s">
        <v>475</v>
      </c>
      <c r="B148" s="115" t="s">
        <v>45</v>
      </c>
      <c r="C148" s="115" t="s">
        <v>28</v>
      </c>
      <c r="D148" s="115" t="s">
        <v>81</v>
      </c>
      <c r="E148" s="115" t="s">
        <v>78</v>
      </c>
      <c r="F148" s="115"/>
      <c r="G148" s="115"/>
      <c r="H148" s="115"/>
      <c r="I148" s="115"/>
      <c r="J148" s="115" t="e" cm="1">
        <f t="array" ref="J148">MAX(_xlfn.XLOOKUP(D148,Table5[Driver],'Race Results'!$E$3:$E$22),_xlfn.XLOOKUP(E148,Table5[Driver],'Race Results'!$E$3:$E$22)*0.5)</f>
        <v>#N/A</v>
      </c>
    </row>
    <row r="149" spans="1:10" x14ac:dyDescent="0.3">
      <c r="A149" s="114" t="s">
        <v>476</v>
      </c>
      <c r="B149" s="115" t="s">
        <v>48</v>
      </c>
      <c r="C149" s="115" t="s">
        <v>28</v>
      </c>
      <c r="D149" s="115" t="s">
        <v>78</v>
      </c>
      <c r="E149" s="115" t="s">
        <v>79</v>
      </c>
      <c r="F149" s="115"/>
      <c r="G149" s="115"/>
      <c r="H149" s="115"/>
      <c r="I149" s="115"/>
      <c r="J149" s="115" t="e" cm="1">
        <f t="array" ref="J149">MAX(_xlfn.XLOOKUP(D149,Table5[Driver],'Race Results'!$E$3:$E$22),_xlfn.XLOOKUP(E149,Table5[Driver],'Race Results'!$E$3:$E$22)*0.5)</f>
        <v>#N/A</v>
      </c>
    </row>
    <row r="150" spans="1:10" x14ac:dyDescent="0.3">
      <c r="A150" s="114" t="s">
        <v>477</v>
      </c>
      <c r="B150" s="115" t="s">
        <v>57</v>
      </c>
      <c r="C150" s="115" t="s">
        <v>28</v>
      </c>
      <c r="D150" s="115" t="s">
        <v>79</v>
      </c>
      <c r="E150" s="115" t="s">
        <v>86</v>
      </c>
      <c r="F150" s="115"/>
      <c r="G150" s="115"/>
      <c r="H150" s="115"/>
      <c r="I150" s="115"/>
      <c r="J150" s="115" t="e" cm="1">
        <f t="array" ref="J150">MAX(_xlfn.XLOOKUP(D150,Table5[Driver],'Race Results'!$E$3:$E$22),_xlfn.XLOOKUP(E150,Table5[Driver],'Race Results'!$E$3:$E$22)*0.5)</f>
        <v>#N/A</v>
      </c>
    </row>
    <row r="151" spans="1:10" x14ac:dyDescent="0.3">
      <c r="A151" s="114" t="s">
        <v>478</v>
      </c>
      <c r="B151" s="115" t="s">
        <v>60</v>
      </c>
      <c r="C151" s="115" t="s">
        <v>28</v>
      </c>
      <c r="D151" s="115" t="s">
        <v>78</v>
      </c>
      <c r="E151" s="115" t="s">
        <v>85</v>
      </c>
      <c r="F151" s="115"/>
      <c r="G151" s="115"/>
      <c r="H151" s="115"/>
      <c r="I151" s="115"/>
      <c r="J151" s="115" t="e" cm="1">
        <f t="array" ref="J151">MAX(_xlfn.XLOOKUP(D151,Table5[Driver],'Race Results'!$E$3:$E$22),_xlfn.XLOOKUP(E151,Table5[Driver],'Race Results'!$E$3:$E$22)*0.5)</f>
        <v>#N/A</v>
      </c>
    </row>
    <row r="152" spans="1:10" x14ac:dyDescent="0.3">
      <c r="A152" s="114" t="s">
        <v>479</v>
      </c>
      <c r="B152" s="115" t="s">
        <v>62</v>
      </c>
      <c r="C152" s="115" t="s">
        <v>29</v>
      </c>
      <c r="D152" s="115" t="s">
        <v>78</v>
      </c>
      <c r="E152" s="115" t="s">
        <v>79</v>
      </c>
      <c r="F152" s="115"/>
      <c r="G152" s="115"/>
      <c r="H152" s="115"/>
      <c r="I152" s="115"/>
      <c r="J152" s="115" t="e" cm="1">
        <f t="array" ref="J152">MAX(_xlfn.XLOOKUP(D152,Table5[Driver],'Race Results'!$E$3:$E$22),_xlfn.XLOOKUP(E152,Table5[Driver],'Race Results'!$E$3:$E$22)*0.5)</f>
        <v>#N/A</v>
      </c>
    </row>
    <row r="153" spans="1:10" x14ac:dyDescent="0.3">
      <c r="A153" s="114" t="s">
        <v>480</v>
      </c>
      <c r="B153" s="115" t="s">
        <v>52</v>
      </c>
      <c r="C153" s="115" t="s">
        <v>29</v>
      </c>
      <c r="D153" s="115" t="s">
        <v>84</v>
      </c>
      <c r="E153" s="115" t="s">
        <v>78</v>
      </c>
      <c r="F153" s="115"/>
      <c r="G153" s="115"/>
      <c r="H153" s="115"/>
      <c r="I153" s="115"/>
      <c r="J153" s="115" t="e" cm="1">
        <f t="array" ref="J153">MAX(_xlfn.XLOOKUP(D153,Table5[Driver],'Race Results'!$E$3:$E$22),_xlfn.XLOOKUP(E153,Table5[Driver],'Race Results'!$E$3:$E$22)*0.5)</f>
        <v>#N/A</v>
      </c>
    </row>
    <row r="154" spans="1:10" x14ac:dyDescent="0.3">
      <c r="A154" s="114" t="s">
        <v>481</v>
      </c>
      <c r="B154" s="115" t="s">
        <v>44</v>
      </c>
      <c r="C154" s="115" t="s">
        <v>29</v>
      </c>
      <c r="D154" s="115" t="s">
        <v>78</v>
      </c>
      <c r="E154" s="115" t="s">
        <v>90</v>
      </c>
      <c r="F154" s="115"/>
      <c r="G154" s="115"/>
      <c r="H154" s="115"/>
      <c r="I154" s="115"/>
      <c r="J154" s="115" t="e" cm="1">
        <f t="array" ref="J154">MAX(_xlfn.XLOOKUP(D154,Table5[Driver],'Race Results'!$E$3:$E$22),_xlfn.XLOOKUP(E154,Table5[Driver],'Race Results'!$E$3:$E$22)*0.5)</f>
        <v>#N/A</v>
      </c>
    </row>
    <row r="155" spans="1:10" x14ac:dyDescent="0.3">
      <c r="A155" s="114" t="s">
        <v>482</v>
      </c>
      <c r="B155" s="115" t="s">
        <v>51</v>
      </c>
      <c r="C155" s="115" t="s">
        <v>29</v>
      </c>
      <c r="D155" s="115" t="s">
        <v>86</v>
      </c>
      <c r="E155" s="115" t="s">
        <v>78</v>
      </c>
      <c r="F155" s="115"/>
      <c r="G155" s="115"/>
      <c r="H155" s="115"/>
      <c r="I155" s="115"/>
      <c r="J155" s="115" t="e" cm="1">
        <f t="array" ref="J155">MAX(_xlfn.XLOOKUP(D155,Table5[Driver],'Race Results'!$E$3:$E$22),_xlfn.XLOOKUP(E155,Table5[Driver],'Race Results'!$E$3:$E$22)*0.5)</f>
        <v>#N/A</v>
      </c>
    </row>
    <row r="156" spans="1:10" x14ac:dyDescent="0.3">
      <c r="A156" s="114" t="s">
        <v>483</v>
      </c>
      <c r="B156" s="115" t="s">
        <v>55</v>
      </c>
      <c r="C156" s="115" t="s">
        <v>29</v>
      </c>
      <c r="D156" s="115" t="s">
        <v>78</v>
      </c>
      <c r="E156" s="115" t="s">
        <v>79</v>
      </c>
      <c r="F156" s="115"/>
      <c r="G156" s="115"/>
      <c r="H156" s="115"/>
      <c r="I156" s="115"/>
      <c r="J156" s="115" t="e" cm="1">
        <f t="array" ref="J156">MAX(_xlfn.XLOOKUP(D156,Table5[Driver],'Race Results'!$E$3:$E$22),_xlfn.XLOOKUP(E156,Table5[Driver],'Race Results'!$E$3:$E$22)*0.5)</f>
        <v>#N/A</v>
      </c>
    </row>
    <row r="157" spans="1:10" x14ac:dyDescent="0.3">
      <c r="A157" s="114" t="s">
        <v>484</v>
      </c>
      <c r="B157" s="115" t="s">
        <v>67</v>
      </c>
      <c r="C157" s="115" t="s">
        <v>29</v>
      </c>
      <c r="D157" s="115" t="s">
        <v>86</v>
      </c>
      <c r="E157" s="115" t="s">
        <v>81</v>
      </c>
      <c r="F157" s="115"/>
      <c r="G157" s="115"/>
      <c r="H157" s="115"/>
      <c r="I157" s="115"/>
      <c r="J157" s="115" t="e" cm="1">
        <f t="array" ref="J157">MAX(_xlfn.XLOOKUP(D157,Table5[Driver],'Race Results'!$E$3:$E$22),_xlfn.XLOOKUP(E157,Table5[Driver],'Race Results'!$E$3:$E$22)*0.5)</f>
        <v>#N/A</v>
      </c>
    </row>
    <row r="158" spans="1:10" x14ac:dyDescent="0.3">
      <c r="A158" s="114" t="s">
        <v>485</v>
      </c>
      <c r="B158" s="115" t="s">
        <v>57</v>
      </c>
      <c r="C158" s="115" t="s">
        <v>29</v>
      </c>
      <c r="D158" s="115" t="s">
        <v>77</v>
      </c>
      <c r="E158" s="115" t="s">
        <v>86</v>
      </c>
      <c r="F158" s="115"/>
      <c r="G158" s="115"/>
      <c r="H158" s="115"/>
      <c r="I158" s="115"/>
      <c r="J158" s="115" t="e" cm="1">
        <f t="array" ref="J158">MAX(_xlfn.XLOOKUP(D158,Table5[Driver],'Race Results'!$E$3:$E$22),_xlfn.XLOOKUP(E158,Table5[Driver],'Race Results'!$E$3:$E$22)*0.5)</f>
        <v>#N/A</v>
      </c>
    </row>
    <row r="159" spans="1:10" x14ac:dyDescent="0.3">
      <c r="A159" s="114" t="s">
        <v>486</v>
      </c>
      <c r="B159" s="115" t="s">
        <v>59</v>
      </c>
      <c r="C159" s="115" t="s">
        <v>29</v>
      </c>
      <c r="D159" s="115" t="s">
        <v>79</v>
      </c>
      <c r="E159" s="115" t="s">
        <v>77</v>
      </c>
      <c r="F159" s="115"/>
      <c r="G159" s="115"/>
      <c r="H159" s="115"/>
      <c r="I159" s="115"/>
      <c r="J159" s="115" t="e" cm="1">
        <f t="array" ref="J159">MAX(_xlfn.XLOOKUP(D159,Table5[Driver],'Race Results'!$E$3:$E$22),_xlfn.XLOOKUP(E159,Table5[Driver],'Race Results'!$E$3:$E$22)*0.5)</f>
        <v>#N/A</v>
      </c>
    </row>
    <row r="160" spans="1:10" x14ac:dyDescent="0.3">
      <c r="A160" s="114" t="s">
        <v>487</v>
      </c>
      <c r="B160" s="115" t="s">
        <v>63</v>
      </c>
      <c r="C160" s="115" t="s">
        <v>29</v>
      </c>
      <c r="D160" s="115" t="s">
        <v>77</v>
      </c>
      <c r="E160" s="115" t="s">
        <v>85</v>
      </c>
      <c r="F160" s="115"/>
      <c r="G160" s="115"/>
      <c r="H160" s="115"/>
      <c r="I160" s="115"/>
      <c r="J160" s="115" t="e" cm="1">
        <f t="array" ref="J160">MAX(_xlfn.XLOOKUP(D160,Table5[Driver],'Race Results'!$E$3:$E$22),_xlfn.XLOOKUP(E160,Table5[Driver],'Race Results'!$E$3:$E$22)*0.5)</f>
        <v>#N/A</v>
      </c>
    </row>
    <row r="161" spans="1:10" x14ac:dyDescent="0.3">
      <c r="A161" s="114" t="s">
        <v>488</v>
      </c>
      <c r="B161" s="115" t="s">
        <v>46</v>
      </c>
      <c r="C161" s="115" t="s">
        <v>29</v>
      </c>
      <c r="D161" s="115" t="s">
        <v>78</v>
      </c>
      <c r="E161" s="115" t="s">
        <v>82</v>
      </c>
      <c r="F161" s="115"/>
      <c r="G161" s="115"/>
      <c r="H161" s="115"/>
      <c r="I161" s="115"/>
      <c r="J161" s="115" t="e" cm="1">
        <f t="array" ref="J161">MAX(_xlfn.XLOOKUP(D161,Table5[Driver],'Race Results'!$E$3:$E$22),_xlfn.XLOOKUP(E161,Table5[Driver],'Race Results'!$E$3:$E$22)*0.5)</f>
        <v>#N/A</v>
      </c>
    </row>
    <row r="162" spans="1:10" x14ac:dyDescent="0.3">
      <c r="A162" s="114" t="s">
        <v>489</v>
      </c>
      <c r="B162" s="115" t="s">
        <v>69</v>
      </c>
      <c r="C162" s="115" t="s">
        <v>29</v>
      </c>
      <c r="D162" s="115" t="s">
        <v>86</v>
      </c>
      <c r="E162" s="115" t="s">
        <v>84</v>
      </c>
      <c r="F162" s="115"/>
      <c r="G162" s="115"/>
      <c r="H162" s="115"/>
      <c r="I162" s="115"/>
      <c r="J162" s="115" t="e" cm="1">
        <f t="array" ref="J162">MAX(_xlfn.XLOOKUP(D162,Table5[Driver],'Race Results'!$E$3:$E$22),_xlfn.XLOOKUP(E162,Table5[Driver],'Race Results'!$E$3:$E$22)*0.5)</f>
        <v>#N/A</v>
      </c>
    </row>
    <row r="163" spans="1:10" x14ac:dyDescent="0.3">
      <c r="A163" s="114" t="s">
        <v>490</v>
      </c>
      <c r="B163" s="115" t="s">
        <v>56</v>
      </c>
      <c r="C163" s="115" t="s">
        <v>29</v>
      </c>
      <c r="D163" s="115" t="s">
        <v>79</v>
      </c>
      <c r="E163" s="115" t="s">
        <v>77</v>
      </c>
      <c r="F163" s="115"/>
      <c r="G163" s="115"/>
      <c r="H163" s="115"/>
      <c r="I163" s="115"/>
      <c r="J163" s="115" t="e" cm="1">
        <f t="array" ref="J163">MAX(_xlfn.XLOOKUP(D163,Table5[Driver],'Race Results'!$E$3:$E$22),_xlfn.XLOOKUP(E163,Table5[Driver],'Race Results'!$E$3:$E$22)*0.5)</f>
        <v>#N/A</v>
      </c>
    </row>
    <row r="164" spans="1:10" x14ac:dyDescent="0.3">
      <c r="A164" s="114" t="s">
        <v>491</v>
      </c>
      <c r="B164" s="115" t="s">
        <v>68</v>
      </c>
      <c r="C164" s="115" t="s">
        <v>29</v>
      </c>
      <c r="D164" s="115" t="s">
        <v>87</v>
      </c>
      <c r="E164" s="115" t="s">
        <v>79</v>
      </c>
      <c r="F164" s="115"/>
      <c r="G164" s="115"/>
      <c r="H164" s="115"/>
      <c r="I164" s="115"/>
      <c r="J164" s="115" t="e" cm="1">
        <f t="array" ref="J164">MAX(_xlfn.XLOOKUP(D164,Table5[Driver],'Race Results'!$E$3:$E$22),_xlfn.XLOOKUP(E164,Table5[Driver],'Race Results'!$E$3:$E$22)*0.5)</f>
        <v>#N/A</v>
      </c>
    </row>
    <row r="165" spans="1:10" x14ac:dyDescent="0.3">
      <c r="A165" s="114" t="s">
        <v>492</v>
      </c>
      <c r="B165" s="115" t="s">
        <v>66</v>
      </c>
      <c r="C165" s="115" t="s">
        <v>29</v>
      </c>
      <c r="D165" s="115" t="s">
        <v>78</v>
      </c>
      <c r="E165" s="115" t="s">
        <v>75</v>
      </c>
      <c r="F165" s="115"/>
      <c r="G165" s="115"/>
      <c r="H165" s="115"/>
      <c r="I165" s="115"/>
      <c r="J165" s="115" t="e" cm="1">
        <f t="array" ref="J165">MAX(_xlfn.XLOOKUP(D165,Table5[Driver],'Race Results'!$E$3:$E$22),_xlfn.XLOOKUP(E165,Table5[Driver],'Race Results'!$E$3:$E$22)*0.5)</f>
        <v>#N/A</v>
      </c>
    </row>
    <row r="166" spans="1:10" x14ac:dyDescent="0.3">
      <c r="A166" s="114" t="s">
        <v>493</v>
      </c>
      <c r="B166" s="115" t="s">
        <v>64</v>
      </c>
      <c r="C166" s="115" t="s">
        <v>29</v>
      </c>
      <c r="D166" s="115" t="s">
        <v>78</v>
      </c>
      <c r="E166" s="115" t="s">
        <v>86</v>
      </c>
      <c r="F166" s="115"/>
      <c r="G166" s="115"/>
      <c r="H166" s="115"/>
      <c r="I166" s="115"/>
      <c r="J166" s="115" t="e" cm="1">
        <f t="array" ref="J166">MAX(_xlfn.XLOOKUP(D166,Table5[Driver],'Race Results'!$E$3:$E$22),_xlfn.XLOOKUP(E166,Table5[Driver],'Race Results'!$E$3:$E$22)*0.5)</f>
        <v>#N/A</v>
      </c>
    </row>
    <row r="167" spans="1:10" x14ac:dyDescent="0.3">
      <c r="A167" s="114" t="s">
        <v>494</v>
      </c>
      <c r="B167" s="115" t="s">
        <v>58</v>
      </c>
      <c r="C167" s="115" t="s">
        <v>29</v>
      </c>
      <c r="D167" s="115" t="s">
        <v>81</v>
      </c>
      <c r="E167" s="115" t="s">
        <v>90</v>
      </c>
      <c r="F167" s="115"/>
      <c r="G167" s="115"/>
      <c r="H167" s="115"/>
      <c r="I167" s="115"/>
      <c r="J167" s="115" t="e" cm="1">
        <f t="array" ref="J167">MAX(_xlfn.XLOOKUP(D167,Table5[Driver],'Race Results'!$E$3:$E$22),_xlfn.XLOOKUP(E167,Table5[Driver],'Race Results'!$E$3:$E$22)*0.5)</f>
        <v>#N/A</v>
      </c>
    </row>
    <row r="168" spans="1:10" x14ac:dyDescent="0.3">
      <c r="A168" s="114" t="s">
        <v>495</v>
      </c>
      <c r="B168" s="115" t="s">
        <v>54</v>
      </c>
      <c r="C168" s="115" t="s">
        <v>29</v>
      </c>
      <c r="D168" s="115" t="s">
        <v>77</v>
      </c>
      <c r="E168" s="115" t="s">
        <v>78</v>
      </c>
      <c r="F168" s="115"/>
      <c r="G168" s="115"/>
      <c r="H168" s="115"/>
      <c r="I168" s="115"/>
      <c r="J168" s="115" t="e" cm="1">
        <f t="array" ref="J168">MAX(_xlfn.XLOOKUP(D168,Table5[Driver],'Race Results'!$E$3:$E$22),_xlfn.XLOOKUP(E168,Table5[Driver],'Race Results'!$E$3:$E$22)*0.5)</f>
        <v>#N/A</v>
      </c>
    </row>
    <row r="169" spans="1:10" x14ac:dyDescent="0.3">
      <c r="A169" s="114" t="s">
        <v>496</v>
      </c>
      <c r="B169" s="115" t="s">
        <v>47</v>
      </c>
      <c r="C169" s="115" t="s">
        <v>29</v>
      </c>
      <c r="D169" s="115" t="s">
        <v>78</v>
      </c>
      <c r="E169" s="115" t="s">
        <v>82</v>
      </c>
      <c r="F169" s="115"/>
      <c r="G169" s="115"/>
      <c r="H169" s="115"/>
      <c r="I169" s="115"/>
      <c r="J169" s="115" t="e" cm="1">
        <f t="array" ref="J169">MAX(_xlfn.XLOOKUP(D169,Table5[Driver],'Race Results'!$E$3:$E$22),_xlfn.XLOOKUP(E169,Table5[Driver],'Race Results'!$E$3:$E$22)*0.5)</f>
        <v>#N/A</v>
      </c>
    </row>
    <row r="170" spans="1:10" x14ac:dyDescent="0.3">
      <c r="A170" s="114" t="s">
        <v>497</v>
      </c>
      <c r="B170" s="115" t="s">
        <v>49</v>
      </c>
      <c r="C170" s="115" t="s">
        <v>29</v>
      </c>
      <c r="D170" s="115" t="s">
        <v>82</v>
      </c>
      <c r="E170" s="115" t="s">
        <v>78</v>
      </c>
      <c r="F170" s="115"/>
      <c r="G170" s="115"/>
      <c r="H170" s="115"/>
      <c r="I170" s="115"/>
      <c r="J170" s="115" t="e" cm="1">
        <f t="array" ref="J170">MAX(_xlfn.XLOOKUP(D170,Table5[Driver],'Race Results'!$E$3:$E$22),_xlfn.XLOOKUP(E170,Table5[Driver],'Race Results'!$E$3:$E$22)*0.5)</f>
        <v>#N/A</v>
      </c>
    </row>
    <row r="171" spans="1:10" x14ac:dyDescent="0.3">
      <c r="A171" s="114" t="s">
        <v>498</v>
      </c>
      <c r="B171" s="115" t="s">
        <v>53</v>
      </c>
      <c r="C171" s="115" t="s">
        <v>29</v>
      </c>
      <c r="D171" s="115" t="s">
        <v>78</v>
      </c>
      <c r="E171" s="115" t="s">
        <v>86</v>
      </c>
      <c r="F171" s="115"/>
      <c r="G171" s="115"/>
      <c r="H171" s="115"/>
      <c r="I171" s="115"/>
      <c r="J171" s="115" t="e" cm="1">
        <f t="array" ref="J171">MAX(_xlfn.XLOOKUP(D171,Table5[Driver],'Race Results'!$E$3:$E$22),_xlfn.XLOOKUP(E171,Table5[Driver],'Race Results'!$E$3:$E$22)*0.5)</f>
        <v>#N/A</v>
      </c>
    </row>
    <row r="172" spans="1:10" x14ac:dyDescent="0.3">
      <c r="A172" s="114" t="s">
        <v>499</v>
      </c>
      <c r="B172" s="115" t="s">
        <v>65</v>
      </c>
      <c r="C172" s="115" t="s">
        <v>29</v>
      </c>
      <c r="D172" s="115" t="s">
        <v>86</v>
      </c>
      <c r="E172" s="115" t="s">
        <v>77</v>
      </c>
      <c r="F172" s="115"/>
      <c r="G172" s="115"/>
      <c r="H172" s="115"/>
      <c r="I172" s="115"/>
      <c r="J172" s="115" t="e" cm="1">
        <f t="array" ref="J172">MAX(_xlfn.XLOOKUP(D172,Table5[Driver],'Race Results'!$E$3:$E$22),_xlfn.XLOOKUP(E172,Table5[Driver],'Race Results'!$E$3:$E$22)*0.5)</f>
        <v>#N/A</v>
      </c>
    </row>
    <row r="173" spans="1:10" x14ac:dyDescent="0.3">
      <c r="A173" s="114" t="s">
        <v>500</v>
      </c>
      <c r="B173" s="115" t="s">
        <v>60</v>
      </c>
      <c r="C173" s="115" t="s">
        <v>29</v>
      </c>
      <c r="D173" s="115" t="s">
        <v>86</v>
      </c>
      <c r="E173" s="115" t="s">
        <v>75</v>
      </c>
      <c r="F173" s="115"/>
      <c r="G173" s="115"/>
      <c r="H173" s="115"/>
      <c r="I173" s="115"/>
      <c r="J173" s="115" t="e" cm="1">
        <f t="array" ref="J173">MAX(_xlfn.XLOOKUP(D173,Table5[Driver],'Race Results'!$E$3:$E$22),_xlfn.XLOOKUP(E173,Table5[Driver],'Race Results'!$E$3:$E$22)*0.5)</f>
        <v>#N/A</v>
      </c>
    </row>
    <row r="174" spans="1:10" x14ac:dyDescent="0.3">
      <c r="A174" s="114" t="s">
        <v>501</v>
      </c>
      <c r="B174" s="115" t="s">
        <v>50</v>
      </c>
      <c r="C174" s="115" t="s">
        <v>29</v>
      </c>
      <c r="D174" s="115" t="s">
        <v>78</v>
      </c>
      <c r="E174" s="115" t="s">
        <v>86</v>
      </c>
      <c r="F174" s="115"/>
      <c r="G174" s="115"/>
      <c r="H174" s="115"/>
      <c r="I174" s="115"/>
      <c r="J174" s="115" t="e" cm="1">
        <f t="array" ref="J174">MAX(_xlfn.XLOOKUP(D174,Table5[Driver],'Race Results'!$E$3:$E$22),_xlfn.XLOOKUP(E174,Table5[Driver],'Race Results'!$E$3:$E$22)*0.5)</f>
        <v>#N/A</v>
      </c>
    </row>
    <row r="175" spans="1:10" x14ac:dyDescent="0.3">
      <c r="A175" s="114" t="s">
        <v>502</v>
      </c>
      <c r="B175" s="115" t="s">
        <v>45</v>
      </c>
      <c r="C175" s="115" t="s">
        <v>29</v>
      </c>
      <c r="D175" s="115" t="s">
        <v>86</v>
      </c>
      <c r="E175" s="115" t="s">
        <v>82</v>
      </c>
      <c r="F175" s="115"/>
      <c r="G175" s="115"/>
      <c r="H175" s="115"/>
      <c r="I175" s="115"/>
      <c r="J175" s="115" t="e" cm="1">
        <f t="array" ref="J175">MAX(_xlfn.XLOOKUP(D175,Table5[Driver],'Race Results'!$E$3:$E$22),_xlfn.XLOOKUP(E175,Table5[Driver],'Race Results'!$E$3:$E$22)*0.5)</f>
        <v>#N/A</v>
      </c>
    </row>
    <row r="176" spans="1:10" x14ac:dyDescent="0.3">
      <c r="A176" s="114" t="s">
        <v>503</v>
      </c>
      <c r="B176" s="115" t="s">
        <v>48</v>
      </c>
      <c r="C176" s="115" t="s">
        <v>29</v>
      </c>
      <c r="D176" s="115" t="s">
        <v>78</v>
      </c>
      <c r="E176" s="115" t="s">
        <v>82</v>
      </c>
      <c r="F176" s="115"/>
      <c r="G176" s="115"/>
      <c r="H176" s="115"/>
      <c r="I176" s="115"/>
      <c r="J176" s="115" t="e" cm="1">
        <f t="array" ref="J176">MAX(_xlfn.XLOOKUP(D176,Table5[Driver],'Race Results'!$E$3:$E$22),_xlfn.XLOOKUP(E176,Table5[Driver],'Race Results'!$E$3:$E$22)*0.5)</f>
        <v>#N/A</v>
      </c>
    </row>
    <row r="177" spans="1:10" x14ac:dyDescent="0.3">
      <c r="A177" s="114" t="s">
        <v>504</v>
      </c>
      <c r="B177" s="115" t="s">
        <v>61</v>
      </c>
      <c r="C177" s="115" t="s">
        <v>29</v>
      </c>
      <c r="D177" s="115" t="s">
        <v>78</v>
      </c>
      <c r="E177" s="115" t="s">
        <v>75</v>
      </c>
      <c r="F177" s="115"/>
      <c r="G177" s="115"/>
      <c r="H177" s="115"/>
      <c r="I177" s="115"/>
      <c r="J177" s="115" t="e" cm="1">
        <f t="array" ref="J177">MAX(_xlfn.XLOOKUP(D177,Table5[Driver],'Race Results'!$E$3:$E$22),_xlfn.XLOOKUP(E177,Table5[Driver],'Race Results'!$E$3:$E$22)*0.5)</f>
        <v>#N/A</v>
      </c>
    </row>
    <row r="178" spans="1:10" x14ac:dyDescent="0.3">
      <c r="A178" s="114" t="s">
        <v>505</v>
      </c>
      <c r="B178" s="115" t="s">
        <v>50</v>
      </c>
      <c r="C178" s="115" t="s">
        <v>30</v>
      </c>
      <c r="D178" s="115" t="s">
        <v>77</v>
      </c>
      <c r="E178" s="115" t="s">
        <v>85</v>
      </c>
      <c r="F178" s="115"/>
      <c r="G178" s="115"/>
      <c r="H178" s="115"/>
      <c r="I178" s="115"/>
      <c r="J178" s="115" t="e" cm="1">
        <f t="array" ref="J178">MAX(_xlfn.XLOOKUP(D178,Table5[Driver],'Race Results'!$E$3:$E$22),_xlfn.XLOOKUP(E178,Table5[Driver],'Race Results'!$E$3:$E$22)*0.5)</f>
        <v>#N/A</v>
      </c>
    </row>
    <row r="179" spans="1:10" x14ac:dyDescent="0.3">
      <c r="A179" s="114" t="s">
        <v>506</v>
      </c>
      <c r="B179" s="115" t="s">
        <v>52</v>
      </c>
      <c r="C179" s="115" t="s">
        <v>30</v>
      </c>
      <c r="D179" s="115" t="s">
        <v>81</v>
      </c>
      <c r="E179" s="115" t="s">
        <v>80</v>
      </c>
      <c r="F179" s="115"/>
      <c r="G179" s="115"/>
      <c r="H179" s="115"/>
      <c r="I179" s="115"/>
      <c r="J179" s="115" t="e" cm="1">
        <f t="array" ref="J179">MAX(_xlfn.XLOOKUP(D179,Table5[Driver],'Race Results'!$E$3:$E$22),_xlfn.XLOOKUP(E179,Table5[Driver],'Race Results'!$E$3:$E$22)*0.5)</f>
        <v>#N/A</v>
      </c>
    </row>
    <row r="180" spans="1:10" x14ac:dyDescent="0.3">
      <c r="A180" s="114" t="s">
        <v>507</v>
      </c>
      <c r="B180" s="115" t="s">
        <v>65</v>
      </c>
      <c r="C180" s="115" t="s">
        <v>30</v>
      </c>
      <c r="D180" s="115" t="s">
        <v>77</v>
      </c>
      <c r="E180" s="115" t="s">
        <v>85</v>
      </c>
      <c r="F180" s="115"/>
      <c r="G180" s="115"/>
      <c r="H180" s="115"/>
      <c r="I180" s="115"/>
      <c r="J180" s="115" t="e" cm="1">
        <f t="array" ref="J180">MAX(_xlfn.XLOOKUP(D180,Table5[Driver],'Race Results'!$E$3:$E$22),_xlfn.XLOOKUP(E180,Table5[Driver],'Race Results'!$E$3:$E$22)*0.5)</f>
        <v>#N/A</v>
      </c>
    </row>
    <row r="181" spans="1:10" x14ac:dyDescent="0.3">
      <c r="A181" s="114" t="s">
        <v>508</v>
      </c>
      <c r="B181" s="115" t="s">
        <v>69</v>
      </c>
      <c r="C181" s="115" t="s">
        <v>30</v>
      </c>
      <c r="D181" s="115" t="s">
        <v>77</v>
      </c>
      <c r="E181" s="115" t="s">
        <v>78</v>
      </c>
      <c r="F181" s="115"/>
      <c r="G181" s="115"/>
      <c r="H181" s="115"/>
      <c r="I181" s="115"/>
      <c r="J181" s="115" t="e" cm="1">
        <f t="array" ref="J181">MAX(_xlfn.XLOOKUP(D181,Table5[Driver],'Race Results'!$E$3:$E$22),_xlfn.XLOOKUP(E181,Table5[Driver],'Race Results'!$E$3:$E$22)*0.5)</f>
        <v>#N/A</v>
      </c>
    </row>
    <row r="182" spans="1:10" x14ac:dyDescent="0.3">
      <c r="A182" s="114" t="s">
        <v>509</v>
      </c>
      <c r="B182" s="115" t="s">
        <v>47</v>
      </c>
      <c r="C182" s="115" t="s">
        <v>30</v>
      </c>
      <c r="D182" s="115" t="s">
        <v>86</v>
      </c>
      <c r="E182" s="115" t="s">
        <v>77</v>
      </c>
      <c r="F182" s="115"/>
      <c r="G182" s="115"/>
      <c r="H182" s="115"/>
      <c r="I182" s="115"/>
      <c r="J182" s="115" t="e" cm="1">
        <f t="array" ref="J182">MAX(_xlfn.XLOOKUP(D182,Table5[Driver],'Race Results'!$E$3:$E$22),_xlfn.XLOOKUP(E182,Table5[Driver],'Race Results'!$E$3:$E$22)*0.5)</f>
        <v>#N/A</v>
      </c>
    </row>
    <row r="183" spans="1:10" x14ac:dyDescent="0.3">
      <c r="A183" s="114" t="s">
        <v>510</v>
      </c>
      <c r="B183" s="115" t="s">
        <v>44</v>
      </c>
      <c r="C183" s="115" t="s">
        <v>30</v>
      </c>
      <c r="D183" s="115" t="s">
        <v>79</v>
      </c>
      <c r="E183" s="115" t="s">
        <v>77</v>
      </c>
      <c r="F183" s="115"/>
      <c r="G183" s="115"/>
      <c r="H183" s="115"/>
      <c r="I183" s="115"/>
      <c r="J183" s="115" t="e" cm="1">
        <f t="array" ref="J183">MAX(_xlfn.XLOOKUP(D183,Table5[Driver],'Race Results'!$E$3:$E$22),_xlfn.XLOOKUP(E183,Table5[Driver],'Race Results'!$E$3:$E$22)*0.5)</f>
        <v>#N/A</v>
      </c>
    </row>
    <row r="184" spans="1:10" x14ac:dyDescent="0.3">
      <c r="A184" s="114" t="s">
        <v>511</v>
      </c>
      <c r="B184" s="115" t="s">
        <v>55</v>
      </c>
      <c r="C184" s="115" t="s">
        <v>30</v>
      </c>
      <c r="D184" s="115" t="s">
        <v>77</v>
      </c>
      <c r="E184" s="115" t="s">
        <v>80</v>
      </c>
      <c r="F184" s="115"/>
      <c r="G184" s="115"/>
      <c r="H184" s="115"/>
      <c r="I184" s="115"/>
      <c r="J184" s="115" t="e" cm="1">
        <f t="array" ref="J184">MAX(_xlfn.XLOOKUP(D184,Table5[Driver],'Race Results'!$E$3:$E$22),_xlfn.XLOOKUP(E184,Table5[Driver],'Race Results'!$E$3:$E$22)*0.5)</f>
        <v>#N/A</v>
      </c>
    </row>
    <row r="185" spans="1:10" x14ac:dyDescent="0.3">
      <c r="A185" s="114" t="s">
        <v>512</v>
      </c>
      <c r="B185" s="115" t="s">
        <v>59</v>
      </c>
      <c r="C185" s="115" t="s">
        <v>30</v>
      </c>
      <c r="D185" s="115" t="s">
        <v>86</v>
      </c>
      <c r="E185" s="115" t="s">
        <v>77</v>
      </c>
      <c r="F185" s="115"/>
      <c r="G185" s="115"/>
      <c r="H185" s="115"/>
      <c r="I185" s="115"/>
      <c r="J185" s="115" t="e" cm="1">
        <f t="array" ref="J185">MAX(_xlfn.XLOOKUP(D185,Table5[Driver],'Race Results'!$E$3:$E$22),_xlfn.XLOOKUP(E185,Table5[Driver],'Race Results'!$E$3:$E$22)*0.5)</f>
        <v>#N/A</v>
      </c>
    </row>
    <row r="186" spans="1:10" x14ac:dyDescent="0.3">
      <c r="A186" s="114" t="s">
        <v>513</v>
      </c>
      <c r="B186" s="115" t="s">
        <v>68</v>
      </c>
      <c r="C186" s="115" t="s">
        <v>30</v>
      </c>
      <c r="D186" s="115" t="s">
        <v>86</v>
      </c>
      <c r="E186" s="115" t="s">
        <v>85</v>
      </c>
      <c r="F186" s="115"/>
      <c r="G186" s="115"/>
      <c r="H186" s="115"/>
      <c r="I186" s="115"/>
      <c r="J186" s="115" t="e" cm="1">
        <f t="array" ref="J186">MAX(_xlfn.XLOOKUP(D186,Table5[Driver],'Race Results'!$E$3:$E$22),_xlfn.XLOOKUP(E186,Table5[Driver],'Race Results'!$E$3:$E$22)*0.5)</f>
        <v>#N/A</v>
      </c>
    </row>
    <row r="187" spans="1:10" x14ac:dyDescent="0.3">
      <c r="A187" s="114" t="s">
        <v>514</v>
      </c>
      <c r="B187" s="115" t="s">
        <v>46</v>
      </c>
      <c r="C187" s="115" t="s">
        <v>30</v>
      </c>
      <c r="D187" s="115" t="s">
        <v>85</v>
      </c>
      <c r="E187" s="115" t="s">
        <v>77</v>
      </c>
      <c r="F187" s="115"/>
      <c r="G187" s="115"/>
      <c r="H187" s="115"/>
      <c r="I187" s="115"/>
      <c r="J187" s="115" t="e" cm="1">
        <f t="array" ref="J187">MAX(_xlfn.XLOOKUP(D187,Table5[Driver],'Race Results'!$E$3:$E$22),_xlfn.XLOOKUP(E187,Table5[Driver],'Race Results'!$E$3:$E$22)*0.5)</f>
        <v>#N/A</v>
      </c>
    </row>
    <row r="188" spans="1:10" x14ac:dyDescent="0.3">
      <c r="A188" s="114" t="s">
        <v>515</v>
      </c>
      <c r="B188" s="115" t="s">
        <v>63</v>
      </c>
      <c r="C188" s="115" t="s">
        <v>30</v>
      </c>
      <c r="D188" s="115" t="s">
        <v>79</v>
      </c>
      <c r="E188" s="115" t="s">
        <v>77</v>
      </c>
      <c r="F188" s="115"/>
      <c r="G188" s="115"/>
      <c r="H188" s="115"/>
      <c r="I188" s="115"/>
      <c r="J188" s="115" t="e" cm="1">
        <f t="array" ref="J188">MAX(_xlfn.XLOOKUP(D188,Table5[Driver],'Race Results'!$E$3:$E$22),_xlfn.XLOOKUP(E188,Table5[Driver],'Race Results'!$E$3:$E$22)*0.5)</f>
        <v>#N/A</v>
      </c>
    </row>
    <row r="189" spans="1:10" x14ac:dyDescent="0.3">
      <c r="A189" s="114" t="s">
        <v>516</v>
      </c>
      <c r="B189" s="115" t="s">
        <v>66</v>
      </c>
      <c r="C189" s="115" t="s">
        <v>30</v>
      </c>
      <c r="D189" s="115" t="s">
        <v>77</v>
      </c>
      <c r="E189" s="115" t="s">
        <v>78</v>
      </c>
      <c r="F189" s="115"/>
      <c r="G189" s="115"/>
      <c r="H189" s="115"/>
      <c r="I189" s="115"/>
      <c r="J189" s="115" t="e" cm="1">
        <f t="array" ref="J189">MAX(_xlfn.XLOOKUP(D189,Table5[Driver],'Race Results'!$E$3:$E$22),_xlfn.XLOOKUP(E189,Table5[Driver],'Race Results'!$E$3:$E$22)*0.5)</f>
        <v>#N/A</v>
      </c>
    </row>
    <row r="190" spans="1:10" x14ac:dyDescent="0.3">
      <c r="A190" s="114" t="s">
        <v>517</v>
      </c>
      <c r="B190" s="115" t="s">
        <v>51</v>
      </c>
      <c r="C190" s="115" t="s">
        <v>30</v>
      </c>
      <c r="D190" s="115" t="s">
        <v>79</v>
      </c>
      <c r="E190" s="115" t="s">
        <v>77</v>
      </c>
      <c r="F190" s="115"/>
      <c r="G190" s="115"/>
      <c r="H190" s="115"/>
      <c r="I190" s="115"/>
      <c r="J190" s="115" t="e" cm="1">
        <f t="array" ref="J190">MAX(_xlfn.XLOOKUP(D190,Table5[Driver],'Race Results'!$E$3:$E$22),_xlfn.XLOOKUP(E190,Table5[Driver],'Race Results'!$E$3:$E$22)*0.5)</f>
        <v>#N/A</v>
      </c>
    </row>
    <row r="191" spans="1:10" x14ac:dyDescent="0.3">
      <c r="A191" s="114" t="s">
        <v>518</v>
      </c>
      <c r="B191" s="115" t="s">
        <v>64</v>
      </c>
      <c r="C191" s="115" t="s">
        <v>30</v>
      </c>
      <c r="D191" s="115" t="s">
        <v>79</v>
      </c>
      <c r="E191" s="115" t="s">
        <v>78</v>
      </c>
      <c r="F191" s="115"/>
      <c r="G191" s="115"/>
      <c r="H191" s="115"/>
      <c r="I191" s="115"/>
      <c r="J191" s="115" t="e" cm="1">
        <f t="array" ref="J191">MAX(_xlfn.XLOOKUP(D191,Table5[Driver],'Race Results'!$E$3:$E$22),_xlfn.XLOOKUP(E191,Table5[Driver],'Race Results'!$E$3:$E$22)*0.5)</f>
        <v>#N/A</v>
      </c>
    </row>
    <row r="192" spans="1:10" x14ac:dyDescent="0.3">
      <c r="A192" s="114" t="s">
        <v>519</v>
      </c>
      <c r="B192" s="115" t="s">
        <v>49</v>
      </c>
      <c r="C192" s="115" t="s">
        <v>30</v>
      </c>
      <c r="D192" s="115" t="s">
        <v>78</v>
      </c>
      <c r="E192" s="115" t="s">
        <v>75</v>
      </c>
      <c r="F192" s="115"/>
      <c r="G192" s="115"/>
      <c r="H192" s="115"/>
      <c r="I192" s="115"/>
      <c r="J192" s="115" t="e" cm="1">
        <f t="array" ref="J192">MAX(_xlfn.XLOOKUP(D192,Table5[Driver],'Race Results'!$E$3:$E$22),_xlfn.XLOOKUP(E192,Table5[Driver],'Race Results'!$E$3:$E$22)*0.5)</f>
        <v>#N/A</v>
      </c>
    </row>
    <row r="193" spans="1:10" x14ac:dyDescent="0.3">
      <c r="A193" s="114" t="s">
        <v>520</v>
      </c>
      <c r="B193" s="115" t="s">
        <v>56</v>
      </c>
      <c r="C193" s="115" t="s">
        <v>30</v>
      </c>
      <c r="D193" s="115" t="s">
        <v>75</v>
      </c>
      <c r="E193" s="115" t="s">
        <v>85</v>
      </c>
      <c r="F193" s="115"/>
      <c r="G193" s="115"/>
      <c r="H193" s="115"/>
      <c r="I193" s="115"/>
      <c r="J193" s="115" t="e" cm="1">
        <f t="array" ref="J193">MAX(_xlfn.XLOOKUP(D193,Table5[Driver],'Race Results'!$E$3:$E$22),_xlfn.XLOOKUP(E193,Table5[Driver],'Race Results'!$E$3:$E$22)*0.5)</f>
        <v>#N/A</v>
      </c>
    </row>
    <row r="194" spans="1:10" x14ac:dyDescent="0.3">
      <c r="A194" s="114" t="s">
        <v>521</v>
      </c>
      <c r="B194" s="115" t="s">
        <v>53</v>
      </c>
      <c r="C194" s="115" t="s">
        <v>30</v>
      </c>
      <c r="D194" s="115" t="s">
        <v>85</v>
      </c>
      <c r="E194" s="115" t="s">
        <v>78</v>
      </c>
      <c r="F194" s="115"/>
      <c r="G194" s="115"/>
      <c r="H194" s="115"/>
      <c r="I194" s="115"/>
      <c r="J194" s="115" t="e" cm="1">
        <f t="array" ref="J194">MAX(_xlfn.XLOOKUP(D194,Table5[Driver],'Race Results'!$E$3:$E$22),_xlfn.XLOOKUP(E194,Table5[Driver],'Race Results'!$E$3:$E$22)*0.5)</f>
        <v>#N/A</v>
      </c>
    </row>
    <row r="195" spans="1:10" x14ac:dyDescent="0.3">
      <c r="A195" s="114" t="s">
        <v>522</v>
      </c>
      <c r="B195" s="115" t="s">
        <v>67</v>
      </c>
      <c r="C195" s="115" t="s">
        <v>30</v>
      </c>
      <c r="D195" s="115" t="s">
        <v>81</v>
      </c>
      <c r="E195" s="115" t="s">
        <v>75</v>
      </c>
      <c r="F195" s="115"/>
      <c r="G195" s="115"/>
      <c r="H195" s="115"/>
      <c r="I195" s="115"/>
      <c r="J195" s="115" t="e" cm="1">
        <f t="array" ref="J195">MAX(_xlfn.XLOOKUP(D195,Table5[Driver],'Race Results'!$E$3:$E$22),_xlfn.XLOOKUP(E195,Table5[Driver],'Race Results'!$E$3:$E$22)*0.5)</f>
        <v>#N/A</v>
      </c>
    </row>
    <row r="196" spans="1:10" x14ac:dyDescent="0.3">
      <c r="A196" s="114" t="s">
        <v>523</v>
      </c>
      <c r="B196" s="115" t="s">
        <v>57</v>
      </c>
      <c r="C196" s="115" t="s">
        <v>30</v>
      </c>
      <c r="D196" s="115" t="s">
        <v>85</v>
      </c>
      <c r="E196" s="115" t="s">
        <v>86</v>
      </c>
      <c r="F196" s="115"/>
      <c r="G196" s="115"/>
      <c r="H196" s="115"/>
      <c r="I196" s="115"/>
      <c r="J196" s="115" t="e" cm="1">
        <f t="array" ref="J196">MAX(_xlfn.XLOOKUP(D196,Table5[Driver],'Race Results'!$E$3:$E$22),_xlfn.XLOOKUP(E196,Table5[Driver],'Race Results'!$E$3:$E$22)*0.5)</f>
        <v>#N/A</v>
      </c>
    </row>
    <row r="197" spans="1:10" x14ac:dyDescent="0.3">
      <c r="A197" s="114" t="s">
        <v>524</v>
      </c>
      <c r="B197" s="115" t="s">
        <v>54</v>
      </c>
      <c r="C197" s="115" t="s">
        <v>30</v>
      </c>
      <c r="D197" s="115" t="s">
        <v>78</v>
      </c>
      <c r="E197" s="115" t="s">
        <v>77</v>
      </c>
      <c r="F197" s="115"/>
      <c r="G197" s="115"/>
      <c r="H197" s="115"/>
      <c r="I197" s="115"/>
      <c r="J197" s="115" t="e" cm="1">
        <f t="array" ref="J197">MAX(_xlfn.XLOOKUP(D197,Table5[Driver],'Race Results'!$E$3:$E$22),_xlfn.XLOOKUP(E197,Table5[Driver],'Race Results'!$E$3:$E$22)*0.5)</f>
        <v>#N/A</v>
      </c>
    </row>
    <row r="198" spans="1:10" x14ac:dyDescent="0.3">
      <c r="A198" s="114" t="s">
        <v>525</v>
      </c>
      <c r="B198" s="115" t="s">
        <v>60</v>
      </c>
      <c r="C198" s="115" t="s">
        <v>30</v>
      </c>
      <c r="D198" s="115" t="s">
        <v>86</v>
      </c>
      <c r="E198" s="115" t="s">
        <v>79</v>
      </c>
      <c r="F198" s="115"/>
      <c r="G198" s="115"/>
      <c r="H198" s="115"/>
      <c r="I198" s="115"/>
      <c r="J198" s="115" t="e" cm="1">
        <f t="array" ref="J198">MAX(_xlfn.XLOOKUP(D198,Table5[Driver],'Race Results'!$E$3:$E$22),_xlfn.XLOOKUP(E198,Table5[Driver],'Race Results'!$E$3:$E$22)*0.5)</f>
        <v>#N/A</v>
      </c>
    </row>
    <row r="199" spans="1:10" x14ac:dyDescent="0.3">
      <c r="A199" s="114" t="s">
        <v>526</v>
      </c>
      <c r="B199" s="115" t="s">
        <v>61</v>
      </c>
      <c r="C199" s="115" t="s">
        <v>30</v>
      </c>
      <c r="D199" s="115" t="s">
        <v>77</v>
      </c>
      <c r="E199" s="115" t="s">
        <v>78</v>
      </c>
      <c r="F199" s="115"/>
      <c r="G199" s="115"/>
      <c r="H199" s="115"/>
      <c r="I199" s="115"/>
      <c r="J199" s="115" t="e" cm="1">
        <f t="array" ref="J199">MAX(_xlfn.XLOOKUP(D199,Table5[Driver],'Race Results'!$E$3:$E$22),_xlfn.XLOOKUP(E199,Table5[Driver],'Race Results'!$E$3:$E$22)*0.5)</f>
        <v>#N/A</v>
      </c>
    </row>
    <row r="200" spans="1:10" x14ac:dyDescent="0.3">
      <c r="A200" s="114" t="s">
        <v>527</v>
      </c>
      <c r="B200" s="115" t="s">
        <v>62</v>
      </c>
      <c r="C200" s="115" t="s">
        <v>30</v>
      </c>
      <c r="D200" s="115" t="s">
        <v>93</v>
      </c>
      <c r="E200" s="115" t="s">
        <v>85</v>
      </c>
      <c r="F200" s="115"/>
      <c r="G200" s="115"/>
      <c r="H200" s="115"/>
      <c r="I200" s="115"/>
      <c r="J200" s="115" t="e" cm="1">
        <f t="array" ref="J200">MAX(_xlfn.XLOOKUP(D200,Table5[Driver],'Race Results'!$E$3:$E$22),_xlfn.XLOOKUP(E200,Table5[Driver],'Race Results'!$E$3:$E$22)*0.5)</f>
        <v>#N/A</v>
      </c>
    </row>
    <row r="201" spans="1:10" x14ac:dyDescent="0.3">
      <c r="A201" s="114" t="s">
        <v>528</v>
      </c>
      <c r="B201" s="115" t="s">
        <v>45</v>
      </c>
      <c r="C201" s="115" t="s">
        <v>30</v>
      </c>
      <c r="D201" s="115" t="s">
        <v>79</v>
      </c>
      <c r="E201" s="115" t="s">
        <v>85</v>
      </c>
      <c r="F201" s="115"/>
      <c r="G201" s="115"/>
      <c r="H201" s="115"/>
      <c r="I201" s="115"/>
      <c r="J201" s="115" t="e" cm="1">
        <f t="array" ref="J201">MAX(_xlfn.XLOOKUP(D201,Table5[Driver],'Race Results'!$E$3:$E$22),_xlfn.XLOOKUP(E201,Table5[Driver],'Race Results'!$E$3:$E$22)*0.5)</f>
        <v>#N/A</v>
      </c>
    </row>
    <row r="202" spans="1:10" x14ac:dyDescent="0.3">
      <c r="A202" s="114" t="s">
        <v>529</v>
      </c>
      <c r="B202" s="115" t="s">
        <v>48</v>
      </c>
      <c r="C202" s="115" t="s">
        <v>30</v>
      </c>
      <c r="D202" s="115" t="s">
        <v>85</v>
      </c>
      <c r="E202" s="115" t="s">
        <v>75</v>
      </c>
      <c r="F202" s="115"/>
      <c r="G202" s="115"/>
      <c r="H202" s="115"/>
      <c r="I202" s="115"/>
      <c r="J202" s="115" t="e" cm="1">
        <f t="array" ref="J202">MAX(_xlfn.XLOOKUP(D202,Table5[Driver],'Race Results'!$E$3:$E$22),_xlfn.XLOOKUP(E202,Table5[Driver],'Race Results'!$E$3:$E$22)*0.5)</f>
        <v>#N/A</v>
      </c>
    </row>
    <row r="203" spans="1:10" x14ac:dyDescent="0.3">
      <c r="A203" s="114" t="s">
        <v>530</v>
      </c>
      <c r="B203" s="115" t="s">
        <v>62</v>
      </c>
      <c r="C203" s="115" t="s">
        <v>31</v>
      </c>
      <c r="D203" s="115" t="s">
        <v>92</v>
      </c>
      <c r="E203" s="115" t="s">
        <v>93</v>
      </c>
      <c r="F203" s="115"/>
      <c r="G203" s="115"/>
      <c r="H203" s="115"/>
      <c r="I203" s="115"/>
      <c r="J203" s="115" t="e" cm="1">
        <f t="array" ref="J203">MAX(_xlfn.XLOOKUP(D203,Table5[Driver],'Race Results'!$E$3:$E$22),_xlfn.XLOOKUP(E203,Table5[Driver],'Race Results'!$E$3:$E$22)*0.5)</f>
        <v>#N/A</v>
      </c>
    </row>
    <row r="204" spans="1:10" x14ac:dyDescent="0.3">
      <c r="A204" s="114" t="s">
        <v>531</v>
      </c>
      <c r="B204" s="115" t="s">
        <v>49</v>
      </c>
      <c r="C204" s="115" t="s">
        <v>31</v>
      </c>
      <c r="D204" s="115" t="s">
        <v>77</v>
      </c>
      <c r="E204" s="115" t="s">
        <v>75</v>
      </c>
      <c r="F204" s="115"/>
      <c r="G204" s="115"/>
      <c r="H204" s="115"/>
      <c r="I204" s="115"/>
      <c r="J204" s="115" t="e" cm="1">
        <f t="array" ref="J204">MAX(_xlfn.XLOOKUP(D204,Table5[Driver],'Race Results'!$E$3:$E$22),_xlfn.XLOOKUP(E204,Table5[Driver],'Race Results'!$E$3:$E$22)*0.5)</f>
        <v>#N/A</v>
      </c>
    </row>
    <row r="205" spans="1:10" x14ac:dyDescent="0.3">
      <c r="A205" s="114" t="s">
        <v>532</v>
      </c>
      <c r="B205" s="115" t="s">
        <v>64</v>
      </c>
      <c r="C205" s="115" t="s">
        <v>31</v>
      </c>
      <c r="D205" s="115" t="s">
        <v>75</v>
      </c>
      <c r="E205" s="115" t="s">
        <v>79</v>
      </c>
      <c r="F205" s="115"/>
      <c r="G205" s="115"/>
      <c r="H205" s="115"/>
      <c r="I205" s="115"/>
      <c r="J205" s="115" t="e" cm="1">
        <f t="array" ref="J205">MAX(_xlfn.XLOOKUP(D205,Table5[Driver],'Race Results'!$E$3:$E$22),_xlfn.XLOOKUP(E205,Table5[Driver],'Race Results'!$E$3:$E$22)*0.5)</f>
        <v>#N/A</v>
      </c>
    </row>
    <row r="206" spans="1:10" x14ac:dyDescent="0.3">
      <c r="A206" s="114" t="s">
        <v>533</v>
      </c>
      <c r="B206" s="115" t="s">
        <v>55</v>
      </c>
      <c r="C206" s="115" t="s">
        <v>31</v>
      </c>
      <c r="D206" s="115" t="s">
        <v>75</v>
      </c>
      <c r="E206" s="115" t="s">
        <v>82</v>
      </c>
      <c r="F206" s="115"/>
      <c r="G206" s="115"/>
      <c r="H206" s="115"/>
      <c r="I206" s="115"/>
      <c r="J206" s="115" t="e" cm="1">
        <f t="array" ref="J206">MAX(_xlfn.XLOOKUP(D206,Table5[Driver],'Race Results'!$E$3:$E$22),_xlfn.XLOOKUP(E206,Table5[Driver],'Race Results'!$E$3:$E$22)*0.5)</f>
        <v>#N/A</v>
      </c>
    </row>
    <row r="207" spans="1:10" x14ac:dyDescent="0.3">
      <c r="A207" s="114" t="s">
        <v>534</v>
      </c>
      <c r="B207" s="115" t="s">
        <v>46</v>
      </c>
      <c r="C207" s="115" t="s">
        <v>31</v>
      </c>
      <c r="D207" s="115" t="s">
        <v>82</v>
      </c>
      <c r="E207" s="115" t="s">
        <v>85</v>
      </c>
      <c r="F207" s="115"/>
      <c r="G207" s="115"/>
      <c r="H207" s="115"/>
      <c r="I207" s="115"/>
      <c r="J207" s="115" t="e" cm="1">
        <f t="array" ref="J207">MAX(_xlfn.XLOOKUP(D207,Table5[Driver],'Race Results'!$E$3:$E$22),_xlfn.XLOOKUP(E207,Table5[Driver],'Race Results'!$E$3:$E$22)*0.5)</f>
        <v>#N/A</v>
      </c>
    </row>
    <row r="208" spans="1:10" x14ac:dyDescent="0.3">
      <c r="A208" s="114" t="s">
        <v>535</v>
      </c>
      <c r="B208" s="115" t="s">
        <v>47</v>
      </c>
      <c r="C208" s="115" t="s">
        <v>31</v>
      </c>
      <c r="D208" s="115" t="s">
        <v>75</v>
      </c>
      <c r="E208" s="115" t="s">
        <v>82</v>
      </c>
      <c r="F208" s="115"/>
      <c r="G208" s="115"/>
      <c r="H208" s="115"/>
      <c r="I208" s="115"/>
      <c r="J208" s="115" t="e" cm="1">
        <f t="array" ref="J208">MAX(_xlfn.XLOOKUP(D208,Table5[Driver],'Race Results'!$E$3:$E$22),_xlfn.XLOOKUP(E208,Table5[Driver],'Race Results'!$E$3:$E$22)*0.5)</f>
        <v>#N/A</v>
      </c>
    </row>
    <row r="209" spans="1:10" x14ac:dyDescent="0.3">
      <c r="A209" s="114" t="s">
        <v>536</v>
      </c>
      <c r="B209" s="115" t="s">
        <v>65</v>
      </c>
      <c r="C209" s="115" t="s">
        <v>31</v>
      </c>
      <c r="D209" s="115" t="s">
        <v>82</v>
      </c>
      <c r="E209" s="115" t="s">
        <v>77</v>
      </c>
      <c r="F209" s="115"/>
      <c r="G209" s="115"/>
      <c r="H209" s="115"/>
      <c r="I209" s="115"/>
      <c r="J209" s="115" t="e" cm="1">
        <f t="array" ref="J209">MAX(_xlfn.XLOOKUP(D209,Table5[Driver],'Race Results'!$E$3:$E$22),_xlfn.XLOOKUP(E209,Table5[Driver],'Race Results'!$E$3:$E$22)*0.5)</f>
        <v>#N/A</v>
      </c>
    </row>
    <row r="210" spans="1:10" x14ac:dyDescent="0.3">
      <c r="A210" s="114" t="s">
        <v>537</v>
      </c>
      <c r="B210" s="115" t="s">
        <v>66</v>
      </c>
      <c r="C210" s="115" t="s">
        <v>31</v>
      </c>
      <c r="D210" s="115" t="s">
        <v>85</v>
      </c>
      <c r="E210" s="115" t="s">
        <v>79</v>
      </c>
      <c r="F210" s="115"/>
      <c r="G210" s="115"/>
      <c r="H210" s="115"/>
      <c r="I210" s="115"/>
      <c r="J210" s="115" t="e" cm="1">
        <f t="array" ref="J210">MAX(_xlfn.XLOOKUP(D210,Table5[Driver],'Race Results'!$E$3:$E$22),_xlfn.XLOOKUP(E210,Table5[Driver],'Race Results'!$E$3:$E$22)*0.5)</f>
        <v>#N/A</v>
      </c>
    </row>
    <row r="211" spans="1:10" x14ac:dyDescent="0.3">
      <c r="A211" s="114" t="s">
        <v>538</v>
      </c>
      <c r="B211" s="115" t="s">
        <v>50</v>
      </c>
      <c r="C211" s="115" t="s">
        <v>31</v>
      </c>
      <c r="D211" s="115" t="s">
        <v>75</v>
      </c>
      <c r="E211" s="115" t="s">
        <v>82</v>
      </c>
      <c r="F211" s="115"/>
      <c r="G211" s="115"/>
      <c r="H211" s="115"/>
      <c r="I211" s="115"/>
      <c r="J211" s="115" t="e" cm="1">
        <f t="array" ref="J211">MAX(_xlfn.XLOOKUP(D211,Table5[Driver],'Race Results'!$E$3:$E$22),_xlfn.XLOOKUP(E211,Table5[Driver],'Race Results'!$E$3:$E$22)*0.5)</f>
        <v>#N/A</v>
      </c>
    </row>
    <row r="212" spans="1:10" x14ac:dyDescent="0.3">
      <c r="A212" s="114" t="s">
        <v>539</v>
      </c>
      <c r="B212" s="115" t="s">
        <v>44</v>
      </c>
      <c r="C212" s="115" t="s">
        <v>31</v>
      </c>
      <c r="D212" s="115" t="s">
        <v>75</v>
      </c>
      <c r="E212" s="115" t="s">
        <v>77</v>
      </c>
      <c r="F212" s="115"/>
      <c r="G212" s="115"/>
      <c r="H212" s="115"/>
      <c r="I212" s="115"/>
      <c r="J212" s="115" t="e" cm="1">
        <f t="array" ref="J212">MAX(_xlfn.XLOOKUP(D212,Table5[Driver],'Race Results'!$E$3:$E$22),_xlfn.XLOOKUP(E212,Table5[Driver],'Race Results'!$E$3:$E$22)*0.5)</f>
        <v>#N/A</v>
      </c>
    </row>
    <row r="213" spans="1:10" x14ac:dyDescent="0.3">
      <c r="A213" s="114" t="s">
        <v>540</v>
      </c>
      <c r="B213" s="115" t="s">
        <v>54</v>
      </c>
      <c r="C213" s="115" t="s">
        <v>31</v>
      </c>
      <c r="D213" s="115" t="s">
        <v>82</v>
      </c>
      <c r="E213" s="115" t="s">
        <v>77</v>
      </c>
      <c r="F213" s="115"/>
      <c r="G213" s="115"/>
      <c r="H213" s="115"/>
      <c r="I213" s="115"/>
      <c r="J213" s="115" t="e" cm="1">
        <f t="array" ref="J213">MAX(_xlfn.XLOOKUP(D213,Table5[Driver],'Race Results'!$E$3:$E$22),_xlfn.XLOOKUP(E213,Table5[Driver],'Race Results'!$E$3:$E$22)*0.5)</f>
        <v>#N/A</v>
      </c>
    </row>
    <row r="214" spans="1:10" x14ac:dyDescent="0.3">
      <c r="A214" s="114" t="s">
        <v>541</v>
      </c>
      <c r="B214" s="115" t="s">
        <v>63</v>
      </c>
      <c r="C214" s="115" t="s">
        <v>31</v>
      </c>
      <c r="D214" s="115" t="s">
        <v>77</v>
      </c>
      <c r="E214" s="115" t="s">
        <v>81</v>
      </c>
      <c r="F214" s="115"/>
      <c r="G214" s="115"/>
      <c r="H214" s="115"/>
      <c r="I214" s="115"/>
      <c r="J214" s="115" t="e" cm="1">
        <f t="array" ref="J214">MAX(_xlfn.XLOOKUP(D214,Table5[Driver],'Race Results'!$E$3:$E$22),_xlfn.XLOOKUP(E214,Table5[Driver],'Race Results'!$E$3:$E$22)*0.5)</f>
        <v>#N/A</v>
      </c>
    </row>
    <row r="215" spans="1:10" x14ac:dyDescent="0.3">
      <c r="A215" s="114" t="s">
        <v>542</v>
      </c>
      <c r="B215" s="115" t="s">
        <v>48</v>
      </c>
      <c r="C215" s="115" t="s">
        <v>31</v>
      </c>
      <c r="D215" s="115" t="s">
        <v>77</v>
      </c>
      <c r="E215" s="115" t="s">
        <v>85</v>
      </c>
      <c r="F215" s="115"/>
      <c r="G215" s="115"/>
      <c r="H215" s="115"/>
      <c r="I215" s="115"/>
      <c r="J215" s="115" t="e" cm="1">
        <f t="array" ref="J215">MAX(_xlfn.XLOOKUP(D215,Table5[Driver],'Race Results'!$E$3:$E$22),_xlfn.XLOOKUP(E215,Table5[Driver],'Race Results'!$E$3:$E$22)*0.5)</f>
        <v>#N/A</v>
      </c>
    </row>
    <row r="216" spans="1:10" x14ac:dyDescent="0.3">
      <c r="A216" s="114" t="s">
        <v>543</v>
      </c>
      <c r="B216" s="115" t="s">
        <v>67</v>
      </c>
      <c r="C216" s="115" t="s">
        <v>31</v>
      </c>
      <c r="D216" s="115" t="s">
        <v>85</v>
      </c>
      <c r="E216" s="115" t="s">
        <v>78</v>
      </c>
      <c r="F216" s="115"/>
      <c r="G216" s="115"/>
      <c r="H216" s="115"/>
      <c r="I216" s="115"/>
      <c r="J216" s="115" t="e" cm="1">
        <f t="array" ref="J216">MAX(_xlfn.XLOOKUP(D216,Table5[Driver],'Race Results'!$E$3:$E$22),_xlfn.XLOOKUP(E216,Table5[Driver],'Race Results'!$E$3:$E$22)*0.5)</f>
        <v>#N/A</v>
      </c>
    </row>
    <row r="217" spans="1:10" x14ac:dyDescent="0.3">
      <c r="A217" s="114" t="s">
        <v>544</v>
      </c>
      <c r="B217" s="115" t="s">
        <v>52</v>
      </c>
      <c r="C217" s="115" t="s">
        <v>31</v>
      </c>
      <c r="D217" s="115" t="s">
        <v>82</v>
      </c>
      <c r="E217" s="115" t="s">
        <v>77</v>
      </c>
      <c r="F217" s="115"/>
      <c r="G217" s="115"/>
      <c r="H217" s="115"/>
      <c r="I217" s="115"/>
      <c r="J217" s="115" t="e" cm="1">
        <f t="array" ref="J217">MAX(_xlfn.XLOOKUP(D217,Table5[Driver],'Race Results'!$E$3:$E$22),_xlfn.XLOOKUP(E217,Table5[Driver],'Race Results'!$E$3:$E$22)*0.5)</f>
        <v>#N/A</v>
      </c>
    </row>
    <row r="218" spans="1:10" x14ac:dyDescent="0.3">
      <c r="A218" s="114" t="s">
        <v>545</v>
      </c>
      <c r="B218" s="115" t="s">
        <v>58</v>
      </c>
      <c r="C218" s="115" t="s">
        <v>31</v>
      </c>
      <c r="D218" s="115" t="s">
        <v>85</v>
      </c>
      <c r="E218" s="115" t="s">
        <v>77</v>
      </c>
      <c r="F218" s="115"/>
      <c r="G218" s="115"/>
      <c r="H218" s="115"/>
      <c r="I218" s="115"/>
      <c r="J218" s="115" t="e" cm="1">
        <f t="array" ref="J218">MAX(_xlfn.XLOOKUP(D218,Table5[Driver],'Race Results'!$E$3:$E$22),_xlfn.XLOOKUP(E218,Table5[Driver],'Race Results'!$E$3:$E$22)*0.5)</f>
        <v>#N/A</v>
      </c>
    </row>
    <row r="219" spans="1:10" x14ac:dyDescent="0.3">
      <c r="A219" s="114" t="s">
        <v>546</v>
      </c>
      <c r="B219" s="115" t="s">
        <v>69</v>
      </c>
      <c r="C219" s="115" t="s">
        <v>31</v>
      </c>
      <c r="D219" s="115" t="s">
        <v>76</v>
      </c>
      <c r="E219" s="115" t="s">
        <v>91</v>
      </c>
      <c r="F219" s="115"/>
      <c r="G219" s="115"/>
      <c r="H219" s="115"/>
      <c r="I219" s="115"/>
      <c r="J219" s="115" t="e" cm="1">
        <f t="array" ref="J219">MAX(_xlfn.XLOOKUP(D219,Table5[Driver],'Race Results'!$E$3:$E$22),_xlfn.XLOOKUP(E219,Table5[Driver],'Race Results'!$E$3:$E$22)*0.5)</f>
        <v>#N/A</v>
      </c>
    </row>
    <row r="220" spans="1:10" x14ac:dyDescent="0.3">
      <c r="A220" s="114" t="s">
        <v>547</v>
      </c>
      <c r="B220" s="115" t="s">
        <v>56</v>
      </c>
      <c r="C220" s="115" t="s">
        <v>31</v>
      </c>
      <c r="D220" s="115" t="s">
        <v>78</v>
      </c>
      <c r="E220" s="115" t="s">
        <v>85</v>
      </c>
      <c r="F220" s="115"/>
      <c r="G220" s="115"/>
      <c r="H220" s="115"/>
      <c r="I220" s="115"/>
      <c r="J220" s="115" t="e" cm="1">
        <f t="array" ref="J220">MAX(_xlfn.XLOOKUP(D220,Table5[Driver],'Race Results'!$E$3:$E$22),_xlfn.XLOOKUP(E220,Table5[Driver],'Race Results'!$E$3:$E$22)*0.5)</f>
        <v>#N/A</v>
      </c>
    </row>
    <row r="221" spans="1:10" x14ac:dyDescent="0.3">
      <c r="A221" s="114" t="s">
        <v>548</v>
      </c>
      <c r="B221" s="115" t="s">
        <v>59</v>
      </c>
      <c r="C221" s="115" t="s">
        <v>31</v>
      </c>
      <c r="D221" s="115" t="s">
        <v>78</v>
      </c>
      <c r="E221" s="115" t="s">
        <v>82</v>
      </c>
      <c r="F221" s="115"/>
      <c r="G221" s="115"/>
      <c r="H221" s="115"/>
      <c r="I221" s="115"/>
      <c r="J221" s="115" t="e" cm="1">
        <f t="array" ref="J221">MAX(_xlfn.XLOOKUP(D221,Table5[Driver],'Race Results'!$E$3:$E$22),_xlfn.XLOOKUP(E221,Table5[Driver],'Race Results'!$E$3:$E$22)*0.5)</f>
        <v>#N/A</v>
      </c>
    </row>
    <row r="222" spans="1:10" x14ac:dyDescent="0.3">
      <c r="A222" s="114" t="s">
        <v>549</v>
      </c>
      <c r="B222" s="115" t="s">
        <v>60</v>
      </c>
      <c r="C222" s="115" t="s">
        <v>31</v>
      </c>
      <c r="D222" s="115" t="s">
        <v>85</v>
      </c>
      <c r="E222" s="115" t="s">
        <v>75</v>
      </c>
      <c r="F222" s="115"/>
      <c r="G222" s="115"/>
      <c r="H222" s="115"/>
      <c r="I222" s="115"/>
      <c r="J222" s="115" t="e" cm="1">
        <f t="array" ref="J222">MAX(_xlfn.XLOOKUP(D222,Table5[Driver],'Race Results'!$E$3:$E$22),_xlfn.XLOOKUP(E222,Table5[Driver],'Race Results'!$E$3:$E$22)*0.5)</f>
        <v>#N/A</v>
      </c>
    </row>
    <row r="223" spans="1:10" x14ac:dyDescent="0.3">
      <c r="A223" s="114" t="s">
        <v>550</v>
      </c>
      <c r="B223" s="115" t="s">
        <v>53</v>
      </c>
      <c r="C223" s="115" t="s">
        <v>31</v>
      </c>
      <c r="D223" s="115" t="s">
        <v>85</v>
      </c>
      <c r="E223" s="115" t="s">
        <v>78</v>
      </c>
      <c r="F223" s="115"/>
      <c r="G223" s="115"/>
      <c r="H223" s="115"/>
      <c r="I223" s="115"/>
      <c r="J223" s="115" t="e" cm="1">
        <f t="array" ref="J223">MAX(_xlfn.XLOOKUP(D223,Table5[Driver],'Race Results'!$E$3:$E$22),_xlfn.XLOOKUP(E223,Table5[Driver],'Race Results'!$E$3:$E$22)*0.5)</f>
        <v>#N/A</v>
      </c>
    </row>
    <row r="224" spans="1:10" x14ac:dyDescent="0.3">
      <c r="A224" s="114" t="s">
        <v>551</v>
      </c>
      <c r="B224" s="115" t="s">
        <v>68</v>
      </c>
      <c r="C224" s="115" t="s">
        <v>31</v>
      </c>
      <c r="D224" s="115" t="s">
        <v>85</v>
      </c>
      <c r="E224" s="115" t="s">
        <v>91</v>
      </c>
      <c r="F224" s="115"/>
      <c r="G224" s="115"/>
      <c r="H224" s="115"/>
      <c r="I224" s="115"/>
      <c r="J224" s="115" t="e" cm="1">
        <f t="array" ref="J224">MAX(_xlfn.XLOOKUP(D224,Table5[Driver],'Race Results'!$E$3:$E$22),_xlfn.XLOOKUP(E224,Table5[Driver],'Race Results'!$E$3:$E$22)*0.5)</f>
        <v>#N/A</v>
      </c>
    </row>
    <row r="225" spans="1:10" x14ac:dyDescent="0.3">
      <c r="A225" s="114" t="s">
        <v>552</v>
      </c>
      <c r="B225" s="115" t="s">
        <v>45</v>
      </c>
      <c r="C225" s="115" t="s">
        <v>31</v>
      </c>
      <c r="D225" s="115" t="s">
        <v>78</v>
      </c>
      <c r="E225" s="115" t="s">
        <v>85</v>
      </c>
      <c r="F225" s="115"/>
      <c r="G225" s="115"/>
      <c r="H225" s="115"/>
      <c r="I225" s="115"/>
      <c r="J225" s="115" t="e" cm="1">
        <f t="array" ref="J225">MAX(_xlfn.XLOOKUP(D225,Table5[Driver],'Race Results'!$E$3:$E$22),_xlfn.XLOOKUP(E225,Table5[Driver],'Race Results'!$E$3:$E$22)*0.5)</f>
        <v>#N/A</v>
      </c>
    </row>
    <row r="226" spans="1:10" x14ac:dyDescent="0.3">
      <c r="A226" s="114" t="s">
        <v>553</v>
      </c>
      <c r="B226" s="115" t="s">
        <v>51</v>
      </c>
      <c r="C226" s="115" t="s">
        <v>31</v>
      </c>
      <c r="D226" s="115" t="s">
        <v>85</v>
      </c>
      <c r="E226" s="115" t="s">
        <v>75</v>
      </c>
      <c r="F226" s="115"/>
      <c r="G226" s="115"/>
      <c r="H226" s="115"/>
      <c r="I226" s="115"/>
      <c r="J226" s="115" t="e" cm="1">
        <f t="array" ref="J226">MAX(_xlfn.XLOOKUP(D226,Table5[Driver],'Race Results'!$E$3:$E$22),_xlfn.XLOOKUP(E226,Table5[Driver],'Race Results'!$E$3:$E$22)*0.5)</f>
        <v>#N/A</v>
      </c>
    </row>
    <row r="227" spans="1:10" x14ac:dyDescent="0.3">
      <c r="A227" s="114" t="s">
        <v>554</v>
      </c>
      <c r="B227" s="115" t="s">
        <v>61</v>
      </c>
      <c r="C227" s="115" t="s">
        <v>31</v>
      </c>
      <c r="D227" s="115" t="s">
        <v>75</v>
      </c>
      <c r="E227" s="115" t="s">
        <v>82</v>
      </c>
      <c r="F227" s="115"/>
      <c r="G227" s="115"/>
      <c r="H227" s="115"/>
      <c r="I227" s="115"/>
      <c r="J227" s="115" t="e" cm="1">
        <f t="array" ref="J227">MAX(_xlfn.XLOOKUP(D227,Table5[Driver],'Race Results'!$E$3:$E$22),_xlfn.XLOOKUP(E227,Table5[Driver],'Race Results'!$E$3:$E$22)*0.5)</f>
        <v>#N/A</v>
      </c>
    </row>
    <row r="228" spans="1:10" x14ac:dyDescent="0.3">
      <c r="A228" s="114" t="s">
        <v>555</v>
      </c>
      <c r="B228" s="115" t="s">
        <v>57</v>
      </c>
      <c r="C228" s="115" t="s">
        <v>31</v>
      </c>
      <c r="D228" s="115" t="s">
        <v>75</v>
      </c>
      <c r="E228" s="115" t="s">
        <v>85</v>
      </c>
      <c r="F228" s="115"/>
      <c r="G228" s="115"/>
      <c r="H228" s="115"/>
      <c r="I228" s="115"/>
      <c r="J228" s="115" t="e" cm="1">
        <f t="array" ref="J228">MAX(_xlfn.XLOOKUP(D228,Table5[Driver],'Race Results'!$E$3:$E$22),_xlfn.XLOOKUP(E228,Table5[Driver],'Race Results'!$E$3:$E$22)*0.5)</f>
        <v>#N/A</v>
      </c>
    </row>
    <row r="229" spans="1:10" x14ac:dyDescent="0.3">
      <c r="A229" s="114" t="s">
        <v>556</v>
      </c>
      <c r="B229" s="115" t="s">
        <v>69</v>
      </c>
      <c r="C229" s="115" t="s">
        <v>208</v>
      </c>
      <c r="D229" s="115" t="s">
        <v>209</v>
      </c>
      <c r="E229" s="115" t="s">
        <v>81</v>
      </c>
      <c r="F229" s="115"/>
      <c r="G229" s="115"/>
      <c r="H229" s="115"/>
      <c r="I229" s="115"/>
      <c r="J229" s="115" t="e" cm="1">
        <f t="array" ref="J229">MAX(_xlfn.XLOOKUP(D229,Table5[Driver],'Race Results'!$E$3:$E$22),_xlfn.XLOOKUP(E229,Table5[Driver],'Race Results'!$E$3:$E$22)*0.5)</f>
        <v>#N/A</v>
      </c>
    </row>
    <row r="230" spans="1:10" x14ac:dyDescent="0.3">
      <c r="A230" s="114" t="s">
        <v>557</v>
      </c>
      <c r="B230" s="115" t="s">
        <v>62</v>
      </c>
      <c r="C230" s="115" t="s">
        <v>208</v>
      </c>
      <c r="D230" s="115" t="s">
        <v>80</v>
      </c>
      <c r="E230" s="115" t="s">
        <v>82</v>
      </c>
      <c r="F230" s="115"/>
      <c r="G230" s="115"/>
      <c r="H230" s="115"/>
      <c r="I230" s="115"/>
      <c r="J230" s="115" t="e" cm="1">
        <f t="array" ref="J230">MAX(_xlfn.XLOOKUP(D230,Table5[Driver],'Race Results'!$E$3:$E$22),_xlfn.XLOOKUP(E230,Table5[Driver],'Race Results'!$E$3:$E$22)*0.5)</f>
        <v>#N/A</v>
      </c>
    </row>
    <row r="231" spans="1:10" x14ac:dyDescent="0.3">
      <c r="A231" s="114" t="s">
        <v>558</v>
      </c>
      <c r="B231" s="115" t="s">
        <v>67</v>
      </c>
      <c r="C231" s="115" t="s">
        <v>208</v>
      </c>
      <c r="D231" s="115" t="s">
        <v>84</v>
      </c>
      <c r="E231" s="115" t="s">
        <v>87</v>
      </c>
      <c r="F231" s="115"/>
      <c r="G231" s="115"/>
      <c r="H231" s="115"/>
      <c r="I231" s="115"/>
      <c r="J231" s="115" t="e" cm="1">
        <f t="array" ref="J231">MAX(_xlfn.XLOOKUP(D231,Table5[Driver],'Race Results'!$E$3:$E$22),_xlfn.XLOOKUP(E231,Table5[Driver],'Race Results'!$E$3:$E$22)*0.5)</f>
        <v>#N/A</v>
      </c>
    </row>
    <row r="232" spans="1:10" x14ac:dyDescent="0.3">
      <c r="A232" s="114" t="s">
        <v>559</v>
      </c>
      <c r="B232" s="115" t="s">
        <v>57</v>
      </c>
      <c r="C232" s="115" t="s">
        <v>208</v>
      </c>
      <c r="D232" s="115" t="s">
        <v>84</v>
      </c>
      <c r="E232" s="115" t="s">
        <v>209</v>
      </c>
      <c r="F232" s="115"/>
      <c r="G232" s="115"/>
      <c r="H232" s="115"/>
      <c r="I232" s="115"/>
      <c r="J232" s="115" t="e" cm="1">
        <f t="array" ref="J232">MAX(_xlfn.XLOOKUP(D232,Table5[Driver],'Race Results'!$E$3:$E$22),_xlfn.XLOOKUP(E232,Table5[Driver],'Race Results'!$E$3:$E$22)*0.5)</f>
        <v>#N/A</v>
      </c>
    </row>
    <row r="233" spans="1:10" x14ac:dyDescent="0.3">
      <c r="A233" s="114" t="s">
        <v>560</v>
      </c>
      <c r="B233" s="115" t="s">
        <v>55</v>
      </c>
      <c r="C233" s="115" t="s">
        <v>208</v>
      </c>
      <c r="D233" s="115" t="s">
        <v>80</v>
      </c>
      <c r="E233" s="115" t="s">
        <v>209</v>
      </c>
      <c r="F233" s="115"/>
      <c r="G233" s="115"/>
      <c r="H233" s="115"/>
      <c r="I233" s="115"/>
      <c r="J233" s="115" t="e" cm="1">
        <f t="array" ref="J233">MAX(_xlfn.XLOOKUP(D233,Table5[Driver],'Race Results'!$E$3:$E$22),_xlfn.XLOOKUP(E233,Table5[Driver],'Race Results'!$E$3:$E$22)*0.5)</f>
        <v>#N/A</v>
      </c>
    </row>
    <row r="234" spans="1:10" x14ac:dyDescent="0.3">
      <c r="A234" s="114" t="s">
        <v>561</v>
      </c>
      <c r="B234" s="115" t="s">
        <v>44</v>
      </c>
      <c r="C234" s="115" t="s">
        <v>208</v>
      </c>
      <c r="D234" s="115" t="s">
        <v>209</v>
      </c>
      <c r="E234" s="115" t="s">
        <v>78</v>
      </c>
      <c r="F234" s="115"/>
      <c r="G234" s="115"/>
      <c r="H234" s="115"/>
      <c r="I234" s="115"/>
      <c r="J234" s="115" t="e" cm="1">
        <f t="array" ref="J234">MAX(_xlfn.XLOOKUP(D234,Table5[Driver],'Race Results'!$E$3:$E$22),_xlfn.XLOOKUP(E234,Table5[Driver],'Race Results'!$E$3:$E$22)*0.5)</f>
        <v>#N/A</v>
      </c>
    </row>
    <row r="235" spans="1:10" x14ac:dyDescent="0.3">
      <c r="A235" s="114" t="s">
        <v>562</v>
      </c>
      <c r="B235" s="115" t="s">
        <v>46</v>
      </c>
      <c r="C235" s="115" t="s">
        <v>208</v>
      </c>
      <c r="D235" s="115" t="s">
        <v>77</v>
      </c>
      <c r="E235" s="115" t="s">
        <v>84</v>
      </c>
      <c r="F235" s="115"/>
      <c r="G235" s="115"/>
      <c r="H235" s="115"/>
      <c r="I235" s="115"/>
      <c r="J235" s="115" t="e" cm="1">
        <f t="array" ref="J235">MAX(_xlfn.XLOOKUP(D235,Table5[Driver],'Race Results'!$E$3:$E$22),_xlfn.XLOOKUP(E235,Table5[Driver],'Race Results'!$E$3:$E$22)*0.5)</f>
        <v>#N/A</v>
      </c>
    </row>
    <row r="236" spans="1:10" x14ac:dyDescent="0.3">
      <c r="A236" s="114" t="s">
        <v>563</v>
      </c>
      <c r="B236" s="115" t="s">
        <v>51</v>
      </c>
      <c r="C236" s="115" t="s">
        <v>208</v>
      </c>
      <c r="D236" s="115" t="s">
        <v>87</v>
      </c>
      <c r="E236" s="115" t="s">
        <v>209</v>
      </c>
      <c r="F236" s="115"/>
      <c r="G236" s="115"/>
      <c r="H236" s="115"/>
      <c r="I236" s="115"/>
      <c r="J236" s="115" t="e" cm="1">
        <f t="array" ref="J236">MAX(_xlfn.XLOOKUP(D236,Table5[Driver],'Race Results'!$E$3:$E$22),_xlfn.XLOOKUP(E236,Table5[Driver],'Race Results'!$E$3:$E$22)*0.5)</f>
        <v>#N/A</v>
      </c>
    </row>
    <row r="237" spans="1:10" x14ac:dyDescent="0.3">
      <c r="A237" s="114" t="s">
        <v>564</v>
      </c>
      <c r="B237" s="115" t="s">
        <v>58</v>
      </c>
      <c r="C237" s="115" t="s">
        <v>208</v>
      </c>
      <c r="D237" s="115" t="s">
        <v>80</v>
      </c>
      <c r="E237" s="115" t="s">
        <v>90</v>
      </c>
      <c r="F237" s="115"/>
      <c r="G237" s="115"/>
      <c r="H237" s="115"/>
      <c r="I237" s="115"/>
      <c r="J237" s="115" t="e" cm="1">
        <f t="array" ref="J237">MAX(_xlfn.XLOOKUP(D237,Table5[Driver],'Race Results'!$E$3:$E$22),_xlfn.XLOOKUP(E237,Table5[Driver],'Race Results'!$E$3:$E$22)*0.5)</f>
        <v>#N/A</v>
      </c>
    </row>
    <row r="238" spans="1:10" x14ac:dyDescent="0.3">
      <c r="A238" s="114" t="s">
        <v>565</v>
      </c>
      <c r="B238" s="115" t="s">
        <v>56</v>
      </c>
      <c r="C238" s="115" t="s">
        <v>208</v>
      </c>
      <c r="D238" s="115" t="s">
        <v>84</v>
      </c>
      <c r="E238" s="115" t="s">
        <v>77</v>
      </c>
      <c r="F238" s="115"/>
      <c r="G238" s="115"/>
      <c r="H238" s="115"/>
      <c r="I238" s="115"/>
      <c r="J238" s="115" t="e" cm="1">
        <f t="array" ref="J238">MAX(_xlfn.XLOOKUP(D238,Table5[Driver],'Race Results'!$E$3:$E$22),_xlfn.XLOOKUP(E238,Table5[Driver],'Race Results'!$E$3:$E$22)*0.5)</f>
        <v>#N/A</v>
      </c>
    </row>
    <row r="239" spans="1:10" x14ac:dyDescent="0.3">
      <c r="A239" s="114" t="s">
        <v>566</v>
      </c>
      <c r="B239" s="115" t="s">
        <v>63</v>
      </c>
      <c r="C239" s="115" t="s">
        <v>208</v>
      </c>
      <c r="D239" s="115" t="s">
        <v>77</v>
      </c>
      <c r="E239" s="115" t="s">
        <v>75</v>
      </c>
      <c r="F239" s="115"/>
      <c r="G239" s="115"/>
      <c r="H239" s="115"/>
      <c r="I239" s="115"/>
      <c r="J239" s="115" t="e" cm="1">
        <f t="array" ref="J239">MAX(_xlfn.XLOOKUP(D239,Table5[Driver],'Race Results'!$E$3:$E$22),_xlfn.XLOOKUP(E239,Table5[Driver],'Race Results'!$E$3:$E$22)*0.5)</f>
        <v>#N/A</v>
      </c>
    </row>
    <row r="240" spans="1:10" x14ac:dyDescent="0.3">
      <c r="A240" s="114" t="s">
        <v>567</v>
      </c>
      <c r="B240" s="115" t="s">
        <v>49</v>
      </c>
      <c r="C240" s="115" t="s">
        <v>208</v>
      </c>
      <c r="D240" s="115" t="s">
        <v>209</v>
      </c>
      <c r="E240" s="115" t="s">
        <v>76</v>
      </c>
      <c r="F240" s="115"/>
      <c r="G240" s="115"/>
      <c r="H240" s="115"/>
      <c r="I240" s="115"/>
      <c r="J240" s="115" t="e" cm="1">
        <f t="array" ref="J240">MAX(_xlfn.XLOOKUP(D240,Table5[Driver],'Race Results'!$E$3:$E$22),_xlfn.XLOOKUP(E240,Table5[Driver],'Race Results'!$E$3:$E$22)*0.5)</f>
        <v>#N/A</v>
      </c>
    </row>
    <row r="241" spans="1:10" x14ac:dyDescent="0.3">
      <c r="A241" s="114" t="s">
        <v>568</v>
      </c>
      <c r="B241" s="115" t="s">
        <v>64</v>
      </c>
      <c r="C241" s="115" t="s">
        <v>208</v>
      </c>
      <c r="D241" s="115" t="s">
        <v>84</v>
      </c>
      <c r="E241" s="115" t="s">
        <v>80</v>
      </c>
      <c r="F241" s="115"/>
      <c r="G241" s="115"/>
      <c r="H241" s="115"/>
      <c r="I241" s="115"/>
      <c r="J241" s="115" t="e" cm="1">
        <f t="array" ref="J241">MAX(_xlfn.XLOOKUP(D241,Table5[Driver],'Race Results'!$E$3:$E$22),_xlfn.XLOOKUP(E241,Table5[Driver],'Race Results'!$E$3:$E$22)*0.5)</f>
        <v>#N/A</v>
      </c>
    </row>
    <row r="242" spans="1:10" x14ac:dyDescent="0.3">
      <c r="A242" s="114" t="s">
        <v>569</v>
      </c>
      <c r="B242" s="115" t="s">
        <v>68</v>
      </c>
      <c r="C242" s="115" t="s">
        <v>208</v>
      </c>
      <c r="D242" s="115" t="s">
        <v>84</v>
      </c>
      <c r="E242" s="115" t="s">
        <v>77</v>
      </c>
      <c r="F242" s="115"/>
      <c r="G242" s="115"/>
      <c r="H242" s="115"/>
      <c r="I242" s="115"/>
      <c r="J242" s="115" t="e" cm="1">
        <f t="array" ref="J242">MAX(_xlfn.XLOOKUP(D242,Table5[Driver],'Race Results'!$E$3:$E$22),_xlfn.XLOOKUP(E242,Table5[Driver],'Race Results'!$E$3:$E$22)*0.5)</f>
        <v>#N/A</v>
      </c>
    </row>
    <row r="243" spans="1:10" x14ac:dyDescent="0.3">
      <c r="A243" s="114" t="s">
        <v>570</v>
      </c>
      <c r="B243" s="115" t="s">
        <v>66</v>
      </c>
      <c r="C243" s="115" t="s">
        <v>208</v>
      </c>
      <c r="D243" s="115" t="s">
        <v>77</v>
      </c>
      <c r="E243" s="115" t="s">
        <v>79</v>
      </c>
      <c r="F243" s="115"/>
      <c r="G243" s="115"/>
      <c r="H243" s="115"/>
      <c r="I243" s="115"/>
      <c r="J243" s="115" t="e" cm="1">
        <f t="array" ref="J243">MAX(_xlfn.XLOOKUP(D243,Table5[Driver],'Race Results'!$E$3:$E$22),_xlfn.XLOOKUP(E243,Table5[Driver],'Race Results'!$E$3:$E$22)*0.5)</f>
        <v>#N/A</v>
      </c>
    </row>
    <row r="244" spans="1:10" x14ac:dyDescent="0.3">
      <c r="A244" s="114" t="s">
        <v>571</v>
      </c>
      <c r="B244" s="115" t="s">
        <v>65</v>
      </c>
      <c r="C244" s="115" t="s">
        <v>208</v>
      </c>
      <c r="D244" s="115" t="s">
        <v>82</v>
      </c>
      <c r="E244" s="115" t="s">
        <v>78</v>
      </c>
      <c r="F244" s="115"/>
      <c r="G244" s="115"/>
      <c r="H244" s="115"/>
      <c r="I244" s="115"/>
      <c r="J244" s="115" t="e" cm="1">
        <f t="array" ref="J244">MAX(_xlfn.XLOOKUP(D244,Table5[Driver],'Race Results'!$E$3:$E$22),_xlfn.XLOOKUP(E244,Table5[Driver],'Race Results'!$E$3:$E$22)*0.5)</f>
        <v>#N/A</v>
      </c>
    </row>
    <row r="245" spans="1:10" x14ac:dyDescent="0.3">
      <c r="A245" s="114" t="s">
        <v>572</v>
      </c>
      <c r="B245" s="115" t="s">
        <v>47</v>
      </c>
      <c r="C245" s="115" t="s">
        <v>208</v>
      </c>
      <c r="D245" s="115" t="s">
        <v>76</v>
      </c>
      <c r="E245" s="115" t="s">
        <v>209</v>
      </c>
      <c r="F245" s="115"/>
      <c r="G245" s="115"/>
      <c r="H245" s="115"/>
      <c r="I245" s="115"/>
      <c r="J245" s="115" t="e" cm="1">
        <f t="array" ref="J245">MAX(_xlfn.XLOOKUP(D245,Table5[Driver],'Race Results'!$E$3:$E$22),_xlfn.XLOOKUP(E245,Table5[Driver],'Race Results'!$E$3:$E$22)*0.5)</f>
        <v>#N/A</v>
      </c>
    </row>
    <row r="246" spans="1:10" x14ac:dyDescent="0.3">
      <c r="A246" s="114" t="s">
        <v>573</v>
      </c>
      <c r="B246" s="115" t="s">
        <v>50</v>
      </c>
      <c r="C246" s="115" t="s">
        <v>208</v>
      </c>
      <c r="D246" s="115" t="s">
        <v>80</v>
      </c>
      <c r="E246" s="115" t="s">
        <v>84</v>
      </c>
      <c r="F246" s="115"/>
      <c r="G246" s="115"/>
      <c r="H246" s="115"/>
      <c r="I246" s="115"/>
      <c r="J246" s="115" t="e" cm="1">
        <f t="array" ref="J246">MAX(_xlfn.XLOOKUP(D246,Table5[Driver],'Race Results'!$E$3:$E$22),_xlfn.XLOOKUP(E246,Table5[Driver],'Race Results'!$E$3:$E$22)*0.5)</f>
        <v>#N/A</v>
      </c>
    </row>
    <row r="247" spans="1:10" x14ac:dyDescent="0.3">
      <c r="A247" s="114" t="s">
        <v>574</v>
      </c>
      <c r="B247" s="115" t="s">
        <v>61</v>
      </c>
      <c r="C247" s="115" t="s">
        <v>208</v>
      </c>
      <c r="D247" s="115" t="s">
        <v>77</v>
      </c>
      <c r="E247" s="115" t="s">
        <v>80</v>
      </c>
      <c r="F247" s="115"/>
      <c r="G247" s="115"/>
      <c r="H247" s="115"/>
      <c r="I247" s="115"/>
      <c r="J247" s="115" t="e" cm="1">
        <f t="array" ref="J247">MAX(_xlfn.XLOOKUP(D247,Table5[Driver],'Race Results'!$E$3:$E$22),_xlfn.XLOOKUP(E247,Table5[Driver],'Race Results'!$E$3:$E$22)*0.5)</f>
        <v>#N/A</v>
      </c>
    </row>
    <row r="248" spans="1:10" x14ac:dyDescent="0.3">
      <c r="A248" s="114" t="s">
        <v>575</v>
      </c>
      <c r="B248" s="115" t="s">
        <v>45</v>
      </c>
      <c r="C248" s="115" t="s">
        <v>208</v>
      </c>
      <c r="D248" s="115" t="s">
        <v>209</v>
      </c>
      <c r="E248" s="115" t="s">
        <v>80</v>
      </c>
      <c r="F248" s="115"/>
      <c r="G248" s="115"/>
      <c r="H248" s="115"/>
      <c r="I248" s="115"/>
      <c r="J248" s="115" t="e" cm="1">
        <f t="array" ref="J248">MAX(_xlfn.XLOOKUP(D248,Table5[Driver],'Race Results'!$E$3:$E$22),_xlfn.XLOOKUP(E248,Table5[Driver],'Race Results'!$E$3:$E$22)*0.5)</f>
        <v>#N/A</v>
      </c>
    </row>
    <row r="249" spans="1:10" x14ac:dyDescent="0.3">
      <c r="A249" s="114" t="s">
        <v>576</v>
      </c>
      <c r="B249" s="115" t="s">
        <v>48</v>
      </c>
      <c r="C249" s="115" t="s">
        <v>208</v>
      </c>
      <c r="D249" s="115" t="s">
        <v>77</v>
      </c>
      <c r="E249" s="115" t="s">
        <v>82</v>
      </c>
      <c r="F249" s="115"/>
      <c r="G249" s="115"/>
      <c r="H249" s="115"/>
      <c r="I249" s="115"/>
      <c r="J249" s="115" t="e" cm="1">
        <f t="array" ref="J249">MAX(_xlfn.XLOOKUP(D249,Table5[Driver],'Race Results'!$E$3:$E$22),_xlfn.XLOOKUP(E249,Table5[Driver],'Race Results'!$E$3:$E$22)*0.5)</f>
        <v>#N/A</v>
      </c>
    </row>
    <row r="250" spans="1:10" x14ac:dyDescent="0.3">
      <c r="A250" s="114" t="s">
        <v>577</v>
      </c>
      <c r="B250" s="115" t="s">
        <v>53</v>
      </c>
      <c r="C250" s="115" t="s">
        <v>208</v>
      </c>
      <c r="D250" s="115" t="s">
        <v>80</v>
      </c>
      <c r="E250" s="115" t="s">
        <v>84</v>
      </c>
      <c r="F250" s="115"/>
      <c r="G250" s="115"/>
      <c r="H250" s="115"/>
      <c r="I250" s="115"/>
      <c r="J250" s="115" t="e" cm="1">
        <f t="array" ref="J250">MAX(_xlfn.XLOOKUP(D250,Table5[Driver],'Race Results'!$E$3:$E$22),_xlfn.XLOOKUP(E250,Table5[Driver],'Race Results'!$E$3:$E$22)*0.5)</f>
        <v>#N/A</v>
      </c>
    </row>
    <row r="251" spans="1:10" x14ac:dyDescent="0.3">
      <c r="A251" s="114" t="s">
        <v>578</v>
      </c>
      <c r="B251" s="115" t="s">
        <v>59</v>
      </c>
      <c r="C251" s="115" t="s">
        <v>208</v>
      </c>
      <c r="D251" s="115" t="s">
        <v>84</v>
      </c>
      <c r="E251" s="115" t="s">
        <v>209</v>
      </c>
      <c r="F251" s="115"/>
      <c r="G251" s="115"/>
      <c r="H251" s="115"/>
      <c r="I251" s="115"/>
      <c r="J251" s="115" t="e" cm="1">
        <f t="array" ref="J251">MAX(_xlfn.XLOOKUP(D251,Table5[Driver],'Race Results'!$E$3:$E$22),_xlfn.XLOOKUP(E251,Table5[Driver],'Race Results'!$E$3:$E$22)*0.5)</f>
        <v>#N/A</v>
      </c>
    </row>
    <row r="252" spans="1:10" x14ac:dyDescent="0.3">
      <c r="A252" s="114" t="s">
        <v>579</v>
      </c>
      <c r="B252" s="115" t="s">
        <v>54</v>
      </c>
      <c r="C252" s="115" t="s">
        <v>208</v>
      </c>
      <c r="D252" s="115" t="s">
        <v>77</v>
      </c>
      <c r="E252" s="115" t="s">
        <v>80</v>
      </c>
      <c r="F252" s="115"/>
      <c r="G252" s="115"/>
      <c r="H252" s="115"/>
      <c r="I252" s="115"/>
      <c r="J252" s="115" t="e" cm="1">
        <f t="array" ref="J252">MAX(_xlfn.XLOOKUP(D252,Table5[Driver],'Race Results'!$E$3:$E$22),_xlfn.XLOOKUP(E252,Table5[Driver],'Race Results'!$E$3:$E$22)*0.5)</f>
        <v>#N/A</v>
      </c>
    </row>
    <row r="253" spans="1:10" x14ac:dyDescent="0.3">
      <c r="A253" s="114" t="s">
        <v>580</v>
      </c>
      <c r="B253" s="115" t="s">
        <v>60</v>
      </c>
      <c r="C253" s="115" t="s">
        <v>208</v>
      </c>
      <c r="D253" s="115" t="s">
        <v>87</v>
      </c>
      <c r="E253" s="115" t="s">
        <v>209</v>
      </c>
      <c r="F253" s="115"/>
      <c r="G253" s="115"/>
      <c r="H253" s="115"/>
      <c r="I253" s="115"/>
      <c r="J253" s="115" t="e" cm="1">
        <f t="array" ref="J253">MAX(_xlfn.XLOOKUP(D253,Table5[Driver],'Race Results'!$E$3:$E$22),_xlfn.XLOOKUP(E253,Table5[Driver],'Race Results'!$E$3:$E$22)*0.5)</f>
        <v>#N/A</v>
      </c>
    </row>
    <row r="254" spans="1:10" x14ac:dyDescent="0.3">
      <c r="A254" s="114" t="s">
        <v>581</v>
      </c>
      <c r="B254" s="115" t="s">
        <v>52</v>
      </c>
      <c r="C254" s="115" t="s">
        <v>208</v>
      </c>
      <c r="D254" s="115" t="s">
        <v>80</v>
      </c>
      <c r="E254" s="115" t="s">
        <v>82</v>
      </c>
      <c r="F254" s="115"/>
      <c r="G254" s="115"/>
      <c r="H254" s="115"/>
      <c r="I254" s="115"/>
      <c r="J254" s="115" t="e" cm="1">
        <f t="array" ref="J254">MAX(_xlfn.XLOOKUP(D254,Table5[Driver],'Race Results'!$E$3:$E$22),_xlfn.XLOOKUP(E254,Table5[Driver],'Race Results'!$E$3:$E$22)*0.5)</f>
        <v>#N/A</v>
      </c>
    </row>
    <row r="255" spans="1:10" x14ac:dyDescent="0.3">
      <c r="A255" s="114" t="s">
        <v>582</v>
      </c>
      <c r="B255" s="115" t="s">
        <v>69</v>
      </c>
      <c r="C255" s="115" t="s">
        <v>210</v>
      </c>
      <c r="D255" s="115" t="s">
        <v>87</v>
      </c>
      <c r="E255" s="115" t="s">
        <v>79</v>
      </c>
      <c r="F255" s="115"/>
      <c r="G255" s="115"/>
      <c r="H255" s="115"/>
      <c r="I255" s="115"/>
      <c r="J255" s="115" t="e" cm="1">
        <f t="array" ref="J255">MAX(_xlfn.XLOOKUP(D255,Table5[Driver],'Race Results'!$E$3:$E$22),_xlfn.XLOOKUP(E255,Table5[Driver],'Race Results'!$E$3:$E$22)*0.5)</f>
        <v>#N/A</v>
      </c>
    </row>
    <row r="256" spans="1:10" x14ac:dyDescent="0.3">
      <c r="A256" s="114" t="s">
        <v>583</v>
      </c>
      <c r="B256" s="115" t="s">
        <v>50</v>
      </c>
      <c r="C256" s="115" t="s">
        <v>210</v>
      </c>
      <c r="D256" s="115" t="s">
        <v>85</v>
      </c>
      <c r="E256" s="115" t="s">
        <v>81</v>
      </c>
      <c r="F256" s="115"/>
      <c r="G256" s="115"/>
      <c r="H256" s="115"/>
      <c r="I256" s="115"/>
      <c r="J256" s="115" t="e" cm="1">
        <f t="array" ref="J256">MAX(_xlfn.XLOOKUP(D256,Table5[Driver],'Race Results'!$E$3:$E$22),_xlfn.XLOOKUP(E256,Table5[Driver],'Race Results'!$E$3:$E$22)*0.5)</f>
        <v>#N/A</v>
      </c>
    </row>
    <row r="257" spans="1:10" x14ac:dyDescent="0.3">
      <c r="A257" s="114" t="s">
        <v>584</v>
      </c>
      <c r="B257" s="115" t="s">
        <v>68</v>
      </c>
      <c r="C257" s="115" t="s">
        <v>210</v>
      </c>
      <c r="D257" s="115" t="s">
        <v>81</v>
      </c>
      <c r="E257" s="115" t="s">
        <v>82</v>
      </c>
      <c r="F257" s="115"/>
      <c r="G257" s="115"/>
      <c r="H257" s="115"/>
      <c r="I257" s="115"/>
      <c r="J257" s="115" t="e" cm="1">
        <f t="array" ref="J257">MAX(_xlfn.XLOOKUP(D257,Table5[Driver],'Race Results'!$E$3:$E$22),_xlfn.XLOOKUP(E257,Table5[Driver],'Race Results'!$E$3:$E$22)*0.5)</f>
        <v>#N/A</v>
      </c>
    </row>
    <row r="258" spans="1:10" x14ac:dyDescent="0.3">
      <c r="A258" s="114" t="s">
        <v>585</v>
      </c>
      <c r="B258" s="115" t="s">
        <v>59</v>
      </c>
      <c r="C258" s="115" t="s">
        <v>210</v>
      </c>
      <c r="D258" s="115" t="s">
        <v>82</v>
      </c>
      <c r="E258" s="115" t="s">
        <v>85</v>
      </c>
      <c r="F258" s="115"/>
      <c r="G258" s="115"/>
      <c r="H258" s="115"/>
      <c r="I258" s="115"/>
      <c r="J258" s="115" t="e" cm="1">
        <f t="array" ref="J258">MAX(_xlfn.XLOOKUP(D258,Table5[Driver],'Race Results'!$E$3:$E$22),_xlfn.XLOOKUP(E258,Table5[Driver],'Race Results'!$E$3:$E$22)*0.5)</f>
        <v>#N/A</v>
      </c>
    </row>
    <row r="259" spans="1:10" x14ac:dyDescent="0.3">
      <c r="A259" s="114" t="s">
        <v>586</v>
      </c>
      <c r="B259" s="115" t="s">
        <v>63</v>
      </c>
      <c r="C259" s="115" t="s">
        <v>210</v>
      </c>
      <c r="D259" s="115" t="s">
        <v>85</v>
      </c>
      <c r="E259" s="115" t="s">
        <v>209</v>
      </c>
      <c r="F259" s="115"/>
      <c r="G259" s="115"/>
      <c r="H259" s="115"/>
      <c r="I259" s="115"/>
      <c r="J259" s="115" t="e" cm="1">
        <f t="array" ref="J259">MAX(_xlfn.XLOOKUP(D259,Table5[Driver],'Race Results'!$E$3:$E$22),_xlfn.XLOOKUP(E259,Table5[Driver],'Race Results'!$E$3:$E$22)*0.5)</f>
        <v>#N/A</v>
      </c>
    </row>
    <row r="260" spans="1:10" x14ac:dyDescent="0.3">
      <c r="A260" s="114" t="s">
        <v>587</v>
      </c>
      <c r="B260" s="115" t="s">
        <v>51</v>
      </c>
      <c r="C260" s="115" t="s">
        <v>210</v>
      </c>
      <c r="D260" s="115" t="s">
        <v>82</v>
      </c>
      <c r="E260" s="115" t="s">
        <v>80</v>
      </c>
      <c r="F260" s="115"/>
      <c r="G260" s="115"/>
      <c r="H260" s="115"/>
      <c r="I260" s="115"/>
      <c r="J260" s="115" t="e" cm="1">
        <f t="array" ref="J260">MAX(_xlfn.XLOOKUP(D260,Table5[Driver],'Race Results'!$E$3:$E$22),_xlfn.XLOOKUP(E260,Table5[Driver],'Race Results'!$E$3:$E$22)*0.5)</f>
        <v>#N/A</v>
      </c>
    </row>
    <row r="261" spans="1:10" x14ac:dyDescent="0.3">
      <c r="A261" s="114" t="s">
        <v>588</v>
      </c>
      <c r="B261" s="115" t="s">
        <v>44</v>
      </c>
      <c r="C261" s="115" t="s">
        <v>210</v>
      </c>
      <c r="D261" s="115" t="s">
        <v>81</v>
      </c>
      <c r="E261" s="115" t="s">
        <v>90</v>
      </c>
      <c r="F261" s="115"/>
      <c r="G261" s="115"/>
      <c r="H261" s="115"/>
      <c r="I261" s="115"/>
      <c r="J261" s="115" t="e" cm="1">
        <f t="array" ref="J261">MAX(_xlfn.XLOOKUP(D261,Table5[Driver],'Race Results'!$E$3:$E$22),_xlfn.XLOOKUP(E261,Table5[Driver],'Race Results'!$E$3:$E$22)*0.5)</f>
        <v>#N/A</v>
      </c>
    </row>
    <row r="262" spans="1:10" x14ac:dyDescent="0.3">
      <c r="A262" s="114" t="s">
        <v>589</v>
      </c>
      <c r="B262" s="115" t="s">
        <v>49</v>
      </c>
      <c r="C262" s="115" t="s">
        <v>210</v>
      </c>
      <c r="D262" s="115" t="s">
        <v>80</v>
      </c>
      <c r="E262" s="115" t="s">
        <v>81</v>
      </c>
      <c r="F262" s="115"/>
      <c r="G262" s="115"/>
      <c r="H262" s="115"/>
      <c r="I262" s="115"/>
      <c r="J262" s="115" t="e" cm="1">
        <f t="array" ref="J262">MAX(_xlfn.XLOOKUP(D262,Table5[Driver],'Race Results'!$E$3:$E$22),_xlfn.XLOOKUP(E262,Table5[Driver],'Race Results'!$E$3:$E$22)*0.5)</f>
        <v>#N/A</v>
      </c>
    </row>
    <row r="263" spans="1:10" x14ac:dyDescent="0.3">
      <c r="A263" s="114" t="s">
        <v>590</v>
      </c>
      <c r="B263" s="115" t="s">
        <v>64</v>
      </c>
      <c r="C263" s="115" t="s">
        <v>210</v>
      </c>
      <c r="D263" s="115" t="s">
        <v>82</v>
      </c>
      <c r="E263" s="115" t="s">
        <v>85</v>
      </c>
      <c r="F263" s="115"/>
      <c r="G263" s="115"/>
      <c r="H263" s="115"/>
      <c r="I263" s="115"/>
      <c r="J263" s="115" t="e" cm="1">
        <f t="array" ref="J263">MAX(_xlfn.XLOOKUP(D263,Table5[Driver],'Race Results'!$E$3:$E$22),_xlfn.XLOOKUP(E263,Table5[Driver],'Race Results'!$E$3:$E$22)*0.5)</f>
        <v>#N/A</v>
      </c>
    </row>
    <row r="264" spans="1:10" x14ac:dyDescent="0.3">
      <c r="A264" s="114" t="s">
        <v>591</v>
      </c>
      <c r="B264" s="115" t="s">
        <v>46</v>
      </c>
      <c r="C264" s="115" t="s">
        <v>210</v>
      </c>
      <c r="D264" s="115" t="s">
        <v>82</v>
      </c>
      <c r="E264" s="115" t="s">
        <v>81</v>
      </c>
      <c r="F264" s="115"/>
      <c r="G264" s="115"/>
      <c r="H264" s="115"/>
      <c r="I264" s="115"/>
      <c r="J264" s="115" t="e" cm="1">
        <f t="array" ref="J264">MAX(_xlfn.XLOOKUP(D264,Table5[Driver],'Race Results'!$E$3:$E$22),_xlfn.XLOOKUP(E264,Table5[Driver],'Race Results'!$E$3:$E$22)*0.5)</f>
        <v>#N/A</v>
      </c>
    </row>
    <row r="265" spans="1:10" x14ac:dyDescent="0.3">
      <c r="A265" s="114" t="s">
        <v>592</v>
      </c>
      <c r="B265" s="115" t="s">
        <v>66</v>
      </c>
      <c r="C265" s="115" t="s">
        <v>210</v>
      </c>
      <c r="D265" s="115" t="s">
        <v>81</v>
      </c>
      <c r="E265" s="115" t="s">
        <v>85</v>
      </c>
      <c r="F265" s="115"/>
      <c r="G265" s="115"/>
      <c r="H265" s="115"/>
      <c r="I265" s="115"/>
      <c r="J265" s="115" t="e" cm="1">
        <f t="array" ref="J265">MAX(_xlfn.XLOOKUP(D265,Table5[Driver],'Race Results'!$E$3:$E$22),_xlfn.XLOOKUP(E265,Table5[Driver],'Race Results'!$E$3:$E$22)*0.5)</f>
        <v>#N/A</v>
      </c>
    </row>
    <row r="266" spans="1:10" x14ac:dyDescent="0.3">
      <c r="A266" s="114" t="s">
        <v>593</v>
      </c>
      <c r="B266" s="115" t="s">
        <v>53</v>
      </c>
      <c r="C266" s="115" t="s">
        <v>210</v>
      </c>
      <c r="D266" s="115" t="s">
        <v>82</v>
      </c>
      <c r="E266" s="115" t="s">
        <v>75</v>
      </c>
      <c r="F266" s="115"/>
      <c r="G266" s="115"/>
      <c r="H266" s="115"/>
      <c r="I266" s="115"/>
      <c r="J266" s="115" t="e" cm="1">
        <f t="array" ref="J266">MAX(_xlfn.XLOOKUP(D266,Table5[Driver],'Race Results'!$E$3:$E$22),_xlfn.XLOOKUP(E266,Table5[Driver],'Race Results'!$E$3:$E$22)*0.5)</f>
        <v>#N/A</v>
      </c>
    </row>
    <row r="267" spans="1:10" x14ac:dyDescent="0.3">
      <c r="A267" s="114" t="s">
        <v>594</v>
      </c>
      <c r="B267" s="115" t="s">
        <v>62</v>
      </c>
      <c r="C267" s="115" t="s">
        <v>210</v>
      </c>
      <c r="D267" s="115" t="s">
        <v>85</v>
      </c>
      <c r="E267" s="115" t="s">
        <v>78</v>
      </c>
      <c r="F267" s="115"/>
      <c r="G267" s="115"/>
      <c r="H267" s="115"/>
      <c r="I267" s="115"/>
      <c r="J267" s="115" t="e" cm="1">
        <f t="array" ref="J267">MAX(_xlfn.XLOOKUP(D267,Table5[Driver],'Race Results'!$E$3:$E$22),_xlfn.XLOOKUP(E267,Table5[Driver],'Race Results'!$E$3:$E$22)*0.5)</f>
        <v>#N/A</v>
      </c>
    </row>
    <row r="268" spans="1:10" x14ac:dyDescent="0.3">
      <c r="A268" s="114" t="s">
        <v>595</v>
      </c>
      <c r="B268" s="115" t="s">
        <v>56</v>
      </c>
      <c r="C268" s="115" t="s">
        <v>210</v>
      </c>
      <c r="D268" s="115" t="s">
        <v>81</v>
      </c>
      <c r="E268" s="115" t="s">
        <v>85</v>
      </c>
      <c r="F268" s="115"/>
      <c r="G268" s="115"/>
      <c r="H268" s="115"/>
      <c r="I268" s="115"/>
      <c r="J268" s="115" t="e" cm="1">
        <f t="array" ref="J268">MAX(_xlfn.XLOOKUP(D268,Table5[Driver],'Race Results'!$E$3:$E$22),_xlfn.XLOOKUP(E268,Table5[Driver],'Race Results'!$E$3:$E$22)*0.5)</f>
        <v>#N/A</v>
      </c>
    </row>
    <row r="269" spans="1:10" x14ac:dyDescent="0.3">
      <c r="A269" s="114" t="s">
        <v>596</v>
      </c>
      <c r="B269" s="115" t="s">
        <v>61</v>
      </c>
      <c r="C269" s="115" t="s">
        <v>210</v>
      </c>
      <c r="D269" s="115" t="s">
        <v>82</v>
      </c>
      <c r="E269" s="115" t="s">
        <v>81</v>
      </c>
      <c r="F269" s="115"/>
      <c r="G269" s="115"/>
      <c r="H269" s="115"/>
      <c r="I269" s="115"/>
      <c r="J269" s="115" t="e" cm="1">
        <f t="array" ref="J269">MAX(_xlfn.XLOOKUP(D269,Table5[Driver],'Race Results'!$E$3:$E$22),_xlfn.XLOOKUP(E269,Table5[Driver],'Race Results'!$E$3:$E$22)*0.5)</f>
        <v>#N/A</v>
      </c>
    </row>
    <row r="270" spans="1:10" x14ac:dyDescent="0.3">
      <c r="A270" s="114" t="s">
        <v>597</v>
      </c>
      <c r="B270" s="115" t="s">
        <v>65</v>
      </c>
      <c r="C270" s="115" t="s">
        <v>210</v>
      </c>
      <c r="D270" s="115" t="s">
        <v>82</v>
      </c>
      <c r="E270" s="115" t="s">
        <v>209</v>
      </c>
      <c r="F270" s="115"/>
      <c r="G270" s="115"/>
      <c r="H270" s="115"/>
      <c r="I270" s="115"/>
      <c r="J270" s="115" t="e" cm="1">
        <f t="array" ref="J270">MAX(_xlfn.XLOOKUP(D270,Table5[Driver],'Race Results'!$E$3:$E$22),_xlfn.XLOOKUP(E270,Table5[Driver],'Race Results'!$E$3:$E$22)*0.5)</f>
        <v>#N/A</v>
      </c>
    </row>
    <row r="271" spans="1:10" x14ac:dyDescent="0.3">
      <c r="A271" s="114" t="s">
        <v>598</v>
      </c>
      <c r="B271" s="115" t="s">
        <v>47</v>
      </c>
      <c r="C271" s="115" t="s">
        <v>210</v>
      </c>
      <c r="D271" s="115" t="s">
        <v>77</v>
      </c>
      <c r="E271" s="115" t="s">
        <v>82</v>
      </c>
      <c r="F271" s="115"/>
      <c r="G271" s="115"/>
      <c r="H271" s="115"/>
      <c r="I271" s="115"/>
      <c r="J271" s="115" t="e" cm="1">
        <f t="array" ref="J271">MAX(_xlfn.XLOOKUP(D271,Table5[Driver],'Race Results'!$E$3:$E$22),_xlfn.XLOOKUP(E271,Table5[Driver],'Race Results'!$E$3:$E$22)*0.5)</f>
        <v>#N/A</v>
      </c>
    </row>
    <row r="272" spans="1:10" x14ac:dyDescent="0.3">
      <c r="A272" s="114" t="s">
        <v>599</v>
      </c>
      <c r="B272" s="115" t="s">
        <v>67</v>
      </c>
      <c r="C272" s="115" t="s">
        <v>210</v>
      </c>
      <c r="D272" s="115" t="s">
        <v>81</v>
      </c>
      <c r="E272" s="115" t="s">
        <v>85</v>
      </c>
      <c r="F272" s="115"/>
      <c r="G272" s="115"/>
      <c r="H272" s="115"/>
      <c r="I272" s="115"/>
      <c r="J272" s="115" t="e" cm="1">
        <f t="array" ref="J272">MAX(_xlfn.XLOOKUP(D272,Table5[Driver],'Race Results'!$E$3:$E$22),_xlfn.XLOOKUP(E272,Table5[Driver],'Race Results'!$E$3:$E$22)*0.5)</f>
        <v>#N/A</v>
      </c>
    </row>
    <row r="273" spans="1:10" x14ac:dyDescent="0.3">
      <c r="A273" s="114" t="s">
        <v>600</v>
      </c>
      <c r="B273" s="115" t="s">
        <v>57</v>
      </c>
      <c r="C273" s="115" t="s">
        <v>210</v>
      </c>
      <c r="D273" s="115" t="s">
        <v>85</v>
      </c>
      <c r="E273" s="115" t="s">
        <v>77</v>
      </c>
      <c r="F273" s="115"/>
      <c r="G273" s="115"/>
      <c r="H273" s="115"/>
      <c r="I273" s="115"/>
      <c r="J273" s="115" t="e" cm="1">
        <f t="array" ref="J273">MAX(_xlfn.XLOOKUP(D273,Table5[Driver],'Race Results'!$E$3:$E$22),_xlfn.XLOOKUP(E273,Table5[Driver],'Race Results'!$E$3:$E$22)*0.5)</f>
        <v>#N/A</v>
      </c>
    </row>
    <row r="274" spans="1:10" x14ac:dyDescent="0.3">
      <c r="A274" s="114" t="s">
        <v>601</v>
      </c>
      <c r="B274" s="115" t="s">
        <v>45</v>
      </c>
      <c r="C274" s="115" t="s">
        <v>210</v>
      </c>
      <c r="D274" s="115" t="s">
        <v>85</v>
      </c>
      <c r="E274" s="115" t="s">
        <v>88</v>
      </c>
      <c r="F274" s="115"/>
      <c r="G274" s="115"/>
      <c r="H274" s="115"/>
      <c r="I274" s="115"/>
      <c r="J274" s="115" t="e" cm="1">
        <f t="array" ref="J274">MAX(_xlfn.XLOOKUP(D274,Table5[Driver],'Race Results'!$E$3:$E$22),_xlfn.XLOOKUP(E274,Table5[Driver],'Race Results'!$E$3:$E$22)*0.5)</f>
        <v>#N/A</v>
      </c>
    </row>
    <row r="275" spans="1:10" x14ac:dyDescent="0.3">
      <c r="A275" s="114" t="s">
        <v>602</v>
      </c>
      <c r="B275" s="115" t="s">
        <v>48</v>
      </c>
      <c r="C275" s="115" t="s">
        <v>210</v>
      </c>
      <c r="D275" s="115" t="s">
        <v>85</v>
      </c>
      <c r="E275" s="115" t="s">
        <v>82</v>
      </c>
      <c r="F275" s="115"/>
      <c r="G275" s="115"/>
      <c r="H275" s="115"/>
      <c r="I275" s="115"/>
      <c r="J275" s="115" t="e" cm="1">
        <f t="array" ref="J275">MAX(_xlfn.XLOOKUP(D275,Table5[Driver],'Race Results'!$E$3:$E$22),_xlfn.XLOOKUP(E275,Table5[Driver],'Race Results'!$E$3:$E$22)*0.5)</f>
        <v>#N/A</v>
      </c>
    </row>
    <row r="276" spans="1:10" x14ac:dyDescent="0.3">
      <c r="A276" s="114" t="s">
        <v>603</v>
      </c>
      <c r="B276" s="115" t="s">
        <v>55</v>
      </c>
      <c r="C276" s="115" t="s">
        <v>210</v>
      </c>
      <c r="D276" s="115" t="s">
        <v>82</v>
      </c>
      <c r="E276" s="115" t="s">
        <v>81</v>
      </c>
      <c r="F276" s="115"/>
      <c r="G276" s="115"/>
      <c r="H276" s="115"/>
      <c r="I276" s="115"/>
      <c r="J276" s="115" t="e" cm="1">
        <f t="array" ref="J276">MAX(_xlfn.XLOOKUP(D276,Table5[Driver],'Race Results'!$E$3:$E$22),_xlfn.XLOOKUP(E276,Table5[Driver],'Race Results'!$E$3:$E$22)*0.5)</f>
        <v>#N/A</v>
      </c>
    </row>
    <row r="277" spans="1:10" x14ac:dyDescent="0.3">
      <c r="A277" s="114" t="s">
        <v>604</v>
      </c>
      <c r="B277" s="115" t="s">
        <v>52</v>
      </c>
      <c r="C277" s="115" t="s">
        <v>210</v>
      </c>
      <c r="D277" s="115" t="s">
        <v>82</v>
      </c>
      <c r="E277" s="115" t="s">
        <v>77</v>
      </c>
      <c r="F277" s="115"/>
      <c r="G277" s="115"/>
      <c r="H277" s="115"/>
      <c r="I277" s="115"/>
      <c r="J277" s="115" t="e" cm="1">
        <f t="array" ref="J277">MAX(_xlfn.XLOOKUP(D277,Table5[Driver],'Race Results'!$E$3:$E$22),_xlfn.XLOOKUP(E277,Table5[Driver],'Race Results'!$E$3:$E$22)*0.5)</f>
        <v>#N/A</v>
      </c>
    </row>
    <row r="278" spans="1:10" x14ac:dyDescent="0.3">
      <c r="A278" s="114" t="s">
        <v>604</v>
      </c>
      <c r="B278" s="115" t="s">
        <v>54</v>
      </c>
      <c r="C278" s="115" t="s">
        <v>210</v>
      </c>
      <c r="D278" s="115" t="s">
        <v>77</v>
      </c>
      <c r="E278" s="115" t="s">
        <v>82</v>
      </c>
      <c r="F278" s="115"/>
      <c r="G278" s="115"/>
      <c r="H278" s="115"/>
      <c r="I278" s="115"/>
      <c r="J278" s="115" t="e" cm="1">
        <f t="array" ref="J278">MAX(_xlfn.XLOOKUP(D278,Table5[Driver],'Race Results'!$E$3:$E$22),_xlfn.XLOOKUP(E278,Table5[Driver],'Race Results'!$E$3:$E$22)*0.5)</f>
        <v>#N/A</v>
      </c>
    </row>
    <row r="279" spans="1:10" x14ac:dyDescent="0.3">
      <c r="A279" s="114" t="s">
        <v>605</v>
      </c>
      <c r="B279" s="115" t="s">
        <v>60</v>
      </c>
      <c r="C279" s="115" t="s">
        <v>210</v>
      </c>
      <c r="D279" s="115" t="s">
        <v>82</v>
      </c>
      <c r="E279" s="115" t="s">
        <v>85</v>
      </c>
      <c r="F279" s="115"/>
      <c r="G279" s="115"/>
      <c r="H279" s="115"/>
      <c r="I279" s="115"/>
      <c r="J279" s="115" t="e" cm="1">
        <f t="array" ref="J279">MAX(_xlfn.XLOOKUP(D279,Table5[Driver],'Race Results'!$E$3:$E$22),_xlfn.XLOOKUP(E279,Table5[Driver],'Race Results'!$E$3:$E$22)*0.5)</f>
        <v>#N/A</v>
      </c>
    </row>
    <row r="280" spans="1:10" x14ac:dyDescent="0.3">
      <c r="A280" s="114" t="s">
        <v>606</v>
      </c>
      <c r="B280" s="115" t="s">
        <v>55</v>
      </c>
      <c r="C280" s="115" t="s">
        <v>211</v>
      </c>
      <c r="D280" s="115" t="s">
        <v>89</v>
      </c>
      <c r="E280" s="115" t="s">
        <v>135</v>
      </c>
      <c r="F280" s="115"/>
      <c r="G280" s="115"/>
      <c r="H280" s="115"/>
      <c r="I280" s="115"/>
      <c r="J280" s="115" t="e" cm="1">
        <f t="array" ref="J280">MAX(_xlfn.XLOOKUP(D280,Table5[Driver],'Race Results'!$E$3:$E$22),_xlfn.XLOOKUP(E280,Table5[Driver],'Race Results'!$E$3:$E$22)*0.5)</f>
        <v>#N/A</v>
      </c>
    </row>
    <row r="281" spans="1:10" x14ac:dyDescent="0.3">
      <c r="A281" s="114" t="s">
        <v>607</v>
      </c>
      <c r="B281" s="115" t="s">
        <v>51</v>
      </c>
      <c r="C281" s="115" t="s">
        <v>211</v>
      </c>
      <c r="D281" s="115" t="s">
        <v>82</v>
      </c>
      <c r="E281" s="115" t="s">
        <v>85</v>
      </c>
      <c r="F281" s="115"/>
      <c r="G281" s="115"/>
      <c r="H281" s="115"/>
      <c r="I281" s="115"/>
      <c r="J281" s="115" t="e" cm="1">
        <f t="array" ref="J281">MAX(_xlfn.XLOOKUP(D281,Table5[Driver],'Race Results'!$E$3:$E$22),_xlfn.XLOOKUP(E281,Table5[Driver],'Race Results'!$E$3:$E$22)*0.5)</f>
        <v>#N/A</v>
      </c>
    </row>
    <row r="282" spans="1:10" x14ac:dyDescent="0.3">
      <c r="A282" s="114" t="s">
        <v>608</v>
      </c>
      <c r="B282" s="115" t="s">
        <v>50</v>
      </c>
      <c r="C282" s="115" t="s">
        <v>211</v>
      </c>
      <c r="D282" s="115" t="s">
        <v>78</v>
      </c>
      <c r="E282" s="115" t="s">
        <v>85</v>
      </c>
      <c r="F282" s="115"/>
      <c r="G282" s="115"/>
      <c r="H282" s="115"/>
      <c r="I282" s="115"/>
      <c r="J282" s="115" t="e" cm="1">
        <f t="array" ref="J282">MAX(_xlfn.XLOOKUP(D282,Table5[Driver],'Race Results'!$E$3:$E$22),_xlfn.XLOOKUP(E282,Table5[Driver],'Race Results'!$E$3:$E$22)*0.5)</f>
        <v>#N/A</v>
      </c>
    </row>
    <row r="283" spans="1:10" x14ac:dyDescent="0.3">
      <c r="A283" s="114" t="s">
        <v>609</v>
      </c>
      <c r="B283" s="115" t="s">
        <v>53</v>
      </c>
      <c r="C283" s="115" t="s">
        <v>211</v>
      </c>
      <c r="D283" s="115" t="s">
        <v>78</v>
      </c>
      <c r="E283" s="115" t="s">
        <v>82</v>
      </c>
      <c r="F283" s="115"/>
      <c r="G283" s="115"/>
      <c r="H283" s="115"/>
      <c r="I283" s="115"/>
      <c r="J283" s="115" t="e" cm="1">
        <f t="array" ref="J283">MAX(_xlfn.XLOOKUP(D283,Table5[Driver],'Race Results'!$E$3:$E$22),_xlfn.XLOOKUP(E283,Table5[Driver],'Race Results'!$E$3:$E$22)*0.5)</f>
        <v>#N/A</v>
      </c>
    </row>
    <row r="284" spans="1:10" x14ac:dyDescent="0.3">
      <c r="A284" s="114" t="s">
        <v>610</v>
      </c>
      <c r="B284" s="115" t="s">
        <v>52</v>
      </c>
      <c r="C284" s="115" t="s">
        <v>211</v>
      </c>
      <c r="D284" s="115" t="s">
        <v>78</v>
      </c>
      <c r="E284" s="115" t="s">
        <v>82</v>
      </c>
      <c r="F284" s="115"/>
      <c r="G284" s="115"/>
      <c r="H284" s="115"/>
      <c r="I284" s="115"/>
      <c r="J284" s="115" t="e" cm="1">
        <f t="array" ref="J284">MAX(_xlfn.XLOOKUP(D284,Table5[Driver],'Race Results'!$E$3:$E$22),_xlfn.XLOOKUP(E284,Table5[Driver],'Race Results'!$E$3:$E$22)*0.5)</f>
        <v>#N/A</v>
      </c>
    </row>
    <row r="285" spans="1:10" x14ac:dyDescent="0.3">
      <c r="A285" s="114" t="s">
        <v>611</v>
      </c>
      <c r="B285" s="115" t="s">
        <v>44</v>
      </c>
      <c r="C285" s="115" t="s">
        <v>211</v>
      </c>
      <c r="D285" s="115" t="s">
        <v>85</v>
      </c>
      <c r="E285" s="115" t="s">
        <v>81</v>
      </c>
      <c r="F285" s="115"/>
      <c r="G285" s="115"/>
      <c r="H285" s="115"/>
      <c r="I285" s="115"/>
      <c r="J285" s="115" t="e" cm="1">
        <f t="array" ref="J285">MAX(_xlfn.XLOOKUP(D285,Table5[Driver],'Race Results'!$E$3:$E$22),_xlfn.XLOOKUP(E285,Table5[Driver],'Race Results'!$E$3:$E$22)*0.5)</f>
        <v>#N/A</v>
      </c>
    </row>
    <row r="286" spans="1:10" x14ac:dyDescent="0.3">
      <c r="A286" s="114" t="s">
        <v>612</v>
      </c>
      <c r="B286" s="115" t="s">
        <v>69</v>
      </c>
      <c r="C286" s="115" t="s">
        <v>211</v>
      </c>
      <c r="D286" s="115" t="s">
        <v>75</v>
      </c>
      <c r="E286" s="115" t="s">
        <v>78</v>
      </c>
      <c r="F286" s="115"/>
      <c r="G286" s="115"/>
      <c r="H286" s="115"/>
      <c r="I286" s="115"/>
      <c r="J286" s="115" t="e" cm="1">
        <f t="array" ref="J286">MAX(_xlfn.XLOOKUP(D286,Table5[Driver],'Race Results'!$E$3:$E$22),_xlfn.XLOOKUP(E286,Table5[Driver],'Race Results'!$E$3:$E$22)*0.5)</f>
        <v>#N/A</v>
      </c>
    </row>
    <row r="287" spans="1:10" x14ac:dyDescent="0.3">
      <c r="A287" s="114" t="s">
        <v>613</v>
      </c>
      <c r="B287" s="115" t="s">
        <v>47</v>
      </c>
      <c r="C287" s="115" t="s">
        <v>211</v>
      </c>
      <c r="D287" s="115" t="s">
        <v>75</v>
      </c>
      <c r="E287" s="115" t="s">
        <v>78</v>
      </c>
      <c r="F287" s="115"/>
      <c r="G287" s="115"/>
      <c r="H287" s="115"/>
      <c r="I287" s="115"/>
      <c r="J287" s="115" t="e" cm="1">
        <f t="array" ref="J287">MAX(_xlfn.XLOOKUP(D287,Table5[Driver],'Race Results'!$E$3:$E$22),_xlfn.XLOOKUP(E287,Table5[Driver],'Race Results'!$E$3:$E$22)*0.5)</f>
        <v>#N/A</v>
      </c>
    </row>
    <row r="288" spans="1:10" x14ac:dyDescent="0.3">
      <c r="A288" s="114" t="s">
        <v>614</v>
      </c>
      <c r="B288" s="115" t="s">
        <v>65</v>
      </c>
      <c r="C288" s="115" t="s">
        <v>211</v>
      </c>
      <c r="D288" s="115" t="s">
        <v>82</v>
      </c>
      <c r="E288" s="115" t="s">
        <v>78</v>
      </c>
      <c r="F288" s="115"/>
      <c r="G288" s="115"/>
      <c r="H288" s="115"/>
      <c r="I288" s="115"/>
      <c r="J288" s="115" t="e" cm="1">
        <f t="array" ref="J288">MAX(_xlfn.XLOOKUP(D288,Table5[Driver],'Race Results'!$E$3:$E$22),_xlfn.XLOOKUP(E288,Table5[Driver],'Race Results'!$E$3:$E$22)*0.5)</f>
        <v>#N/A</v>
      </c>
    </row>
    <row r="289" spans="1:10" x14ac:dyDescent="0.3">
      <c r="A289" s="114" t="s">
        <v>615</v>
      </c>
      <c r="B289" s="115" t="s">
        <v>45</v>
      </c>
      <c r="C289" s="115" t="s">
        <v>211</v>
      </c>
      <c r="D289" s="115" t="s">
        <v>89</v>
      </c>
      <c r="E289" s="115" t="s">
        <v>82</v>
      </c>
      <c r="F289" s="115"/>
      <c r="G289" s="115"/>
      <c r="H289" s="115"/>
      <c r="I289" s="115"/>
      <c r="J289" s="115" t="e" cm="1">
        <f t="array" ref="J289">MAX(_xlfn.XLOOKUP(D289,Table5[Driver],'Race Results'!$E$3:$E$22),_xlfn.XLOOKUP(E289,Table5[Driver],'Race Results'!$E$3:$E$22)*0.5)</f>
        <v>#N/A</v>
      </c>
    </row>
    <row r="290" spans="1:10" x14ac:dyDescent="0.3">
      <c r="A290" s="114" t="s">
        <v>616</v>
      </c>
      <c r="B290" s="115" t="s">
        <v>48</v>
      </c>
      <c r="C290" s="115" t="s">
        <v>211</v>
      </c>
      <c r="D290" s="115" t="s">
        <v>82</v>
      </c>
      <c r="E290" s="115" t="s">
        <v>75</v>
      </c>
      <c r="F290" s="115"/>
      <c r="G290" s="115"/>
      <c r="H290" s="115"/>
      <c r="I290" s="115"/>
      <c r="J290" s="115" t="e" cm="1">
        <f t="array" ref="J290">MAX(_xlfn.XLOOKUP(D290,Table5[Driver],'Race Results'!$E$3:$E$22),_xlfn.XLOOKUP(E290,Table5[Driver],'Race Results'!$E$3:$E$22)*0.5)</f>
        <v>#N/A</v>
      </c>
    </row>
    <row r="291" spans="1:10" x14ac:dyDescent="0.3">
      <c r="A291" s="114" t="s">
        <v>617</v>
      </c>
      <c r="B291" s="115" t="s">
        <v>56</v>
      </c>
      <c r="C291" s="115" t="s">
        <v>211</v>
      </c>
      <c r="D291" s="115" t="s">
        <v>75</v>
      </c>
      <c r="E291" s="115" t="s">
        <v>81</v>
      </c>
      <c r="F291" s="115"/>
      <c r="G291" s="115"/>
      <c r="H291" s="115"/>
      <c r="I291" s="115"/>
      <c r="J291" s="115" t="e" cm="1">
        <f t="array" ref="J291">MAX(_xlfn.XLOOKUP(D291,Table5[Driver],'Race Results'!$E$3:$E$22),_xlfn.XLOOKUP(E291,Table5[Driver],'Race Results'!$E$3:$E$22)*0.5)</f>
        <v>#N/A</v>
      </c>
    </row>
    <row r="292" spans="1:10" x14ac:dyDescent="0.3">
      <c r="A292" s="114" t="s">
        <v>618</v>
      </c>
      <c r="B292" s="115" t="s">
        <v>60</v>
      </c>
      <c r="C292" s="115" t="s">
        <v>211</v>
      </c>
      <c r="D292" s="115" t="s">
        <v>85</v>
      </c>
      <c r="E292" s="115" t="s">
        <v>75</v>
      </c>
      <c r="F292" s="115"/>
      <c r="G292" s="115"/>
      <c r="H292" s="115"/>
      <c r="I292" s="115"/>
      <c r="J292" s="115" t="e" cm="1">
        <f t="array" ref="J292">MAX(_xlfn.XLOOKUP(D292,Table5[Driver],'Race Results'!$E$3:$E$22),_xlfn.XLOOKUP(E292,Table5[Driver],'Race Results'!$E$3:$E$22)*0.5)</f>
        <v>#N/A</v>
      </c>
    </row>
    <row r="293" spans="1:10" x14ac:dyDescent="0.3">
      <c r="A293" s="114" t="s">
        <v>619</v>
      </c>
      <c r="B293" s="115" t="s">
        <v>64</v>
      </c>
      <c r="C293" s="115" t="s">
        <v>211</v>
      </c>
      <c r="D293" s="115" t="s">
        <v>89</v>
      </c>
      <c r="E293" s="115" t="s">
        <v>135</v>
      </c>
      <c r="F293" s="115"/>
      <c r="G293" s="115"/>
      <c r="H293" s="115"/>
      <c r="I293" s="115"/>
      <c r="J293" s="115" t="e" cm="1">
        <f t="array" ref="J293">MAX(_xlfn.XLOOKUP(D293,Table5[Driver],'Race Results'!$E$3:$E$22),_xlfn.XLOOKUP(E293,Table5[Driver],'Race Results'!$E$3:$E$22)*0.5)</f>
        <v>#N/A</v>
      </c>
    </row>
    <row r="294" spans="1:10" x14ac:dyDescent="0.3">
      <c r="A294" s="114" t="s">
        <v>620</v>
      </c>
      <c r="B294" s="115" t="s">
        <v>54</v>
      </c>
      <c r="C294" s="115" t="s">
        <v>211</v>
      </c>
      <c r="D294" s="115" t="s">
        <v>82</v>
      </c>
      <c r="E294" s="115" t="s">
        <v>85</v>
      </c>
      <c r="F294" s="115"/>
      <c r="G294" s="115"/>
      <c r="H294" s="115"/>
      <c r="I294" s="115"/>
      <c r="J294" s="115" t="e" cm="1">
        <f t="array" ref="J294">MAX(_xlfn.XLOOKUP(D294,Table5[Driver],'Race Results'!$E$3:$E$22),_xlfn.XLOOKUP(E294,Table5[Driver],'Race Results'!$E$3:$E$22)*0.5)</f>
        <v>#N/A</v>
      </c>
    </row>
    <row r="295" spans="1:10" x14ac:dyDescent="0.3">
      <c r="A295" s="114" t="s">
        <v>621</v>
      </c>
      <c r="B295" s="115" t="s">
        <v>59</v>
      </c>
      <c r="C295" s="115" t="s">
        <v>211</v>
      </c>
      <c r="D295" s="115" t="s">
        <v>82</v>
      </c>
      <c r="E295" s="115" t="s">
        <v>75</v>
      </c>
      <c r="F295" s="115"/>
      <c r="G295" s="115"/>
      <c r="H295" s="115"/>
      <c r="I295" s="115"/>
      <c r="J295" s="115" t="e" cm="1">
        <f t="array" ref="J295">MAX(_xlfn.XLOOKUP(D295,Table5[Driver],'Race Results'!$E$3:$E$22),_xlfn.XLOOKUP(E295,Table5[Driver],'Race Results'!$E$3:$E$22)*0.5)</f>
        <v>#N/A</v>
      </c>
    </row>
    <row r="296" spans="1:10" x14ac:dyDescent="0.3">
      <c r="A296" s="114" t="s">
        <v>622</v>
      </c>
      <c r="B296" s="115" t="s">
        <v>57</v>
      </c>
      <c r="C296" s="115" t="s">
        <v>211</v>
      </c>
      <c r="D296" s="115" t="s">
        <v>93</v>
      </c>
      <c r="E296" s="115" t="s">
        <v>85</v>
      </c>
      <c r="F296" s="115"/>
      <c r="G296" s="115"/>
      <c r="H296" s="115"/>
      <c r="I296" s="115"/>
      <c r="J296" s="115" t="e" cm="1">
        <f t="array" ref="J296">MAX(_xlfn.XLOOKUP(D296,Table5[Driver],'Race Results'!$E$3:$E$22),_xlfn.XLOOKUP(E296,Table5[Driver],'Race Results'!$E$3:$E$22)*0.5)</f>
        <v>#N/A</v>
      </c>
    </row>
    <row r="297" spans="1:10" x14ac:dyDescent="0.3">
      <c r="A297" s="114" t="s">
        <v>623</v>
      </c>
      <c r="B297" s="115" t="s">
        <v>67</v>
      </c>
      <c r="C297" s="115" t="s">
        <v>211</v>
      </c>
      <c r="D297" s="115" t="s">
        <v>78</v>
      </c>
      <c r="E297" s="115" t="s">
        <v>85</v>
      </c>
      <c r="F297" s="115"/>
      <c r="G297" s="115"/>
      <c r="H297" s="115"/>
      <c r="I297" s="115"/>
      <c r="J297" s="115" t="e" cm="1">
        <f t="array" ref="J297">MAX(_xlfn.XLOOKUP(D297,Table5[Driver],'Race Results'!$E$3:$E$22),_xlfn.XLOOKUP(E297,Table5[Driver],'Race Results'!$E$3:$E$22)*0.5)</f>
        <v>#N/A</v>
      </c>
    </row>
    <row r="298" spans="1:10" x14ac:dyDescent="0.3">
      <c r="A298" s="114" t="s">
        <v>624</v>
      </c>
      <c r="B298" s="115" t="s">
        <v>49</v>
      </c>
      <c r="C298" s="115" t="s">
        <v>211</v>
      </c>
      <c r="D298" s="115" t="s">
        <v>81</v>
      </c>
      <c r="E298" s="115" t="s">
        <v>79</v>
      </c>
      <c r="F298" s="115"/>
      <c r="G298" s="115"/>
      <c r="H298" s="115"/>
      <c r="I298" s="115"/>
      <c r="J298" s="115" t="e" cm="1">
        <f t="array" ref="J298">MAX(_xlfn.XLOOKUP(D298,Table5[Driver],'Race Results'!$E$3:$E$22),_xlfn.XLOOKUP(E298,Table5[Driver],'Race Results'!$E$3:$E$22)*0.5)</f>
        <v>#N/A</v>
      </c>
    </row>
    <row r="299" spans="1:10" x14ac:dyDescent="0.3">
      <c r="A299" s="114" t="s">
        <v>625</v>
      </c>
      <c r="B299" s="115" t="s">
        <v>46</v>
      </c>
      <c r="C299" s="115" t="s">
        <v>211</v>
      </c>
      <c r="D299" s="115" t="s">
        <v>85</v>
      </c>
      <c r="E299" s="115" t="s">
        <v>82</v>
      </c>
      <c r="F299" s="115"/>
      <c r="G299" s="115"/>
      <c r="H299" s="115"/>
      <c r="I299" s="115"/>
      <c r="J299" s="115" t="e" cm="1">
        <f t="array" ref="J299">MAX(_xlfn.XLOOKUP(D299,Table5[Driver],'Race Results'!$E$3:$E$22),_xlfn.XLOOKUP(E299,Table5[Driver],'Race Results'!$E$3:$E$22)*0.5)</f>
        <v>#N/A</v>
      </c>
    </row>
    <row r="300" spans="1:10" x14ac:dyDescent="0.3">
      <c r="A300" s="114" t="s">
        <v>626</v>
      </c>
      <c r="B300" s="115" t="s">
        <v>61</v>
      </c>
      <c r="C300" s="115" t="s">
        <v>211</v>
      </c>
      <c r="D300" s="115" t="s">
        <v>82</v>
      </c>
      <c r="E300" s="115" t="s">
        <v>75</v>
      </c>
      <c r="F300" s="115"/>
      <c r="G300" s="115"/>
      <c r="H300" s="115"/>
      <c r="I300" s="115"/>
      <c r="J300" s="115" t="e" cm="1">
        <f t="array" ref="J300">MAX(_xlfn.XLOOKUP(D300,Table5[Driver],'Race Results'!$E$3:$E$22),_xlfn.XLOOKUP(E300,Table5[Driver],'Race Results'!$E$3:$E$22)*0.5)</f>
        <v>#N/A</v>
      </c>
    </row>
    <row r="301" spans="1:10" x14ac:dyDescent="0.3">
      <c r="A301" s="114" t="s">
        <v>627</v>
      </c>
      <c r="B301" s="115" t="s">
        <v>68</v>
      </c>
      <c r="C301" s="115" t="s">
        <v>211</v>
      </c>
      <c r="D301" s="115" t="s">
        <v>82</v>
      </c>
      <c r="E301" s="115" t="s">
        <v>85</v>
      </c>
      <c r="F301" s="115"/>
      <c r="G301" s="115"/>
      <c r="H301" s="115"/>
      <c r="I301" s="115"/>
      <c r="J301" s="115" t="e" cm="1">
        <f t="array" ref="J301">MAX(_xlfn.XLOOKUP(D301,Table5[Driver],'Race Results'!$E$3:$E$22),_xlfn.XLOOKUP(E301,Table5[Driver],'Race Results'!$E$3:$E$22)*0.5)</f>
        <v>#N/A</v>
      </c>
    </row>
    <row r="302" spans="1:10" x14ac:dyDescent="0.3">
      <c r="A302" s="114" t="s">
        <v>628</v>
      </c>
      <c r="B302" s="115" t="s">
        <v>51</v>
      </c>
      <c r="C302" s="115" t="s">
        <v>214</v>
      </c>
      <c r="D302" s="115" t="s">
        <v>81</v>
      </c>
      <c r="E302" s="115" t="s">
        <v>75</v>
      </c>
      <c r="F302" s="115"/>
      <c r="G302" s="115"/>
      <c r="H302" s="115"/>
      <c r="I302" s="115"/>
      <c r="J302" s="115" t="e" cm="1">
        <f t="array" ref="J302">MAX(_xlfn.XLOOKUP(D302,Table5[Driver],'Race Results'!$E$3:$E$22),_xlfn.XLOOKUP(E302,Table5[Driver],'Race Results'!$E$3:$E$22)*0.5)</f>
        <v>#N/A</v>
      </c>
    </row>
    <row r="303" spans="1:10" x14ac:dyDescent="0.3">
      <c r="A303" s="114" t="s">
        <v>629</v>
      </c>
      <c r="B303" s="115" t="s">
        <v>55</v>
      </c>
      <c r="C303" s="115" t="s">
        <v>214</v>
      </c>
      <c r="D303" s="115" t="s">
        <v>81</v>
      </c>
      <c r="E303" s="115" t="s">
        <v>88</v>
      </c>
      <c r="F303" s="115"/>
      <c r="G303" s="115"/>
      <c r="H303" s="115"/>
      <c r="I303" s="115"/>
      <c r="J303" s="115" t="e" cm="1">
        <f t="array" ref="J303">MAX(_xlfn.XLOOKUP(D303,Table5[Driver],'Race Results'!$E$3:$E$22),_xlfn.XLOOKUP(E303,Table5[Driver],'Race Results'!$E$3:$E$22)*0.5)</f>
        <v>#N/A</v>
      </c>
    </row>
    <row r="304" spans="1:10" x14ac:dyDescent="0.3">
      <c r="A304" s="114" t="s">
        <v>630</v>
      </c>
      <c r="B304" s="115" t="s">
        <v>50</v>
      </c>
      <c r="C304" s="115" t="s">
        <v>214</v>
      </c>
      <c r="D304" s="115" t="s">
        <v>75</v>
      </c>
      <c r="E304" s="115" t="s">
        <v>80</v>
      </c>
      <c r="F304" s="115"/>
      <c r="G304" s="115"/>
      <c r="H304" s="115"/>
      <c r="I304" s="115"/>
      <c r="J304" s="115" t="e" cm="1">
        <f t="array" ref="J304">MAX(_xlfn.XLOOKUP(D304,Table5[Driver],'Race Results'!$E$3:$E$22),_xlfn.XLOOKUP(E304,Table5[Driver],'Race Results'!$E$3:$E$22)*0.5)</f>
        <v>#N/A</v>
      </c>
    </row>
    <row r="305" spans="1:10" x14ac:dyDescent="0.3">
      <c r="A305" s="114" t="s">
        <v>631</v>
      </c>
      <c r="B305" s="115" t="s">
        <v>64</v>
      </c>
      <c r="C305" s="115" t="s">
        <v>214</v>
      </c>
      <c r="D305" s="115" t="s">
        <v>81</v>
      </c>
      <c r="E305" s="115" t="s">
        <v>78</v>
      </c>
      <c r="F305" s="115"/>
      <c r="G305" s="115"/>
      <c r="H305" s="115"/>
      <c r="I305" s="115"/>
      <c r="J305" s="115" t="e" cm="1">
        <f t="array" ref="J305">MAX(_xlfn.XLOOKUP(D305,Table5[Driver],'Race Results'!$E$3:$E$22),_xlfn.XLOOKUP(E305,Table5[Driver],'Race Results'!$E$3:$E$22)*0.5)</f>
        <v>#N/A</v>
      </c>
    </row>
    <row r="306" spans="1:10" x14ac:dyDescent="0.3">
      <c r="A306" s="114" t="s">
        <v>632</v>
      </c>
      <c r="B306" s="115" t="s">
        <v>52</v>
      </c>
      <c r="C306" s="115" t="s">
        <v>214</v>
      </c>
      <c r="D306" s="115" t="s">
        <v>78</v>
      </c>
      <c r="E306" s="115" t="s">
        <v>84</v>
      </c>
      <c r="F306" s="115"/>
      <c r="G306" s="115"/>
      <c r="H306" s="115"/>
      <c r="I306" s="115"/>
      <c r="J306" s="115" t="e" cm="1">
        <f t="array" ref="J306">MAX(_xlfn.XLOOKUP(D306,Table5[Driver],'Race Results'!$E$3:$E$22),_xlfn.XLOOKUP(E306,Table5[Driver],'Race Results'!$E$3:$E$22)*0.5)</f>
        <v>#N/A</v>
      </c>
    </row>
    <row r="307" spans="1:10" x14ac:dyDescent="0.3">
      <c r="A307" s="114" t="s">
        <v>633</v>
      </c>
      <c r="B307" s="115" t="s">
        <v>49</v>
      </c>
      <c r="C307" s="115" t="s">
        <v>214</v>
      </c>
      <c r="D307" s="115" t="s">
        <v>81</v>
      </c>
      <c r="E307" s="115" t="s">
        <v>78</v>
      </c>
      <c r="F307" s="115"/>
      <c r="G307" s="115"/>
      <c r="H307" s="115"/>
      <c r="I307" s="115"/>
      <c r="J307" s="115" t="e" cm="1">
        <f t="array" ref="J307">MAX(_xlfn.XLOOKUP(D307,Table5[Driver],'Race Results'!$E$3:$E$22),_xlfn.XLOOKUP(E307,Table5[Driver],'Race Results'!$E$3:$E$22)*0.5)</f>
        <v>#N/A</v>
      </c>
    </row>
    <row r="308" spans="1:10" x14ac:dyDescent="0.3">
      <c r="A308" s="114" t="s">
        <v>634</v>
      </c>
      <c r="B308" s="115" t="s">
        <v>65</v>
      </c>
      <c r="C308" s="115" t="s">
        <v>214</v>
      </c>
      <c r="D308" s="115" t="s">
        <v>85</v>
      </c>
      <c r="E308" s="115" t="s">
        <v>78</v>
      </c>
      <c r="F308" s="115"/>
      <c r="G308" s="115"/>
      <c r="H308" s="115"/>
      <c r="I308" s="115"/>
      <c r="J308" s="115" t="e" cm="1">
        <f t="array" ref="J308">MAX(_xlfn.XLOOKUP(D308,Table5[Driver],'Race Results'!$E$3:$E$22),_xlfn.XLOOKUP(E308,Table5[Driver],'Race Results'!$E$3:$E$22)*0.5)</f>
        <v>#N/A</v>
      </c>
    </row>
    <row r="309" spans="1:10" x14ac:dyDescent="0.3">
      <c r="A309" s="114" t="s">
        <v>635</v>
      </c>
      <c r="B309" s="115" t="s">
        <v>47</v>
      </c>
      <c r="C309" s="115" t="s">
        <v>214</v>
      </c>
      <c r="D309" s="115" t="s">
        <v>81</v>
      </c>
      <c r="E309" s="115" t="s">
        <v>75</v>
      </c>
      <c r="F309" s="115"/>
      <c r="G309" s="115"/>
      <c r="H309" s="115"/>
      <c r="I309" s="115"/>
      <c r="J309" s="115" t="e" cm="1">
        <f t="array" ref="J309">MAX(_xlfn.XLOOKUP(D309,Table5[Driver],'Race Results'!$E$3:$E$22),_xlfn.XLOOKUP(E309,Table5[Driver],'Race Results'!$E$3:$E$22)*0.5)</f>
        <v>#N/A</v>
      </c>
    </row>
    <row r="310" spans="1:10" x14ac:dyDescent="0.3">
      <c r="A310" s="114" t="s">
        <v>636</v>
      </c>
      <c r="B310" s="115" t="s">
        <v>68</v>
      </c>
      <c r="C310" s="115" t="s">
        <v>214</v>
      </c>
      <c r="D310" s="115" t="s">
        <v>78</v>
      </c>
      <c r="E310" s="115" t="s">
        <v>81</v>
      </c>
      <c r="F310" s="115"/>
      <c r="G310" s="115"/>
      <c r="H310" s="115"/>
      <c r="I310" s="115"/>
      <c r="J310" s="115" t="e" cm="1">
        <f t="array" ref="J310">MAX(_xlfn.XLOOKUP(D310,Table5[Driver],'Race Results'!$E$3:$E$22),_xlfn.XLOOKUP(E310,Table5[Driver],'Race Results'!$E$3:$E$22)*0.5)</f>
        <v>#N/A</v>
      </c>
    </row>
    <row r="311" spans="1:10" x14ac:dyDescent="0.3">
      <c r="A311" s="114" t="s">
        <v>637</v>
      </c>
      <c r="B311" s="115" t="s">
        <v>59</v>
      </c>
      <c r="C311" s="115" t="s">
        <v>214</v>
      </c>
      <c r="D311" s="115" t="s">
        <v>81</v>
      </c>
      <c r="E311" s="115" t="s">
        <v>75</v>
      </c>
      <c r="F311" s="115"/>
      <c r="G311" s="115"/>
      <c r="H311" s="115"/>
      <c r="I311" s="115"/>
      <c r="J311" s="115" t="e" cm="1">
        <f t="array" ref="J311">MAX(_xlfn.XLOOKUP(D311,Table5[Driver],'Race Results'!$E$3:$E$22),_xlfn.XLOOKUP(E311,Table5[Driver],'Race Results'!$E$3:$E$22)*0.5)</f>
        <v>#N/A</v>
      </c>
    </row>
    <row r="312" spans="1:10" x14ac:dyDescent="0.3">
      <c r="A312" s="114" t="s">
        <v>638</v>
      </c>
      <c r="B312" s="115" t="s">
        <v>58</v>
      </c>
      <c r="C312" s="115" t="s">
        <v>214</v>
      </c>
      <c r="D312" s="115" t="s">
        <v>81</v>
      </c>
      <c r="E312" s="115" t="s">
        <v>79</v>
      </c>
      <c r="F312" s="115"/>
      <c r="G312" s="115"/>
      <c r="H312" s="115"/>
      <c r="I312" s="115"/>
      <c r="J312" s="115" t="e" cm="1">
        <f t="array" ref="J312">MAX(_xlfn.XLOOKUP(D312,Table5[Driver],'Race Results'!$E$3:$E$22),_xlfn.XLOOKUP(E312,Table5[Driver],'Race Results'!$E$3:$E$22)*0.5)</f>
        <v>#N/A</v>
      </c>
    </row>
    <row r="313" spans="1:10" x14ac:dyDescent="0.3">
      <c r="A313" s="114" t="s">
        <v>639</v>
      </c>
      <c r="B313" s="115" t="s">
        <v>46</v>
      </c>
      <c r="C313" s="115" t="s">
        <v>214</v>
      </c>
      <c r="D313" s="115" t="s">
        <v>81</v>
      </c>
      <c r="E313" s="115" t="s">
        <v>86</v>
      </c>
      <c r="F313" s="115"/>
      <c r="G313" s="115"/>
      <c r="H313" s="115"/>
      <c r="I313" s="115"/>
      <c r="J313" s="115" t="e" cm="1">
        <f t="array" ref="J313">MAX(_xlfn.XLOOKUP(D313,Table5[Driver],'Race Results'!$E$3:$E$22),_xlfn.XLOOKUP(E313,Table5[Driver],'Race Results'!$E$3:$E$22)*0.5)</f>
        <v>#N/A</v>
      </c>
    </row>
    <row r="314" spans="1:10" x14ac:dyDescent="0.3">
      <c r="A314" s="114" t="s">
        <v>640</v>
      </c>
      <c r="B314" s="115" t="s">
        <v>54</v>
      </c>
      <c r="C314" s="115" t="s">
        <v>214</v>
      </c>
      <c r="D314" s="115" t="s">
        <v>81</v>
      </c>
      <c r="E314" s="115" t="s">
        <v>85</v>
      </c>
      <c r="F314" s="115"/>
      <c r="G314" s="115"/>
      <c r="H314" s="115"/>
      <c r="I314" s="115"/>
      <c r="J314" s="115" t="e" cm="1">
        <f t="array" ref="J314">MAX(_xlfn.XLOOKUP(D314,Table5[Driver],'Race Results'!$E$3:$E$22),_xlfn.XLOOKUP(E314,Table5[Driver],'Race Results'!$E$3:$E$22)*0.5)</f>
        <v>#N/A</v>
      </c>
    </row>
    <row r="315" spans="1:10" x14ac:dyDescent="0.3">
      <c r="A315" s="114" t="s">
        <v>641</v>
      </c>
      <c r="B315" s="115" t="s">
        <v>63</v>
      </c>
      <c r="C315" s="115" t="s">
        <v>214</v>
      </c>
      <c r="D315" s="115" t="s">
        <v>77</v>
      </c>
      <c r="E315" s="115" t="s">
        <v>75</v>
      </c>
      <c r="F315" s="115"/>
      <c r="G315" s="115"/>
      <c r="H315" s="115"/>
      <c r="I315" s="115"/>
      <c r="J315" s="115" t="e" cm="1">
        <f t="array" ref="J315">MAX(_xlfn.XLOOKUP(D315,Table5[Driver],'Race Results'!$E$3:$E$22),_xlfn.XLOOKUP(E315,Table5[Driver],'Race Results'!$E$3:$E$22)*0.5)</f>
        <v>#N/A</v>
      </c>
    </row>
    <row r="316" spans="1:10" x14ac:dyDescent="0.3">
      <c r="A316" s="114" t="s">
        <v>642</v>
      </c>
      <c r="B316" s="115" t="s">
        <v>56</v>
      </c>
      <c r="C316" s="115" t="s">
        <v>214</v>
      </c>
      <c r="D316" s="115" t="s">
        <v>81</v>
      </c>
      <c r="E316" s="115" t="s">
        <v>75</v>
      </c>
      <c r="F316" s="115"/>
      <c r="G316" s="115"/>
      <c r="H316" s="115"/>
      <c r="I316" s="115"/>
      <c r="J316" s="115" t="e" cm="1">
        <f t="array" ref="J316">MAX(_xlfn.XLOOKUP(D316,Table5[Driver],'Race Results'!$E$3:$E$22),_xlfn.XLOOKUP(E316,Table5[Driver],'Race Results'!$E$3:$E$22)*0.5)</f>
        <v>#N/A</v>
      </c>
    </row>
    <row r="317" spans="1:10" x14ac:dyDescent="0.3">
      <c r="A317" s="114" t="s">
        <v>643</v>
      </c>
      <c r="B317" s="115" t="s">
        <v>61</v>
      </c>
      <c r="C317" s="115" t="s">
        <v>214</v>
      </c>
      <c r="D317" s="115" t="s">
        <v>81</v>
      </c>
      <c r="E317" s="115" t="s">
        <v>75</v>
      </c>
      <c r="F317" s="115"/>
      <c r="G317" s="115"/>
      <c r="H317" s="115"/>
      <c r="I317" s="115"/>
      <c r="J317" s="115" t="e" cm="1">
        <f t="array" ref="J317">MAX(_xlfn.XLOOKUP(D317,Table5[Driver],'Race Results'!$E$3:$E$22),_xlfn.XLOOKUP(E317,Table5[Driver],'Race Results'!$E$3:$E$22)*0.5)</f>
        <v>#N/A</v>
      </c>
    </row>
    <row r="318" spans="1:10" x14ac:dyDescent="0.3">
      <c r="A318" s="114" t="s">
        <v>644</v>
      </c>
      <c r="B318" s="115" t="s">
        <v>69</v>
      </c>
      <c r="C318" s="115" t="s">
        <v>214</v>
      </c>
      <c r="D318" s="115" t="s">
        <v>75</v>
      </c>
      <c r="E318" s="115" t="s">
        <v>78</v>
      </c>
      <c r="F318" s="115"/>
      <c r="G318" s="115"/>
      <c r="H318" s="115"/>
      <c r="I318" s="115"/>
      <c r="J318" s="115" t="e" cm="1">
        <f t="array" ref="J318">MAX(_xlfn.XLOOKUP(D318,Table5[Driver],'Race Results'!$E$3:$E$22),_xlfn.XLOOKUP(E318,Table5[Driver],'Race Results'!$E$3:$E$22)*0.5)</f>
        <v>#N/A</v>
      </c>
    </row>
    <row r="319" spans="1:10" x14ac:dyDescent="0.3">
      <c r="A319" s="114" t="s">
        <v>645</v>
      </c>
      <c r="B319" s="115" t="s">
        <v>44</v>
      </c>
      <c r="C319" s="115" t="s">
        <v>214</v>
      </c>
      <c r="D319" s="115" t="s">
        <v>78</v>
      </c>
      <c r="E319" s="115" t="s">
        <v>81</v>
      </c>
      <c r="F319" s="115"/>
      <c r="G319" s="115"/>
      <c r="H319" s="115"/>
      <c r="I319" s="115"/>
      <c r="J319" s="115" t="e" cm="1">
        <f t="array" ref="J319">MAX(_xlfn.XLOOKUP(D319,Table5[Driver],'Race Results'!$E$3:$E$22),_xlfn.XLOOKUP(E319,Table5[Driver],'Race Results'!$E$3:$E$22)*0.5)</f>
        <v>#N/A</v>
      </c>
    </row>
    <row r="320" spans="1:10" x14ac:dyDescent="0.3">
      <c r="A320" s="114" t="s">
        <v>646</v>
      </c>
      <c r="B320" s="115" t="s">
        <v>67</v>
      </c>
      <c r="C320" s="115" t="s">
        <v>214</v>
      </c>
      <c r="D320" s="115" t="s">
        <v>81</v>
      </c>
      <c r="E320" s="115" t="s">
        <v>78</v>
      </c>
      <c r="F320" s="115"/>
      <c r="G320" s="115"/>
      <c r="H320" s="115"/>
      <c r="I320" s="115"/>
      <c r="J320" s="115" t="e" cm="1">
        <f t="array" ref="J320">MAX(_xlfn.XLOOKUP(D320,Table5[Driver],'Race Results'!$E$3:$E$22),_xlfn.XLOOKUP(E320,Table5[Driver],'Race Results'!$E$3:$E$22)*0.5)</f>
        <v>#N/A</v>
      </c>
    </row>
    <row r="321" spans="1:10" x14ac:dyDescent="0.3">
      <c r="A321" s="114" t="s">
        <v>647</v>
      </c>
      <c r="B321" s="115" t="s">
        <v>57</v>
      </c>
      <c r="C321" s="115" t="s">
        <v>214</v>
      </c>
      <c r="D321" s="115" t="s">
        <v>81</v>
      </c>
      <c r="E321" s="115" t="s">
        <v>77</v>
      </c>
      <c r="F321" s="115"/>
      <c r="G321" s="115"/>
      <c r="H321" s="115"/>
      <c r="I321" s="115"/>
      <c r="J321" s="115" t="e" cm="1">
        <f t="array" ref="J321">MAX(_xlfn.XLOOKUP(D321,Table5[Driver],'Race Results'!$E$3:$E$22),_xlfn.XLOOKUP(E321,Table5[Driver],'Race Results'!$E$3:$E$22)*0.5)</f>
        <v>#N/A</v>
      </c>
    </row>
    <row r="322" spans="1:10" x14ac:dyDescent="0.3">
      <c r="A322" s="114" t="s">
        <v>648</v>
      </c>
      <c r="B322" s="115" t="s">
        <v>53</v>
      </c>
      <c r="C322" s="115" t="s">
        <v>214</v>
      </c>
      <c r="D322" s="115" t="s">
        <v>75</v>
      </c>
      <c r="E322" s="115" t="s">
        <v>86</v>
      </c>
      <c r="F322" s="115"/>
      <c r="G322" s="115"/>
      <c r="H322" s="115"/>
      <c r="I322" s="115"/>
      <c r="J322" s="115" t="e" cm="1">
        <f t="array" ref="J322">MAX(_xlfn.XLOOKUP(D322,Table5[Driver],'Race Results'!$E$3:$E$22),_xlfn.XLOOKUP(E322,Table5[Driver],'Race Results'!$E$3:$E$22)*0.5)</f>
        <v>#N/A</v>
      </c>
    </row>
    <row r="323" spans="1:10" x14ac:dyDescent="0.3">
      <c r="A323" s="114" t="s">
        <v>649</v>
      </c>
      <c r="B323" s="115" t="s">
        <v>60</v>
      </c>
      <c r="C323" s="115" t="s">
        <v>214</v>
      </c>
      <c r="D323" s="115" t="s">
        <v>81</v>
      </c>
      <c r="E323" s="115" t="s">
        <v>88</v>
      </c>
      <c r="F323" s="115"/>
      <c r="G323" s="115"/>
      <c r="H323" s="115"/>
      <c r="I323" s="115"/>
      <c r="J323" s="115" t="e" cm="1">
        <f t="array" ref="J323">MAX(_xlfn.XLOOKUP(D323,Table5[Driver],'Race Results'!$E$3:$E$22),_xlfn.XLOOKUP(E323,Table5[Driver],'Race Results'!$E$3:$E$22)*0.5)</f>
        <v>#N/A</v>
      </c>
    </row>
    <row r="324" spans="1:10" x14ac:dyDescent="0.3">
      <c r="A324" s="114" t="s">
        <v>650</v>
      </c>
      <c r="B324" s="115" t="s">
        <v>45</v>
      </c>
      <c r="C324" s="115" t="s">
        <v>214</v>
      </c>
      <c r="D324" s="115" t="s">
        <v>81</v>
      </c>
      <c r="E324" s="115" t="s">
        <v>209</v>
      </c>
      <c r="F324" s="115"/>
      <c r="G324" s="115"/>
      <c r="H324" s="115"/>
      <c r="I324" s="115"/>
      <c r="J324" s="115" t="e" cm="1">
        <f t="array" ref="J324">MAX(_xlfn.XLOOKUP(D324,Table5[Driver],'Race Results'!$E$3:$E$22),_xlfn.XLOOKUP(E324,Table5[Driver],'Race Results'!$E$3:$E$22)*0.5)</f>
        <v>#N/A</v>
      </c>
    </row>
    <row r="325" spans="1:10" x14ac:dyDescent="0.3">
      <c r="A325" s="114" t="s">
        <v>651</v>
      </c>
      <c r="B325" s="115" t="s">
        <v>48</v>
      </c>
      <c r="C325" s="115" t="s">
        <v>214</v>
      </c>
      <c r="D325" s="115" t="s">
        <v>78</v>
      </c>
      <c r="E325" s="115" t="s">
        <v>75</v>
      </c>
      <c r="F325" s="115"/>
      <c r="G325" s="115"/>
      <c r="H325" s="115"/>
      <c r="I325" s="115"/>
      <c r="J325" s="115" t="e" cm="1">
        <f t="array" ref="J325">MAX(_xlfn.XLOOKUP(D325,Table5[Driver],'Race Results'!$E$3:$E$22),_xlfn.XLOOKUP(E325,Table5[Driver],'Race Results'!$E$3:$E$22)*0.5)</f>
        <v>#N/A</v>
      </c>
    </row>
    <row r="326" spans="1:10" x14ac:dyDescent="0.3">
      <c r="A326" s="114" t="s">
        <v>652</v>
      </c>
      <c r="B326" s="115" t="s">
        <v>59</v>
      </c>
      <c r="C326" s="115" t="s">
        <v>216</v>
      </c>
      <c r="D326" s="115" t="s">
        <v>77</v>
      </c>
      <c r="E326" s="115" t="s">
        <v>85</v>
      </c>
      <c r="F326" s="115"/>
      <c r="G326" s="115"/>
      <c r="H326" s="115"/>
      <c r="I326" s="115"/>
      <c r="J326" s="115" t="e" cm="1">
        <f t="array" ref="J326">MAX(_xlfn.XLOOKUP(D326,Table5[Driver],'Race Results'!$E$3:$E$22),_xlfn.XLOOKUP(E326,Table5[Driver],'Race Results'!$E$3:$E$22)*0.5)</f>
        <v>#N/A</v>
      </c>
    </row>
    <row r="327" spans="1:10" x14ac:dyDescent="0.3">
      <c r="A327" s="114" t="s">
        <v>653</v>
      </c>
      <c r="B327" s="115" t="s">
        <v>68</v>
      </c>
      <c r="C327" s="115" t="s">
        <v>216</v>
      </c>
      <c r="D327" s="115" t="s">
        <v>85</v>
      </c>
      <c r="E327" s="115" t="s">
        <v>83</v>
      </c>
      <c r="F327" s="115"/>
      <c r="G327" s="115"/>
      <c r="H327" s="115"/>
      <c r="I327" s="115"/>
      <c r="J327" s="115" t="e" cm="1">
        <f t="array" ref="J327">MAX(_xlfn.XLOOKUP(D327,Table5[Driver],'Race Results'!$E$3:$E$22),_xlfn.XLOOKUP(E327,Table5[Driver],'Race Results'!$E$3:$E$22)*0.5)</f>
        <v>#N/A</v>
      </c>
    </row>
    <row r="328" spans="1:10" x14ac:dyDescent="0.3">
      <c r="A328" s="114" t="s">
        <v>654</v>
      </c>
      <c r="B328" s="115" t="s">
        <v>55</v>
      </c>
      <c r="C328" s="115" t="s">
        <v>216</v>
      </c>
      <c r="D328" s="115" t="s">
        <v>77</v>
      </c>
      <c r="E328" s="115" t="s">
        <v>85</v>
      </c>
      <c r="F328" s="115"/>
      <c r="G328" s="115"/>
      <c r="H328" s="115"/>
      <c r="I328" s="115"/>
      <c r="J328" s="115" t="e" cm="1">
        <f t="array" ref="J328">MAX(_xlfn.XLOOKUP(D328,Table5[Driver],'Race Results'!$E$3:$E$22),_xlfn.XLOOKUP(E328,Table5[Driver],'Race Results'!$E$3:$E$22)*0.5)</f>
        <v>#N/A</v>
      </c>
    </row>
    <row r="329" spans="1:10" x14ac:dyDescent="0.3">
      <c r="A329" s="114" t="s">
        <v>655</v>
      </c>
      <c r="B329" s="115" t="s">
        <v>50</v>
      </c>
      <c r="C329" s="115" t="s">
        <v>216</v>
      </c>
      <c r="D329" s="115" t="s">
        <v>79</v>
      </c>
      <c r="E329" s="115" t="s">
        <v>90</v>
      </c>
      <c r="F329" s="115"/>
      <c r="G329" s="115"/>
      <c r="H329" s="115"/>
      <c r="I329" s="115"/>
      <c r="J329" s="115" t="e" cm="1">
        <f t="array" ref="J329">MAX(_xlfn.XLOOKUP(D329,Table5[Driver],'Race Results'!$E$3:$E$22),_xlfn.XLOOKUP(E329,Table5[Driver],'Race Results'!$E$3:$E$22)*0.5)</f>
        <v>#N/A</v>
      </c>
    </row>
    <row r="330" spans="1:10" x14ac:dyDescent="0.3">
      <c r="A330" s="114" t="s">
        <v>656</v>
      </c>
      <c r="B330" s="115" t="s">
        <v>47</v>
      </c>
      <c r="C330" s="115" t="s">
        <v>216</v>
      </c>
      <c r="D330" s="115" t="s">
        <v>77</v>
      </c>
      <c r="E330" s="115" t="s">
        <v>85</v>
      </c>
      <c r="F330" s="115"/>
      <c r="G330" s="115"/>
      <c r="H330" s="115"/>
      <c r="I330" s="115"/>
      <c r="J330" s="115" t="e" cm="1">
        <f t="array" ref="J330">MAX(_xlfn.XLOOKUP(D330,Table5[Driver],'Race Results'!$E$3:$E$22),_xlfn.XLOOKUP(E330,Table5[Driver],'Race Results'!$E$3:$E$22)*0.5)</f>
        <v>#N/A</v>
      </c>
    </row>
    <row r="331" spans="1:10" x14ac:dyDescent="0.3">
      <c r="A331" s="114" t="s">
        <v>657</v>
      </c>
      <c r="B331" s="115" t="s">
        <v>65</v>
      </c>
      <c r="C331" s="115" t="s">
        <v>216</v>
      </c>
      <c r="D331" s="115" t="s">
        <v>85</v>
      </c>
      <c r="E331" s="115" t="s">
        <v>77</v>
      </c>
      <c r="F331" s="115"/>
      <c r="G331" s="115"/>
      <c r="H331" s="115"/>
      <c r="I331" s="115"/>
      <c r="J331" s="115" t="e" cm="1">
        <f t="array" ref="J331">MAX(_xlfn.XLOOKUP(D331,Table5[Driver],'Race Results'!$E$3:$E$22),_xlfn.XLOOKUP(E331,Table5[Driver],'Race Results'!$E$3:$E$22)*0.5)</f>
        <v>#N/A</v>
      </c>
    </row>
    <row r="332" spans="1:10" x14ac:dyDescent="0.3">
      <c r="A332" s="114" t="s">
        <v>658</v>
      </c>
      <c r="B332" s="115" t="s">
        <v>51</v>
      </c>
      <c r="C332" s="115" t="s">
        <v>216</v>
      </c>
      <c r="D332" s="115" t="s">
        <v>77</v>
      </c>
      <c r="E332" s="115" t="s">
        <v>79</v>
      </c>
      <c r="F332" s="115"/>
      <c r="G332" s="115"/>
      <c r="H332" s="115"/>
      <c r="I332" s="115"/>
      <c r="J332" s="115" t="e" cm="1">
        <f t="array" ref="J332">MAX(_xlfn.XLOOKUP(D332,Table5[Driver],'Race Results'!$E$3:$E$22),_xlfn.XLOOKUP(E332,Table5[Driver],'Race Results'!$E$3:$E$22)*0.5)</f>
        <v>#N/A</v>
      </c>
    </row>
    <row r="333" spans="1:10" x14ac:dyDescent="0.3">
      <c r="A333" s="114" t="s">
        <v>659</v>
      </c>
      <c r="B333" s="115" t="s">
        <v>63</v>
      </c>
      <c r="C333" s="115" t="s">
        <v>216</v>
      </c>
      <c r="D333" s="115" t="s">
        <v>78</v>
      </c>
      <c r="E333" s="115" t="s">
        <v>77</v>
      </c>
      <c r="F333" s="115"/>
      <c r="G333" s="115"/>
      <c r="H333" s="115"/>
      <c r="I333" s="115"/>
      <c r="J333" s="115" t="e" cm="1">
        <f t="array" ref="J333">MAX(_xlfn.XLOOKUP(D333,Table5[Driver],'Race Results'!$E$3:$E$22),_xlfn.XLOOKUP(E333,Table5[Driver],'Race Results'!$E$3:$E$22)*0.5)</f>
        <v>#N/A</v>
      </c>
    </row>
    <row r="334" spans="1:10" x14ac:dyDescent="0.3">
      <c r="A334" s="114" t="s">
        <v>660</v>
      </c>
      <c r="B334" s="115" t="s">
        <v>52</v>
      </c>
      <c r="C334" s="115" t="s">
        <v>216</v>
      </c>
      <c r="D334" s="115" t="s">
        <v>75</v>
      </c>
      <c r="E334" s="115" t="s">
        <v>209</v>
      </c>
      <c r="F334" s="115"/>
      <c r="G334" s="115"/>
      <c r="H334" s="115"/>
      <c r="I334" s="115"/>
      <c r="J334" s="115" t="e" cm="1">
        <f t="array" ref="J334">MAX(_xlfn.XLOOKUP(D334,Table5[Driver],'Race Results'!$E$3:$E$22),_xlfn.XLOOKUP(E334,Table5[Driver],'Race Results'!$E$3:$E$22)*0.5)</f>
        <v>#N/A</v>
      </c>
    </row>
    <row r="335" spans="1:10" x14ac:dyDescent="0.3">
      <c r="A335" s="114" t="s">
        <v>661</v>
      </c>
      <c r="B335" s="115" t="s">
        <v>64</v>
      </c>
      <c r="C335" s="115" t="s">
        <v>216</v>
      </c>
      <c r="D335" s="115" t="s">
        <v>77</v>
      </c>
      <c r="E335" s="115" t="s">
        <v>79</v>
      </c>
      <c r="F335" s="115"/>
      <c r="G335" s="115"/>
      <c r="H335" s="115"/>
      <c r="I335" s="115"/>
      <c r="J335" s="115" t="e" cm="1">
        <f t="array" ref="J335">MAX(_xlfn.XLOOKUP(D335,Table5[Driver],'Race Results'!$E$3:$E$22),_xlfn.XLOOKUP(E335,Table5[Driver],'Race Results'!$E$3:$E$22)*0.5)</f>
        <v>#N/A</v>
      </c>
    </row>
    <row r="336" spans="1:10" x14ac:dyDescent="0.3">
      <c r="A336" s="114" t="s">
        <v>662</v>
      </c>
      <c r="B336" s="115" t="s">
        <v>49</v>
      </c>
      <c r="C336" s="115" t="s">
        <v>216</v>
      </c>
      <c r="D336" s="115" t="s">
        <v>90</v>
      </c>
      <c r="E336" s="115" t="s">
        <v>77</v>
      </c>
      <c r="F336" s="115"/>
      <c r="G336" s="115"/>
      <c r="H336" s="115"/>
      <c r="I336" s="115"/>
      <c r="J336" s="115" t="e" cm="1">
        <f t="array" ref="J336">MAX(_xlfn.XLOOKUP(D336,Table5[Driver],'Race Results'!$E$3:$E$22),_xlfn.XLOOKUP(E336,Table5[Driver],'Race Results'!$E$3:$E$22)*0.5)</f>
        <v>#N/A</v>
      </c>
    </row>
    <row r="337" spans="1:10" x14ac:dyDescent="0.3">
      <c r="A337" s="114" t="s">
        <v>663</v>
      </c>
      <c r="B337" s="115" t="s">
        <v>69</v>
      </c>
      <c r="C337" s="115" t="s">
        <v>216</v>
      </c>
      <c r="D337" s="115" t="s">
        <v>77</v>
      </c>
      <c r="E337" s="115" t="s">
        <v>75</v>
      </c>
      <c r="F337" s="115"/>
      <c r="G337" s="115"/>
      <c r="H337" s="115"/>
      <c r="I337" s="115"/>
      <c r="J337" s="115" t="e" cm="1">
        <f t="array" ref="J337">MAX(_xlfn.XLOOKUP(D337,Table5[Driver],'Race Results'!$E$3:$E$22),_xlfn.XLOOKUP(E337,Table5[Driver],'Race Results'!$E$3:$E$22)*0.5)</f>
        <v>#N/A</v>
      </c>
    </row>
    <row r="338" spans="1:10" x14ac:dyDescent="0.3">
      <c r="A338" s="114" t="s">
        <v>664</v>
      </c>
      <c r="B338" s="115" t="s">
        <v>46</v>
      </c>
      <c r="C338" s="115" t="s">
        <v>216</v>
      </c>
      <c r="D338" s="115" t="s">
        <v>77</v>
      </c>
      <c r="E338" s="115" t="s">
        <v>79</v>
      </c>
      <c r="F338" s="115"/>
      <c r="G338" s="115"/>
      <c r="H338" s="115"/>
      <c r="I338" s="115"/>
      <c r="J338" s="115" t="e" cm="1">
        <f t="array" ref="J338">MAX(_xlfn.XLOOKUP(D338,Table5[Driver],'Race Results'!$E$3:$E$22),_xlfn.XLOOKUP(E338,Table5[Driver],'Race Results'!$E$3:$E$22)*0.5)</f>
        <v>#N/A</v>
      </c>
    </row>
    <row r="339" spans="1:10" x14ac:dyDescent="0.3">
      <c r="A339" s="114" t="s">
        <v>665</v>
      </c>
      <c r="B339" s="115" t="s">
        <v>44</v>
      </c>
      <c r="C339" s="115" t="s">
        <v>216</v>
      </c>
      <c r="D339" s="115" t="s">
        <v>79</v>
      </c>
      <c r="E339" s="115" t="s">
        <v>75</v>
      </c>
      <c r="F339" s="115"/>
      <c r="G339" s="115"/>
      <c r="H339" s="115"/>
      <c r="I339" s="115"/>
      <c r="J339" s="115" t="e" cm="1">
        <f t="array" ref="J339">MAX(_xlfn.XLOOKUP(D339,Table5[Driver],'Race Results'!$E$3:$E$22),_xlfn.XLOOKUP(E339,Table5[Driver],'Race Results'!$E$3:$E$22)*0.5)</f>
        <v>#N/A</v>
      </c>
    </row>
    <row r="340" spans="1:10" x14ac:dyDescent="0.3">
      <c r="A340" s="114" t="s">
        <v>666</v>
      </c>
      <c r="B340" s="115" t="s">
        <v>53</v>
      </c>
      <c r="C340" s="115" t="s">
        <v>216</v>
      </c>
      <c r="D340" s="115" t="s">
        <v>91</v>
      </c>
      <c r="E340" s="115" t="s">
        <v>85</v>
      </c>
      <c r="F340" s="115"/>
      <c r="G340" s="115"/>
      <c r="H340" s="115"/>
      <c r="I340" s="115"/>
      <c r="J340" s="115" t="e" cm="1">
        <f t="array" ref="J340">MAX(_xlfn.XLOOKUP(D340,Table5[Driver],'Race Results'!$E$3:$E$22),_xlfn.XLOOKUP(E340,Table5[Driver],'Race Results'!$E$3:$E$22)*0.5)</f>
        <v>#N/A</v>
      </c>
    </row>
    <row r="341" spans="1:10" x14ac:dyDescent="0.3">
      <c r="A341" s="114" t="s">
        <v>667</v>
      </c>
      <c r="B341" s="115" t="s">
        <v>45</v>
      </c>
      <c r="C341" s="115" t="s">
        <v>216</v>
      </c>
      <c r="D341" s="115" t="s">
        <v>90</v>
      </c>
      <c r="E341" s="115" t="s">
        <v>209</v>
      </c>
      <c r="F341" s="115"/>
      <c r="G341" s="115"/>
      <c r="H341" s="115"/>
      <c r="I341" s="115"/>
      <c r="J341" s="115" t="e" cm="1">
        <f t="array" ref="J341">MAX(_xlfn.XLOOKUP(D341,Table5[Driver],'Race Results'!$E$3:$E$22),_xlfn.XLOOKUP(E341,Table5[Driver],'Race Results'!$E$3:$E$22)*0.5)</f>
        <v>#N/A</v>
      </c>
    </row>
    <row r="342" spans="1:10" x14ac:dyDescent="0.3">
      <c r="A342" s="114" t="s">
        <v>668</v>
      </c>
      <c r="B342" s="115" t="s">
        <v>48</v>
      </c>
      <c r="C342" s="115" t="s">
        <v>216</v>
      </c>
      <c r="D342" s="115" t="s">
        <v>77</v>
      </c>
      <c r="E342" s="115" t="s">
        <v>209</v>
      </c>
      <c r="F342" s="115"/>
      <c r="G342" s="115"/>
      <c r="H342" s="115"/>
      <c r="I342" s="115"/>
      <c r="J342" s="115" t="e" cm="1">
        <f t="array" ref="J342">MAX(_xlfn.XLOOKUP(D342,Table5[Driver],'Race Results'!$E$3:$E$22),_xlfn.XLOOKUP(E342,Table5[Driver],'Race Results'!$E$3:$E$22)*0.5)</f>
        <v>#N/A</v>
      </c>
    </row>
    <row r="343" spans="1:10" x14ac:dyDescent="0.3">
      <c r="A343" s="114" t="s">
        <v>669</v>
      </c>
      <c r="B343" s="115" t="s">
        <v>54</v>
      </c>
      <c r="C343" s="115" t="s">
        <v>216</v>
      </c>
      <c r="D343" s="115" t="s">
        <v>85</v>
      </c>
      <c r="E343" s="115" t="s">
        <v>77</v>
      </c>
      <c r="F343" s="115"/>
      <c r="G343" s="115"/>
      <c r="H343" s="115"/>
      <c r="I343" s="115"/>
      <c r="J343" s="115" t="e" cm="1">
        <f t="array" ref="J343">MAX(_xlfn.XLOOKUP(D343,Table5[Driver],'Race Results'!$E$3:$E$22),_xlfn.XLOOKUP(E343,Table5[Driver],'Race Results'!$E$3:$E$22)*0.5)</f>
        <v>#N/A</v>
      </c>
    </row>
    <row r="344" spans="1:10" x14ac:dyDescent="0.3">
      <c r="A344" s="114" t="s">
        <v>670</v>
      </c>
      <c r="B344" s="115" t="s">
        <v>62</v>
      </c>
      <c r="C344" s="115" t="s">
        <v>216</v>
      </c>
      <c r="D344" s="115" t="s">
        <v>78</v>
      </c>
      <c r="E344" s="115" t="s">
        <v>85</v>
      </c>
      <c r="F344" s="115"/>
      <c r="G344" s="115"/>
      <c r="H344" s="115"/>
      <c r="I344" s="115"/>
      <c r="J344" s="115" t="e" cm="1">
        <f t="array" ref="J344">MAX(_xlfn.XLOOKUP(D344,Table5[Driver],'Race Results'!$E$3:$E$22),_xlfn.XLOOKUP(E344,Table5[Driver],'Race Results'!$E$3:$E$22)*0.5)</f>
        <v>#N/A</v>
      </c>
    </row>
    <row r="345" spans="1:10" x14ac:dyDescent="0.3">
      <c r="A345" s="114" t="s">
        <v>671</v>
      </c>
      <c r="B345" s="115" t="s">
        <v>57</v>
      </c>
      <c r="C345" s="115" t="s">
        <v>216</v>
      </c>
      <c r="D345" s="115" t="s">
        <v>78</v>
      </c>
      <c r="E345" s="115" t="s">
        <v>81</v>
      </c>
      <c r="F345" s="115"/>
      <c r="G345" s="115"/>
      <c r="H345" s="115"/>
      <c r="I345" s="115"/>
      <c r="J345" s="115" t="e" cm="1">
        <f t="array" ref="J345">MAX(_xlfn.XLOOKUP(D345,Table5[Driver],'Race Results'!$E$3:$E$22),_xlfn.XLOOKUP(E345,Table5[Driver],'Race Results'!$E$3:$E$22)*0.5)</f>
        <v>#N/A</v>
      </c>
    </row>
    <row r="346" spans="1:10" x14ac:dyDescent="0.3">
      <c r="A346" s="114" t="s">
        <v>672</v>
      </c>
      <c r="B346" s="115" t="s">
        <v>67</v>
      </c>
      <c r="C346" s="115" t="s">
        <v>216</v>
      </c>
      <c r="D346" s="115" t="s">
        <v>85</v>
      </c>
      <c r="E346" s="115" t="s">
        <v>81</v>
      </c>
      <c r="F346" s="115"/>
      <c r="G346" s="115"/>
      <c r="H346" s="115"/>
      <c r="I346" s="115"/>
      <c r="J346" s="115" t="e" cm="1">
        <f t="array" ref="J346">MAX(_xlfn.XLOOKUP(D346,Table5[Driver],'Race Results'!$E$3:$E$22),_xlfn.XLOOKUP(E346,Table5[Driver],'Race Results'!$E$3:$E$22)*0.5)</f>
        <v>#N/A</v>
      </c>
    </row>
    <row r="347" spans="1:10" x14ac:dyDescent="0.3">
      <c r="A347" s="114" t="s">
        <v>673</v>
      </c>
      <c r="B347" s="115" t="s">
        <v>67</v>
      </c>
      <c r="C347" s="115" t="s">
        <v>216</v>
      </c>
      <c r="D347" s="115" t="s">
        <v>85</v>
      </c>
      <c r="E347" s="115" t="s">
        <v>81</v>
      </c>
      <c r="F347" s="115"/>
      <c r="G347" s="115"/>
      <c r="H347" s="115"/>
      <c r="I347" s="115"/>
      <c r="J347" s="115" t="e" cm="1">
        <f t="array" ref="J347">MAX(_xlfn.XLOOKUP(D347,Table5[Driver],'Race Results'!$E$3:$E$22),_xlfn.XLOOKUP(E347,Table5[Driver],'Race Results'!$E$3:$E$22)*0.5)</f>
        <v>#N/A</v>
      </c>
    </row>
    <row r="348" spans="1:10" x14ac:dyDescent="0.3">
      <c r="A348" s="114" t="s">
        <v>674</v>
      </c>
      <c r="B348" s="115" t="s">
        <v>60</v>
      </c>
      <c r="C348" s="115" t="s">
        <v>216</v>
      </c>
      <c r="D348" s="115" t="s">
        <v>77</v>
      </c>
      <c r="E348" s="115" t="s">
        <v>79</v>
      </c>
      <c r="F348" s="115"/>
      <c r="G348" s="115"/>
      <c r="H348" s="115"/>
      <c r="I348" s="115"/>
      <c r="J348" s="115" t="e" cm="1">
        <f t="array" ref="J348">MAX(_xlfn.XLOOKUP(D348,Table5[Driver],'Race Results'!$E$3:$E$22),_xlfn.XLOOKUP(E348,Table5[Driver],'Race Results'!$E$3:$E$22)*0.5)</f>
        <v>#N/A</v>
      </c>
    </row>
    <row r="349" spans="1:10" x14ac:dyDescent="0.3">
      <c r="A349" s="114" t="s">
        <v>675</v>
      </c>
      <c r="B349" s="115" t="s">
        <v>61</v>
      </c>
      <c r="C349" s="115" t="s">
        <v>216</v>
      </c>
      <c r="D349" s="115" t="s">
        <v>75</v>
      </c>
      <c r="E349" s="115" t="s">
        <v>85</v>
      </c>
      <c r="F349" s="115"/>
      <c r="G349" s="115"/>
      <c r="H349" s="115"/>
      <c r="I349" s="115"/>
      <c r="J349" s="115" t="e" cm="1">
        <f t="array" ref="J349">MAX(_xlfn.XLOOKUP(D349,Table5[Driver],'Race Results'!$E$3:$E$22),_xlfn.XLOOKUP(E349,Table5[Driver],'Race Results'!$E$3:$E$22)*0.5)</f>
        <v>#N/A</v>
      </c>
    </row>
    <row r="350" spans="1:10" x14ac:dyDescent="0.3">
      <c r="A350" s="114" t="s">
        <v>676</v>
      </c>
      <c r="B350" s="115" t="s">
        <v>56</v>
      </c>
      <c r="C350" s="115" t="s">
        <v>216</v>
      </c>
      <c r="D350" s="115" t="s">
        <v>81</v>
      </c>
      <c r="E350" s="115" t="s">
        <v>77</v>
      </c>
      <c r="F350" s="115"/>
      <c r="G350" s="115"/>
      <c r="H350" s="115"/>
      <c r="I350" s="115"/>
      <c r="J350" s="115" t="e" cm="1">
        <f t="array" ref="J350">MAX(_xlfn.XLOOKUP(D350,Table5[Driver],'Race Results'!$E$3:$E$22),_xlfn.XLOOKUP(E350,Table5[Driver],'Race Results'!$E$3:$E$22)*0.5)</f>
        <v>#N/A</v>
      </c>
    </row>
    <row r="351" spans="1:10" x14ac:dyDescent="0.3">
      <c r="A351" s="114" t="s">
        <v>677</v>
      </c>
      <c r="B351" s="115" t="s">
        <v>52</v>
      </c>
      <c r="C351" s="115" t="s">
        <v>217</v>
      </c>
      <c r="D351" s="115" t="s">
        <v>213</v>
      </c>
      <c r="E351" s="115" t="s">
        <v>84</v>
      </c>
      <c r="F351" s="115"/>
      <c r="G351" s="115"/>
      <c r="H351" s="115"/>
      <c r="I351" s="115"/>
      <c r="J351" s="115" t="e" cm="1">
        <f t="array" ref="J351">MAX(_xlfn.XLOOKUP(D351,Table5[Driver],'Race Results'!$E$3:$E$22),_xlfn.XLOOKUP(E351,Table5[Driver],'Race Results'!$E$3:$E$22)*0.5)</f>
        <v>#N/A</v>
      </c>
    </row>
    <row r="352" spans="1:10" x14ac:dyDescent="0.3">
      <c r="A352" s="114" t="s">
        <v>678</v>
      </c>
      <c r="B352" s="115" t="s">
        <v>62</v>
      </c>
      <c r="C352" s="115" t="s">
        <v>217</v>
      </c>
      <c r="D352" s="115" t="s">
        <v>85</v>
      </c>
      <c r="E352" s="115" t="s">
        <v>78</v>
      </c>
      <c r="F352" s="115"/>
      <c r="G352" s="115"/>
      <c r="H352" s="115"/>
      <c r="I352" s="115"/>
      <c r="J352" s="115" t="e" cm="1">
        <f t="array" ref="J352">MAX(_xlfn.XLOOKUP(D352,Table5[Driver],'Race Results'!$E$3:$E$22),_xlfn.XLOOKUP(E352,Table5[Driver],'Race Results'!$E$3:$E$22)*0.5)</f>
        <v>#N/A</v>
      </c>
    </row>
    <row r="353" spans="1:10" x14ac:dyDescent="0.3">
      <c r="A353" s="114" t="s">
        <v>679</v>
      </c>
      <c r="B353" s="115" t="s">
        <v>55</v>
      </c>
      <c r="C353" s="115" t="s">
        <v>217</v>
      </c>
      <c r="D353" s="115" t="s">
        <v>218</v>
      </c>
      <c r="E353" s="115" t="s">
        <v>213</v>
      </c>
      <c r="F353" s="115"/>
      <c r="G353" s="115"/>
      <c r="H353" s="115"/>
      <c r="I353" s="115"/>
      <c r="J353" s="115" t="e" cm="1">
        <f t="array" ref="J353">MAX(_xlfn.XLOOKUP(D353,Table5[Driver],'Race Results'!$E$3:$E$22),_xlfn.XLOOKUP(E353,Table5[Driver],'Race Results'!$E$3:$E$22)*0.5)</f>
        <v>#N/A</v>
      </c>
    </row>
    <row r="354" spans="1:10" x14ac:dyDescent="0.3">
      <c r="A354" s="114" t="s">
        <v>680</v>
      </c>
      <c r="B354" s="115" t="s">
        <v>59</v>
      </c>
      <c r="C354" s="115" t="s">
        <v>217</v>
      </c>
      <c r="D354" s="115" t="s">
        <v>85</v>
      </c>
      <c r="E354" s="115" t="s">
        <v>218</v>
      </c>
      <c r="F354" s="115"/>
      <c r="G354" s="115"/>
      <c r="H354" s="115"/>
      <c r="I354" s="115"/>
      <c r="J354" s="115" t="e" cm="1">
        <f t="array" ref="J354">MAX(_xlfn.XLOOKUP(D354,Table5[Driver],'Race Results'!$E$3:$E$22),_xlfn.XLOOKUP(E354,Table5[Driver],'Race Results'!$E$3:$E$22)*0.5)</f>
        <v>#N/A</v>
      </c>
    </row>
    <row r="355" spans="1:10" x14ac:dyDescent="0.3">
      <c r="A355" s="114" t="s">
        <v>681</v>
      </c>
      <c r="B355" s="115" t="s">
        <v>68</v>
      </c>
      <c r="C355" s="115" t="s">
        <v>217</v>
      </c>
      <c r="D355" s="115" t="s">
        <v>213</v>
      </c>
      <c r="E355" s="115" t="s">
        <v>77</v>
      </c>
      <c r="F355" s="115"/>
      <c r="G355" s="115"/>
      <c r="H355" s="115"/>
      <c r="I355" s="115"/>
      <c r="J355" s="115" t="e" cm="1">
        <f t="array" ref="J355">MAX(_xlfn.XLOOKUP(D355,Table5[Driver],'Race Results'!$E$3:$E$22),_xlfn.XLOOKUP(E355,Table5[Driver],'Race Results'!$E$3:$E$22)*0.5)</f>
        <v>#N/A</v>
      </c>
    </row>
    <row r="356" spans="1:10" x14ac:dyDescent="0.3">
      <c r="A356" s="114" t="s">
        <v>682</v>
      </c>
      <c r="B356" s="115" t="s">
        <v>65</v>
      </c>
      <c r="C356" s="115" t="s">
        <v>217</v>
      </c>
      <c r="D356" s="115" t="s">
        <v>218</v>
      </c>
      <c r="E356" s="115" t="s">
        <v>77</v>
      </c>
      <c r="F356" s="115"/>
      <c r="G356" s="115"/>
      <c r="H356" s="115"/>
      <c r="I356" s="115"/>
      <c r="J356" s="115" t="e" cm="1">
        <f t="array" ref="J356">MAX(_xlfn.XLOOKUP(D356,Table5[Driver],'Race Results'!$E$3:$E$22),_xlfn.XLOOKUP(E356,Table5[Driver],'Race Results'!$E$3:$E$22)*0.5)</f>
        <v>#N/A</v>
      </c>
    </row>
    <row r="357" spans="1:10" x14ac:dyDescent="0.3">
      <c r="A357" s="114" t="s">
        <v>683</v>
      </c>
      <c r="B357" s="115" t="s">
        <v>50</v>
      </c>
      <c r="C357" s="115" t="s">
        <v>217</v>
      </c>
      <c r="D357" s="115" t="s">
        <v>85</v>
      </c>
      <c r="E357" s="115" t="s">
        <v>77</v>
      </c>
      <c r="F357" s="115"/>
      <c r="G357" s="115"/>
      <c r="H357" s="115"/>
      <c r="I357" s="115"/>
      <c r="J357" s="115" t="e" cm="1">
        <f t="array" ref="J357">MAX(_xlfn.XLOOKUP(D357,Table5[Driver],'Race Results'!$E$3:$E$22),_xlfn.XLOOKUP(E357,Table5[Driver],'Race Results'!$E$3:$E$22)*0.5)</f>
        <v>#N/A</v>
      </c>
    </row>
    <row r="358" spans="1:10" x14ac:dyDescent="0.3">
      <c r="A358" s="114" t="s">
        <v>684</v>
      </c>
      <c r="B358" s="115" t="s">
        <v>49</v>
      </c>
      <c r="C358" s="115" t="s">
        <v>217</v>
      </c>
      <c r="D358" s="115" t="s">
        <v>218</v>
      </c>
      <c r="E358" s="115" t="s">
        <v>75</v>
      </c>
      <c r="F358" s="115"/>
      <c r="G358" s="115"/>
      <c r="H358" s="115"/>
      <c r="I358" s="115"/>
      <c r="J358" s="115" t="e" cm="1">
        <f t="array" ref="J358">MAX(_xlfn.XLOOKUP(D358,Table5[Driver],'Race Results'!$E$3:$E$22),_xlfn.XLOOKUP(E358,Table5[Driver],'Race Results'!$E$3:$E$22)*0.5)</f>
        <v>#N/A</v>
      </c>
    </row>
    <row r="359" spans="1:10" x14ac:dyDescent="0.3">
      <c r="A359" s="114" t="s">
        <v>685</v>
      </c>
      <c r="B359" s="115" t="s">
        <v>64</v>
      </c>
      <c r="C359" s="115" t="s">
        <v>217</v>
      </c>
      <c r="D359" s="115" t="s">
        <v>85</v>
      </c>
      <c r="E359" s="115" t="s">
        <v>75</v>
      </c>
      <c r="F359" s="115"/>
      <c r="G359" s="115"/>
      <c r="H359" s="115"/>
      <c r="I359" s="115"/>
      <c r="J359" s="115" t="e" cm="1">
        <f t="array" ref="J359">MAX(_xlfn.XLOOKUP(D359,Table5[Driver],'Race Results'!$E$3:$E$22),_xlfn.XLOOKUP(E359,Table5[Driver],'Race Results'!$E$3:$E$22)*0.5)</f>
        <v>#N/A</v>
      </c>
    </row>
    <row r="360" spans="1:10" x14ac:dyDescent="0.3">
      <c r="A360" s="114" t="s">
        <v>686</v>
      </c>
      <c r="B360" s="115" t="s">
        <v>63</v>
      </c>
      <c r="C360" s="115" t="s">
        <v>217</v>
      </c>
      <c r="D360" s="115" t="s">
        <v>82</v>
      </c>
      <c r="E360" s="115" t="s">
        <v>80</v>
      </c>
      <c r="F360" s="115"/>
      <c r="G360" s="115"/>
      <c r="H360" s="115"/>
      <c r="I360" s="115"/>
      <c r="J360" s="115" t="e" cm="1">
        <f t="array" ref="J360">MAX(_xlfn.XLOOKUP(D360,Table5[Driver],'Race Results'!$E$3:$E$22),_xlfn.XLOOKUP(E360,Table5[Driver],'Race Results'!$E$3:$E$22)*0.5)</f>
        <v>#N/A</v>
      </c>
    </row>
    <row r="361" spans="1:10" x14ac:dyDescent="0.3">
      <c r="A361" s="114" t="s">
        <v>687</v>
      </c>
      <c r="B361" s="115" t="s">
        <v>46</v>
      </c>
      <c r="C361" s="115" t="s">
        <v>217</v>
      </c>
      <c r="D361" s="115" t="s">
        <v>218</v>
      </c>
      <c r="E361" s="115" t="s">
        <v>85</v>
      </c>
      <c r="F361" s="115"/>
      <c r="G361" s="115"/>
      <c r="H361" s="115"/>
      <c r="I361" s="115"/>
      <c r="J361" s="115" t="e" cm="1">
        <f t="array" ref="J361">MAX(_xlfn.XLOOKUP(D361,Table5[Driver],'Race Results'!$E$3:$E$22),_xlfn.XLOOKUP(E361,Table5[Driver],'Race Results'!$E$3:$E$22)*0.5)</f>
        <v>#N/A</v>
      </c>
    </row>
    <row r="362" spans="1:10" x14ac:dyDescent="0.3">
      <c r="A362" s="114" t="s">
        <v>688</v>
      </c>
      <c r="B362" s="115" t="s">
        <v>69</v>
      </c>
      <c r="C362" s="115" t="s">
        <v>217</v>
      </c>
      <c r="D362" s="115" t="s">
        <v>85</v>
      </c>
      <c r="E362" s="115" t="s">
        <v>76</v>
      </c>
      <c r="F362" s="115"/>
      <c r="G362" s="115"/>
      <c r="H362" s="115"/>
      <c r="I362" s="115"/>
      <c r="J362" s="115" t="e" cm="1">
        <f t="array" ref="J362">MAX(_xlfn.XLOOKUP(D362,Table5[Driver],'Race Results'!$E$3:$E$22),_xlfn.XLOOKUP(E362,Table5[Driver],'Race Results'!$E$3:$E$22)*0.5)</f>
        <v>#N/A</v>
      </c>
    </row>
    <row r="363" spans="1:10" x14ac:dyDescent="0.3">
      <c r="A363" s="114" t="s">
        <v>689</v>
      </c>
      <c r="B363" s="115" t="s">
        <v>44</v>
      </c>
      <c r="C363" s="115" t="s">
        <v>217</v>
      </c>
      <c r="D363" s="115" t="s">
        <v>75</v>
      </c>
      <c r="E363" s="115" t="s">
        <v>213</v>
      </c>
      <c r="F363" s="115"/>
      <c r="G363" s="115"/>
      <c r="H363" s="115"/>
      <c r="I363" s="115"/>
      <c r="J363" s="115" t="e" cm="1">
        <f t="array" ref="J363">MAX(_xlfn.XLOOKUP(D363,Table5[Driver],'Race Results'!$E$3:$E$22),_xlfn.XLOOKUP(E363,Table5[Driver],'Race Results'!$E$3:$E$22)*0.5)</f>
        <v>#N/A</v>
      </c>
    </row>
    <row r="364" spans="1:10" x14ac:dyDescent="0.3">
      <c r="A364" s="114" t="s">
        <v>690</v>
      </c>
      <c r="B364" s="115" t="s">
        <v>54</v>
      </c>
      <c r="C364" s="115" t="s">
        <v>217</v>
      </c>
      <c r="D364" s="115" t="s">
        <v>218</v>
      </c>
      <c r="E364" s="115" t="s">
        <v>77</v>
      </c>
      <c r="F364" s="115"/>
      <c r="G364" s="115"/>
      <c r="H364" s="115"/>
      <c r="I364" s="115"/>
      <c r="J364" s="115" t="e" cm="1">
        <f t="array" ref="J364">MAX(_xlfn.XLOOKUP(D364,Table5[Driver],'Race Results'!$E$3:$E$22),_xlfn.XLOOKUP(E364,Table5[Driver],'Race Results'!$E$3:$E$22)*0.5)</f>
        <v>#N/A</v>
      </c>
    </row>
    <row r="365" spans="1:10" x14ac:dyDescent="0.3">
      <c r="A365" s="114" t="s">
        <v>691</v>
      </c>
      <c r="B365" s="115" t="s">
        <v>51</v>
      </c>
      <c r="C365" s="115" t="s">
        <v>217</v>
      </c>
      <c r="D365" s="115" t="s">
        <v>213</v>
      </c>
      <c r="E365" s="115" t="s">
        <v>85</v>
      </c>
      <c r="F365" s="115"/>
      <c r="G365" s="115"/>
      <c r="H365" s="115"/>
      <c r="I365" s="115"/>
      <c r="J365" s="115" t="e" cm="1">
        <f t="array" ref="J365">MAX(_xlfn.XLOOKUP(D365,Table5[Driver],'Race Results'!$E$3:$E$22),_xlfn.XLOOKUP(E365,Table5[Driver],'Race Results'!$E$3:$E$22)*0.5)</f>
        <v>#N/A</v>
      </c>
    </row>
    <row r="366" spans="1:10" x14ac:dyDescent="0.3">
      <c r="A366" s="114" t="s">
        <v>692</v>
      </c>
      <c r="B366" s="115" t="s">
        <v>67</v>
      </c>
      <c r="C366" s="115" t="s">
        <v>217</v>
      </c>
      <c r="D366" s="115" t="s">
        <v>218</v>
      </c>
      <c r="E366" s="115" t="s">
        <v>213</v>
      </c>
      <c r="F366" s="115"/>
      <c r="G366" s="115"/>
      <c r="H366" s="115"/>
      <c r="I366" s="115"/>
      <c r="J366" s="115" t="e" cm="1">
        <f t="array" ref="J366">MAX(_xlfn.XLOOKUP(D366,Table5[Driver],'Race Results'!$E$3:$E$22),_xlfn.XLOOKUP(E366,Table5[Driver],'Race Results'!$E$3:$E$22)*0.5)</f>
        <v>#N/A</v>
      </c>
    </row>
    <row r="367" spans="1:10" x14ac:dyDescent="0.3">
      <c r="A367" s="114" t="s">
        <v>693</v>
      </c>
      <c r="B367" s="115" t="s">
        <v>47</v>
      </c>
      <c r="C367" s="115" t="s">
        <v>217</v>
      </c>
      <c r="D367" s="115" t="s">
        <v>213</v>
      </c>
      <c r="E367" s="115" t="s">
        <v>218</v>
      </c>
      <c r="F367" s="115"/>
      <c r="G367" s="115"/>
      <c r="H367" s="115"/>
      <c r="I367" s="115"/>
      <c r="J367" s="115" t="e" cm="1">
        <f t="array" ref="J367">MAX(_xlfn.XLOOKUP(D367,Table5[Driver],'Race Results'!$E$3:$E$22),_xlfn.XLOOKUP(E367,Table5[Driver],'Race Results'!$E$3:$E$22)*0.5)</f>
        <v>#N/A</v>
      </c>
    </row>
    <row r="368" spans="1:10" x14ac:dyDescent="0.3">
      <c r="A368" s="114" t="s">
        <v>694</v>
      </c>
      <c r="B368" s="115" t="s">
        <v>57</v>
      </c>
      <c r="C368" s="115" t="s">
        <v>217</v>
      </c>
      <c r="D368" s="115" t="s">
        <v>218</v>
      </c>
      <c r="E368" s="115" t="s">
        <v>213</v>
      </c>
      <c r="F368" s="115"/>
      <c r="G368" s="115"/>
      <c r="H368" s="115"/>
      <c r="I368" s="115"/>
      <c r="J368" s="115" t="e" cm="1">
        <f t="array" ref="J368">MAX(_xlfn.XLOOKUP(D368,Table5[Driver],'Race Results'!$E$3:$E$22),_xlfn.XLOOKUP(E368,Table5[Driver],'Race Results'!$E$3:$E$22)*0.5)</f>
        <v>#N/A</v>
      </c>
    </row>
    <row r="369" spans="1:10" x14ac:dyDescent="0.3">
      <c r="A369" s="114" t="s">
        <v>695</v>
      </c>
      <c r="B369" s="115" t="s">
        <v>66</v>
      </c>
      <c r="C369" s="115" t="s">
        <v>217</v>
      </c>
      <c r="D369" s="115" t="s">
        <v>85</v>
      </c>
      <c r="E369" s="115" t="s">
        <v>218</v>
      </c>
      <c r="F369" s="115"/>
      <c r="G369" s="115"/>
      <c r="H369" s="115"/>
      <c r="I369" s="115"/>
      <c r="J369" s="115" t="e" cm="1">
        <f t="array" ref="J369">MAX(_xlfn.XLOOKUP(D369,Table5[Driver],'Race Results'!$E$3:$E$22),_xlfn.XLOOKUP(E369,Table5[Driver],'Race Results'!$E$3:$E$22)*0.5)</f>
        <v>#N/A</v>
      </c>
    </row>
    <row r="370" spans="1:10" x14ac:dyDescent="0.3">
      <c r="A370" s="114" t="s">
        <v>696</v>
      </c>
      <c r="B370" s="115" t="s">
        <v>61</v>
      </c>
      <c r="C370" s="115" t="s">
        <v>217</v>
      </c>
      <c r="D370" s="115" t="s">
        <v>218</v>
      </c>
      <c r="E370" s="115" t="s">
        <v>213</v>
      </c>
      <c r="F370" s="115"/>
      <c r="G370" s="115"/>
      <c r="H370" s="115"/>
      <c r="I370" s="115"/>
      <c r="J370" s="115" t="e" cm="1">
        <f t="array" ref="J370">MAX(_xlfn.XLOOKUP(D370,Table5[Driver],'Race Results'!$E$3:$E$22),_xlfn.XLOOKUP(E370,Table5[Driver],'Race Results'!$E$3:$E$22)*0.5)</f>
        <v>#N/A</v>
      </c>
    </row>
    <row r="371" spans="1:10" x14ac:dyDescent="0.3">
      <c r="A371" s="114" t="s">
        <v>697</v>
      </c>
      <c r="B371" s="115" t="s">
        <v>60</v>
      </c>
      <c r="C371" s="115" t="s">
        <v>217</v>
      </c>
      <c r="D371" s="115" t="s">
        <v>85</v>
      </c>
      <c r="E371" s="115" t="s">
        <v>88</v>
      </c>
      <c r="F371" s="115"/>
      <c r="G371" s="115"/>
      <c r="H371" s="115"/>
      <c r="I371" s="115"/>
      <c r="J371" s="115" t="e" cm="1">
        <f t="array" ref="J371">MAX(_xlfn.XLOOKUP(D371,Table5[Driver],'Race Results'!$E$3:$E$22),_xlfn.XLOOKUP(E371,Table5[Driver],'Race Results'!$E$3:$E$22)*0.5)</f>
        <v>#N/A</v>
      </c>
    </row>
    <row r="372" spans="1:10" x14ac:dyDescent="0.3">
      <c r="A372" s="114" t="s">
        <v>698</v>
      </c>
      <c r="B372" s="115" t="s">
        <v>45</v>
      </c>
      <c r="C372" s="115" t="s">
        <v>217</v>
      </c>
      <c r="D372" s="115" t="s">
        <v>213</v>
      </c>
      <c r="E372" s="115" t="s">
        <v>85</v>
      </c>
      <c r="F372" s="115"/>
      <c r="G372" s="115"/>
      <c r="H372" s="115"/>
      <c r="I372" s="115"/>
      <c r="J372" s="115" t="e" cm="1">
        <f t="array" ref="J372">MAX(_xlfn.XLOOKUP(D372,Table5[Driver],'Race Results'!$E$3:$E$22),_xlfn.XLOOKUP(E372,Table5[Driver],'Race Results'!$E$3:$E$22)*0.5)</f>
        <v>#N/A</v>
      </c>
    </row>
    <row r="373" spans="1:10" x14ac:dyDescent="0.3">
      <c r="A373" s="114" t="s">
        <v>699</v>
      </c>
      <c r="B373" s="115" t="s">
        <v>48</v>
      </c>
      <c r="C373" s="115" t="s">
        <v>217</v>
      </c>
      <c r="D373" s="115" t="s">
        <v>85</v>
      </c>
      <c r="E373" s="115" t="s">
        <v>75</v>
      </c>
      <c r="F373" s="115"/>
      <c r="G373" s="115"/>
      <c r="H373" s="115"/>
      <c r="I373" s="115"/>
      <c r="J373" s="115" t="e" cm="1">
        <f t="array" ref="J373">MAX(_xlfn.XLOOKUP(D373,Table5[Driver],'Race Results'!$E$3:$E$22),_xlfn.XLOOKUP(E373,Table5[Driver],'Race Results'!$E$3:$E$22)*0.5)</f>
        <v>#N/A</v>
      </c>
    </row>
    <row r="374" spans="1:10" x14ac:dyDescent="0.3">
      <c r="A374" s="114" t="s">
        <v>700</v>
      </c>
      <c r="B374" s="115" t="s">
        <v>50</v>
      </c>
      <c r="C374" s="115" t="s">
        <v>219</v>
      </c>
      <c r="D374" s="115" t="s">
        <v>80</v>
      </c>
      <c r="E374" s="115" t="s">
        <v>77</v>
      </c>
      <c r="F374" s="115"/>
      <c r="G374" s="115"/>
      <c r="H374" s="115"/>
      <c r="I374" s="115"/>
      <c r="J374" s="115" t="e" cm="1">
        <f t="array" ref="J374">MAX(_xlfn.XLOOKUP(D374,Table5[Driver],'Race Results'!$E$3:$E$22),_xlfn.XLOOKUP(E374,Table5[Driver],'Race Results'!$E$3:$E$22)*0.5)</f>
        <v>#N/A</v>
      </c>
    </row>
    <row r="375" spans="1:10" x14ac:dyDescent="0.3">
      <c r="A375" s="114" t="s">
        <v>701</v>
      </c>
      <c r="B375" s="115" t="s">
        <v>68</v>
      </c>
      <c r="C375" s="115" t="s">
        <v>219</v>
      </c>
      <c r="D375" s="115" t="s">
        <v>80</v>
      </c>
      <c r="E375" s="115" t="s">
        <v>88</v>
      </c>
      <c r="F375" s="115"/>
      <c r="G375" s="115"/>
      <c r="H375" s="115"/>
      <c r="I375" s="115"/>
      <c r="J375" s="115" t="e" cm="1">
        <f t="array" ref="J375">MAX(_xlfn.XLOOKUP(D375,Table5[Driver],'Race Results'!$E$3:$E$22),_xlfn.XLOOKUP(E375,Table5[Driver],'Race Results'!$E$3:$E$22)*0.5)</f>
        <v>#N/A</v>
      </c>
    </row>
    <row r="376" spans="1:10" x14ac:dyDescent="0.3">
      <c r="A376" s="114" t="s">
        <v>702</v>
      </c>
      <c r="B376" s="115" t="s">
        <v>59</v>
      </c>
      <c r="C376" s="115" t="s">
        <v>219</v>
      </c>
      <c r="D376" s="115" t="s">
        <v>77</v>
      </c>
      <c r="E376" s="115" t="s">
        <v>218</v>
      </c>
      <c r="F376" s="115"/>
      <c r="G376" s="115"/>
      <c r="H376" s="115"/>
      <c r="I376" s="115"/>
      <c r="J376" s="115" t="e" cm="1">
        <f t="array" ref="J376">MAX(_xlfn.XLOOKUP(D376,Table5[Driver],'Race Results'!$E$3:$E$22),_xlfn.XLOOKUP(E376,Table5[Driver],'Race Results'!$E$3:$E$22)*0.5)</f>
        <v>#N/A</v>
      </c>
    </row>
    <row r="377" spans="1:10" x14ac:dyDescent="0.3">
      <c r="A377" s="114" t="s">
        <v>703</v>
      </c>
      <c r="B377" s="115" t="s">
        <v>49</v>
      </c>
      <c r="C377" s="115" t="s">
        <v>219</v>
      </c>
      <c r="D377" s="115" t="s">
        <v>80</v>
      </c>
      <c r="E377" s="115" t="s">
        <v>218</v>
      </c>
      <c r="F377" s="115"/>
      <c r="G377" s="115"/>
      <c r="H377" s="115"/>
      <c r="I377" s="115"/>
      <c r="J377" s="115" t="e" cm="1">
        <f t="array" ref="J377">MAX(_xlfn.XLOOKUP(D377,Table5[Driver],'Race Results'!$E$3:$E$22),_xlfn.XLOOKUP(E377,Table5[Driver],'Race Results'!$E$3:$E$22)*0.5)</f>
        <v>#N/A</v>
      </c>
    </row>
    <row r="378" spans="1:10" x14ac:dyDescent="0.3">
      <c r="A378" s="114" t="s">
        <v>704</v>
      </c>
      <c r="B378" s="115" t="s">
        <v>64</v>
      </c>
      <c r="C378" s="115" t="s">
        <v>219</v>
      </c>
      <c r="D378" s="115" t="s">
        <v>85</v>
      </c>
      <c r="E378" s="115" t="s">
        <v>218</v>
      </c>
      <c r="F378" s="115"/>
      <c r="G378" s="115"/>
      <c r="H378" s="115"/>
      <c r="I378" s="115"/>
      <c r="J378" s="115" t="e" cm="1">
        <f t="array" ref="J378">MAX(_xlfn.XLOOKUP(D378,Table5[Driver],'Race Results'!$E$3:$E$22),_xlfn.XLOOKUP(E378,Table5[Driver],'Race Results'!$E$3:$E$22)*0.5)</f>
        <v>#N/A</v>
      </c>
    </row>
    <row r="379" spans="1:10" x14ac:dyDescent="0.3">
      <c r="A379" s="114" t="s">
        <v>705</v>
      </c>
      <c r="B379" s="115" t="s">
        <v>54</v>
      </c>
      <c r="C379" s="115" t="s">
        <v>219</v>
      </c>
      <c r="D379" s="115" t="s">
        <v>80</v>
      </c>
      <c r="E379" s="115" t="s">
        <v>75</v>
      </c>
      <c r="F379" s="115"/>
      <c r="G379" s="115"/>
      <c r="H379" s="115"/>
      <c r="I379" s="115"/>
      <c r="J379" s="115" t="e" cm="1">
        <f t="array" ref="J379">MAX(_xlfn.XLOOKUP(D379,Table5[Driver],'Race Results'!$E$3:$E$22),_xlfn.XLOOKUP(E379,Table5[Driver],'Race Results'!$E$3:$E$22)*0.5)</f>
        <v>#N/A</v>
      </c>
    </row>
    <row r="380" spans="1:10" x14ac:dyDescent="0.3">
      <c r="A380" s="114" t="s">
        <v>706</v>
      </c>
      <c r="B380" s="115" t="s">
        <v>69</v>
      </c>
      <c r="C380" s="115" t="s">
        <v>219</v>
      </c>
      <c r="D380" s="115" t="s">
        <v>75</v>
      </c>
      <c r="E380" s="115" t="s">
        <v>82</v>
      </c>
      <c r="F380" s="115"/>
      <c r="G380" s="115"/>
      <c r="H380" s="115"/>
      <c r="I380" s="115"/>
      <c r="J380" s="115" t="e" cm="1">
        <f t="array" ref="J380">MAX(_xlfn.XLOOKUP(D380,Table5[Driver],'Race Results'!$E$3:$E$22),_xlfn.XLOOKUP(E380,Table5[Driver],'Race Results'!$E$3:$E$22)*0.5)</f>
        <v>#N/A</v>
      </c>
    </row>
    <row r="381" spans="1:10" x14ac:dyDescent="0.3">
      <c r="A381" s="114" t="s">
        <v>707</v>
      </c>
      <c r="B381" s="115" t="s">
        <v>47</v>
      </c>
      <c r="C381" s="115" t="s">
        <v>219</v>
      </c>
      <c r="D381" s="115" t="s">
        <v>85</v>
      </c>
      <c r="E381" s="115" t="s">
        <v>82</v>
      </c>
      <c r="F381" s="115"/>
      <c r="G381" s="115"/>
      <c r="H381" s="115"/>
      <c r="I381" s="115"/>
      <c r="J381" s="115" t="e" cm="1">
        <f t="array" ref="J381">MAX(_xlfn.XLOOKUP(D381,Table5[Driver],'Race Results'!$E$3:$E$22),_xlfn.XLOOKUP(E381,Table5[Driver],'Race Results'!$E$3:$E$22)*0.5)</f>
        <v>#N/A</v>
      </c>
    </row>
    <row r="382" spans="1:10" x14ac:dyDescent="0.3">
      <c r="A382" s="114" t="s">
        <v>708</v>
      </c>
      <c r="B382" s="115" t="s">
        <v>65</v>
      </c>
      <c r="C382" s="115" t="s">
        <v>219</v>
      </c>
      <c r="D382" s="115" t="s">
        <v>85</v>
      </c>
      <c r="E382" s="115" t="s">
        <v>77</v>
      </c>
      <c r="F382" s="115"/>
      <c r="G382" s="115"/>
      <c r="H382" s="115"/>
      <c r="I382" s="115"/>
      <c r="J382" s="115" t="e" cm="1">
        <f t="array" ref="J382">MAX(_xlfn.XLOOKUP(D382,Table5[Driver],'Race Results'!$E$3:$E$22),_xlfn.XLOOKUP(E382,Table5[Driver],'Race Results'!$E$3:$E$22)*0.5)</f>
        <v>#N/A</v>
      </c>
    </row>
    <row r="383" spans="1:10" x14ac:dyDescent="0.3">
      <c r="A383" s="114" t="s">
        <v>709</v>
      </c>
      <c r="B383" s="115" t="s">
        <v>52</v>
      </c>
      <c r="C383" s="115" t="s">
        <v>219</v>
      </c>
      <c r="D383" s="115" t="s">
        <v>77</v>
      </c>
      <c r="E383" s="115" t="s">
        <v>218</v>
      </c>
      <c r="F383" s="115"/>
      <c r="G383" s="115"/>
      <c r="H383" s="115"/>
      <c r="I383" s="115"/>
      <c r="J383" s="115" t="e" cm="1">
        <f t="array" ref="J383">MAX(_xlfn.XLOOKUP(D383,Table5[Driver],'Race Results'!$E$3:$E$22),_xlfn.XLOOKUP(E383,Table5[Driver],'Race Results'!$E$3:$E$22)*0.5)</f>
        <v>#N/A</v>
      </c>
    </row>
    <row r="384" spans="1:10" x14ac:dyDescent="0.3">
      <c r="A384" s="114" t="s">
        <v>710</v>
      </c>
      <c r="B384" s="115" t="s">
        <v>63</v>
      </c>
      <c r="C384" s="115" t="s">
        <v>219</v>
      </c>
      <c r="D384" s="115" t="s">
        <v>77</v>
      </c>
      <c r="E384" s="115" t="s">
        <v>78</v>
      </c>
      <c r="F384" s="115"/>
      <c r="G384" s="115"/>
      <c r="H384" s="115"/>
      <c r="I384" s="115"/>
      <c r="J384" s="115" t="e" cm="1">
        <f t="array" ref="J384">MAX(_xlfn.XLOOKUP(D384,Table5[Driver],'Race Results'!$E$3:$E$22),_xlfn.XLOOKUP(E384,Table5[Driver],'Race Results'!$E$3:$E$22)*0.5)</f>
        <v>#N/A</v>
      </c>
    </row>
    <row r="385" spans="1:10" x14ac:dyDescent="0.3">
      <c r="A385" s="114" t="s">
        <v>711</v>
      </c>
      <c r="B385" s="115" t="s">
        <v>62</v>
      </c>
      <c r="C385" s="115" t="s">
        <v>219</v>
      </c>
      <c r="D385" s="115" t="s">
        <v>82</v>
      </c>
      <c r="E385" s="115" t="s">
        <v>85</v>
      </c>
      <c r="F385" s="115"/>
      <c r="G385" s="115"/>
      <c r="H385" s="115"/>
      <c r="I385" s="115"/>
      <c r="J385" s="115" t="e" cm="1">
        <f t="array" ref="J385">MAX(_xlfn.XLOOKUP(D385,Table5[Driver],'Race Results'!$E$3:$E$22),_xlfn.XLOOKUP(E385,Table5[Driver],'Race Results'!$E$3:$E$22)*0.5)</f>
        <v>#N/A</v>
      </c>
    </row>
    <row r="386" spans="1:10" x14ac:dyDescent="0.3">
      <c r="A386" s="114" t="s">
        <v>712</v>
      </c>
      <c r="B386" s="115" t="s">
        <v>51</v>
      </c>
      <c r="C386" s="115" t="s">
        <v>219</v>
      </c>
      <c r="D386" s="115" t="s">
        <v>80</v>
      </c>
      <c r="E386" s="115" t="s">
        <v>77</v>
      </c>
      <c r="F386" s="115"/>
      <c r="G386" s="115"/>
      <c r="H386" s="115"/>
      <c r="I386" s="115"/>
      <c r="J386" s="115" t="e" cm="1">
        <f t="array" ref="J386">MAX(_xlfn.XLOOKUP(D386,Table5[Driver],'Race Results'!$E$3:$E$22),_xlfn.XLOOKUP(E386,Table5[Driver],'Race Results'!$E$3:$E$22)*0.5)</f>
        <v>#N/A</v>
      </c>
    </row>
    <row r="387" spans="1:10" x14ac:dyDescent="0.3">
      <c r="A387" s="114" t="s">
        <v>713</v>
      </c>
      <c r="B387" s="115" t="s">
        <v>46</v>
      </c>
      <c r="C387" s="115" t="s">
        <v>219</v>
      </c>
      <c r="D387" s="115" t="s">
        <v>218</v>
      </c>
      <c r="E387" s="115" t="s">
        <v>80</v>
      </c>
      <c r="F387" s="115"/>
      <c r="G387" s="115"/>
      <c r="H387" s="115"/>
      <c r="I387" s="115"/>
      <c r="J387" s="115" t="e" cm="1">
        <f t="array" ref="J387">MAX(_xlfn.XLOOKUP(D387,Table5[Driver],'Race Results'!$E$3:$E$22),_xlfn.XLOOKUP(E387,Table5[Driver],'Race Results'!$E$3:$E$22)*0.5)</f>
        <v>#N/A</v>
      </c>
    </row>
    <row r="388" spans="1:10" x14ac:dyDescent="0.3">
      <c r="A388" s="114" t="s">
        <v>714</v>
      </c>
      <c r="B388" s="115" t="s">
        <v>56</v>
      </c>
      <c r="C388" s="115" t="s">
        <v>219</v>
      </c>
      <c r="D388" s="115" t="s">
        <v>85</v>
      </c>
      <c r="E388" s="115" t="s">
        <v>77</v>
      </c>
      <c r="F388" s="115"/>
      <c r="G388" s="115"/>
      <c r="H388" s="115"/>
      <c r="I388" s="115"/>
      <c r="J388" s="115" t="e" cm="1">
        <f t="array" ref="J388">MAX(_xlfn.XLOOKUP(D388,Table5[Driver],'Race Results'!$E$3:$E$22),_xlfn.XLOOKUP(E388,Table5[Driver],'Race Results'!$E$3:$E$22)*0.5)</f>
        <v>#N/A</v>
      </c>
    </row>
    <row r="389" spans="1:10" x14ac:dyDescent="0.3">
      <c r="A389" s="114" t="s">
        <v>715</v>
      </c>
      <c r="B389" s="115" t="s">
        <v>55</v>
      </c>
      <c r="C389" s="115" t="s">
        <v>219</v>
      </c>
      <c r="D389" s="115" t="s">
        <v>218</v>
      </c>
      <c r="E389" s="115" t="s">
        <v>80</v>
      </c>
      <c r="F389" s="115"/>
      <c r="G389" s="115"/>
      <c r="H389" s="115"/>
      <c r="I389" s="115"/>
      <c r="J389" s="115" t="e" cm="1">
        <f t="array" ref="J389">MAX(_xlfn.XLOOKUP(D389,Table5[Driver],'Race Results'!$E$3:$E$22),_xlfn.XLOOKUP(E389,Table5[Driver],'Race Results'!$E$3:$E$22)*0.5)</f>
        <v>#N/A</v>
      </c>
    </row>
    <row r="390" spans="1:10" x14ac:dyDescent="0.3">
      <c r="A390" s="114" t="s">
        <v>716</v>
      </c>
      <c r="B390" s="115" t="s">
        <v>44</v>
      </c>
      <c r="C390" s="115" t="s">
        <v>219</v>
      </c>
      <c r="D390" s="115" t="s">
        <v>218</v>
      </c>
      <c r="E390" s="115" t="s">
        <v>77</v>
      </c>
      <c r="F390" s="115"/>
      <c r="G390" s="115"/>
      <c r="H390" s="115"/>
      <c r="I390" s="115"/>
      <c r="J390" s="115" t="e" cm="1">
        <f t="array" ref="J390">MAX(_xlfn.XLOOKUP(D390,Table5[Driver],'Race Results'!$E$3:$E$22),_xlfn.XLOOKUP(E390,Table5[Driver],'Race Results'!$E$3:$E$22)*0.5)</f>
        <v>#N/A</v>
      </c>
    </row>
    <row r="391" spans="1:10" x14ac:dyDescent="0.3">
      <c r="A391" s="114" t="s">
        <v>717</v>
      </c>
      <c r="B391" s="115" t="s">
        <v>53</v>
      </c>
      <c r="C391" s="115" t="s">
        <v>219</v>
      </c>
      <c r="D391" s="115" t="s">
        <v>80</v>
      </c>
      <c r="E391" s="115" t="s">
        <v>77</v>
      </c>
      <c r="F391" s="115"/>
      <c r="G391" s="115"/>
      <c r="H391" s="115"/>
      <c r="I391" s="115"/>
      <c r="J391" s="115" t="e" cm="1">
        <f t="array" ref="J391">MAX(_xlfn.XLOOKUP(D391,Table5[Driver],'Race Results'!$E$3:$E$22),_xlfn.XLOOKUP(E391,Table5[Driver],'Race Results'!$E$3:$E$22)*0.5)</f>
        <v>#N/A</v>
      </c>
    </row>
    <row r="392" spans="1:10" x14ac:dyDescent="0.3">
      <c r="A392" s="114" t="s">
        <v>718</v>
      </c>
      <c r="B392" s="115" t="s">
        <v>66</v>
      </c>
      <c r="C392" s="115" t="s">
        <v>219</v>
      </c>
      <c r="D392" s="115" t="s">
        <v>218</v>
      </c>
      <c r="E392" s="115" t="s">
        <v>75</v>
      </c>
      <c r="F392" s="115"/>
      <c r="G392" s="115"/>
      <c r="H392" s="115"/>
      <c r="I392" s="115"/>
      <c r="J392" s="115" t="e" cm="1">
        <f t="array" ref="J392">MAX(_xlfn.XLOOKUP(D392,Table5[Driver],'Race Results'!$E$3:$E$22),_xlfn.XLOOKUP(E392,Table5[Driver],'Race Results'!$E$3:$E$22)*0.5)</f>
        <v>#N/A</v>
      </c>
    </row>
    <row r="393" spans="1:10" x14ac:dyDescent="0.3">
      <c r="A393" s="114" t="s">
        <v>719</v>
      </c>
      <c r="B393" s="115" t="s">
        <v>61</v>
      </c>
      <c r="C393" s="115" t="s">
        <v>219</v>
      </c>
      <c r="D393" s="115" t="s">
        <v>79</v>
      </c>
      <c r="E393" s="115" t="s">
        <v>77</v>
      </c>
      <c r="F393" s="115"/>
      <c r="G393" s="115"/>
      <c r="H393" s="115"/>
      <c r="I393" s="115"/>
      <c r="J393" s="115" t="e" cm="1">
        <f t="array" ref="J393">MAX(_xlfn.XLOOKUP(D393,Table5[Driver],'Race Results'!$E$3:$E$22),_xlfn.XLOOKUP(E393,Table5[Driver],'Race Results'!$E$3:$E$22)*0.5)</f>
        <v>#N/A</v>
      </c>
    </row>
    <row r="394" spans="1:10" x14ac:dyDescent="0.3">
      <c r="A394" s="114" t="s">
        <v>720</v>
      </c>
      <c r="B394" s="115" t="s">
        <v>67</v>
      </c>
      <c r="C394" s="115" t="s">
        <v>219</v>
      </c>
      <c r="D394" s="115" t="s">
        <v>218</v>
      </c>
      <c r="E394" s="115" t="s">
        <v>77</v>
      </c>
      <c r="F394" s="115"/>
      <c r="G394" s="115"/>
      <c r="H394" s="115"/>
      <c r="I394" s="115"/>
      <c r="J394" s="115" t="e" cm="1">
        <f t="array" ref="J394">MAX(_xlfn.XLOOKUP(D394,Table5[Driver],'Race Results'!$E$3:$E$22),_xlfn.XLOOKUP(E394,Table5[Driver],'Race Results'!$E$3:$E$22)*0.5)</f>
        <v>#N/A</v>
      </c>
    </row>
    <row r="395" spans="1:10" x14ac:dyDescent="0.3">
      <c r="A395" s="114" t="s">
        <v>721</v>
      </c>
      <c r="B395" s="115" t="s">
        <v>57</v>
      </c>
      <c r="C395" s="115" t="s">
        <v>219</v>
      </c>
      <c r="D395" s="115" t="s">
        <v>91</v>
      </c>
      <c r="E395" s="115" t="s">
        <v>77</v>
      </c>
      <c r="F395" s="115"/>
      <c r="G395" s="115"/>
      <c r="H395" s="115"/>
      <c r="I395" s="115"/>
      <c r="J395" s="115" t="e" cm="1">
        <f t="array" ref="J395">MAX(_xlfn.XLOOKUP(D395,Table5[Driver],'Race Results'!$E$3:$E$22),_xlfn.XLOOKUP(E395,Table5[Driver],'Race Results'!$E$3:$E$22)*0.5)</f>
        <v>#N/A</v>
      </c>
    </row>
    <row r="396" spans="1:10" x14ac:dyDescent="0.3">
      <c r="A396" s="114" t="s">
        <v>722</v>
      </c>
      <c r="B396" s="115" t="s">
        <v>45</v>
      </c>
      <c r="C396" s="115" t="s">
        <v>219</v>
      </c>
      <c r="D396" s="115" t="s">
        <v>85</v>
      </c>
      <c r="E396" s="115" t="s">
        <v>80</v>
      </c>
      <c r="F396" s="115"/>
      <c r="G396" s="115"/>
      <c r="H396" s="115"/>
      <c r="I396" s="115"/>
      <c r="J396" s="115" t="e" cm="1">
        <f t="array" ref="J396">MAX(_xlfn.XLOOKUP(D396,Table5[Driver],'Race Results'!$E$3:$E$22),_xlfn.XLOOKUP(E396,Table5[Driver],'Race Results'!$E$3:$E$22)*0.5)</f>
        <v>#N/A</v>
      </c>
    </row>
    <row r="397" spans="1:10" x14ac:dyDescent="0.3">
      <c r="A397" s="114" t="s">
        <v>723</v>
      </c>
      <c r="B397" s="115" t="s">
        <v>60</v>
      </c>
      <c r="C397" s="115" t="s">
        <v>219</v>
      </c>
      <c r="D397" s="115" t="s">
        <v>77</v>
      </c>
      <c r="E397" s="115" t="s">
        <v>85</v>
      </c>
      <c r="F397" s="115"/>
      <c r="G397" s="115"/>
      <c r="H397" s="115"/>
      <c r="I397" s="115"/>
      <c r="J397" s="115" t="e" cm="1">
        <f t="array" ref="J397">MAX(_xlfn.XLOOKUP(D397,Table5[Driver],'Race Results'!$E$3:$E$22),_xlfn.XLOOKUP(E397,Table5[Driver],'Race Results'!$E$3:$E$22)*0.5)</f>
        <v>#N/A</v>
      </c>
    </row>
    <row r="398" spans="1:10" x14ac:dyDescent="0.3">
      <c r="A398" s="114" t="s">
        <v>724</v>
      </c>
      <c r="B398" s="115" t="s">
        <v>48</v>
      </c>
      <c r="C398" s="115" t="s">
        <v>219</v>
      </c>
      <c r="D398" s="115" t="s">
        <v>77</v>
      </c>
      <c r="E398" s="115" t="s">
        <v>75</v>
      </c>
      <c r="F398" s="115"/>
      <c r="G398" s="115"/>
      <c r="H398" s="115"/>
      <c r="I398" s="115"/>
      <c r="J398" s="115" t="e" cm="1">
        <f t="array" ref="J398">MAX(_xlfn.XLOOKUP(D398,Table5[Driver],'Race Results'!$E$3:$E$22),_xlfn.XLOOKUP(E398,Table5[Driver],'Race Results'!$E$3:$E$22)*0.5)</f>
        <v>#N/A</v>
      </c>
    </row>
    <row r="399" spans="1:10" x14ac:dyDescent="0.3">
      <c r="A399" s="114" t="s">
        <v>725</v>
      </c>
      <c r="B399" s="115" t="s">
        <v>50</v>
      </c>
      <c r="C399" s="115" t="s">
        <v>220</v>
      </c>
      <c r="D399" s="115" t="s">
        <v>80</v>
      </c>
      <c r="E399" s="115" t="s">
        <v>218</v>
      </c>
      <c r="F399" s="115"/>
      <c r="G399" s="115"/>
      <c r="H399" s="115"/>
      <c r="I399" s="115"/>
      <c r="J399" s="115" t="e" cm="1">
        <f t="array" ref="J399">MAX(_xlfn.XLOOKUP(D399,Table5[Driver],'Race Results'!$E$3:$E$22),_xlfn.XLOOKUP(E399,Table5[Driver],'Race Results'!$E$3:$E$22)*0.5)</f>
        <v>#N/A</v>
      </c>
    </row>
    <row r="400" spans="1:10" x14ac:dyDescent="0.3">
      <c r="A400" s="114" t="s">
        <v>726</v>
      </c>
      <c r="B400" s="115" t="s">
        <v>49</v>
      </c>
      <c r="C400" s="115" t="s">
        <v>220</v>
      </c>
      <c r="D400" s="115" t="s">
        <v>77</v>
      </c>
      <c r="E400" s="115" t="s">
        <v>218</v>
      </c>
      <c r="F400" s="115"/>
      <c r="G400" s="115"/>
      <c r="H400" s="115"/>
      <c r="I400" s="115"/>
      <c r="J400" s="115" t="e" cm="1">
        <f t="array" ref="J400">MAX(_xlfn.XLOOKUP(D400,Table5[Driver],'Race Results'!$E$3:$E$22),_xlfn.XLOOKUP(E400,Table5[Driver],'Race Results'!$E$3:$E$22)*0.5)</f>
        <v>#N/A</v>
      </c>
    </row>
    <row r="401" spans="1:10" x14ac:dyDescent="0.3">
      <c r="A401" s="114" t="s">
        <v>727</v>
      </c>
      <c r="B401" s="115" t="s">
        <v>64</v>
      </c>
      <c r="C401" s="115" t="s">
        <v>220</v>
      </c>
      <c r="D401" s="115" t="s">
        <v>77</v>
      </c>
      <c r="E401" s="115" t="s">
        <v>218</v>
      </c>
      <c r="F401" s="115"/>
      <c r="G401" s="115"/>
      <c r="H401" s="115"/>
      <c r="I401" s="115"/>
      <c r="J401" s="115" t="e" cm="1">
        <f t="array" ref="J401">MAX(_xlfn.XLOOKUP(D401,Table5[Driver],'Race Results'!$E$3:$E$22),_xlfn.XLOOKUP(E401,Table5[Driver],'Race Results'!$E$3:$E$22)*0.5)</f>
        <v>#N/A</v>
      </c>
    </row>
    <row r="402" spans="1:10" x14ac:dyDescent="0.3">
      <c r="A402" s="114" t="s">
        <v>728</v>
      </c>
      <c r="B402" s="115" t="s">
        <v>56</v>
      </c>
      <c r="C402" s="115" t="s">
        <v>220</v>
      </c>
      <c r="D402" s="115" t="s">
        <v>218</v>
      </c>
      <c r="E402" s="115" t="s">
        <v>85</v>
      </c>
      <c r="F402" s="115"/>
      <c r="G402" s="115"/>
      <c r="H402" s="115"/>
      <c r="I402" s="115"/>
      <c r="J402" s="115" t="e" cm="1">
        <f t="array" ref="J402">MAX(_xlfn.XLOOKUP(D402,Table5[Driver],'Race Results'!$E$3:$E$22),_xlfn.XLOOKUP(E402,Table5[Driver],'Race Results'!$E$3:$E$22)*0.5)</f>
        <v>#N/A</v>
      </c>
    </row>
    <row r="403" spans="1:10" x14ac:dyDescent="0.3">
      <c r="A403" s="114" t="s">
        <v>729</v>
      </c>
      <c r="B403" s="115" t="s">
        <v>65</v>
      </c>
      <c r="C403" s="115" t="s">
        <v>220</v>
      </c>
      <c r="D403" s="115" t="s">
        <v>85</v>
      </c>
      <c r="E403" s="115" t="s">
        <v>88</v>
      </c>
      <c r="F403" s="115"/>
      <c r="G403" s="115"/>
      <c r="H403" s="115"/>
      <c r="I403" s="115"/>
      <c r="J403" s="115" t="e" cm="1">
        <f t="array" ref="J403">MAX(_xlfn.XLOOKUP(D403,Table5[Driver],'Race Results'!$E$3:$E$22),_xlfn.XLOOKUP(E403,Table5[Driver],'Race Results'!$E$3:$E$22)*0.5)</f>
        <v>#N/A</v>
      </c>
    </row>
    <row r="404" spans="1:10" x14ac:dyDescent="0.3">
      <c r="A404" s="114" t="s">
        <v>730</v>
      </c>
      <c r="B404" s="115" t="s">
        <v>47</v>
      </c>
      <c r="C404" s="115" t="s">
        <v>220</v>
      </c>
      <c r="D404" s="115" t="s">
        <v>78</v>
      </c>
      <c r="E404" s="115" t="s">
        <v>77</v>
      </c>
      <c r="F404" s="115"/>
      <c r="G404" s="115"/>
      <c r="H404" s="115"/>
      <c r="I404" s="115"/>
      <c r="J404" s="115" t="e" cm="1">
        <f t="array" ref="J404">MAX(_xlfn.XLOOKUP(D404,Table5[Driver],'Race Results'!$E$3:$E$22),_xlfn.XLOOKUP(E404,Table5[Driver],'Race Results'!$E$3:$E$22)*0.5)</f>
        <v>#N/A</v>
      </c>
    </row>
    <row r="405" spans="1:10" x14ac:dyDescent="0.3">
      <c r="A405" s="114" t="s">
        <v>731</v>
      </c>
      <c r="B405" s="115" t="s">
        <v>69</v>
      </c>
      <c r="C405" s="115" t="s">
        <v>220</v>
      </c>
      <c r="D405" s="115" t="s">
        <v>80</v>
      </c>
      <c r="E405" s="115" t="s">
        <v>76</v>
      </c>
      <c r="F405" s="115"/>
      <c r="G405" s="115"/>
      <c r="H405" s="115"/>
      <c r="I405" s="115"/>
      <c r="J405" s="115" t="e" cm="1">
        <f t="array" ref="J405">MAX(_xlfn.XLOOKUP(D405,Table5[Driver],'Race Results'!$E$3:$E$22),_xlfn.XLOOKUP(E405,Table5[Driver],'Race Results'!$E$3:$E$22)*0.5)</f>
        <v>#N/A</v>
      </c>
    </row>
    <row r="406" spans="1:10" x14ac:dyDescent="0.3">
      <c r="A406" s="114" t="s">
        <v>732</v>
      </c>
      <c r="B406" s="115" t="s">
        <v>51</v>
      </c>
      <c r="C406" s="115" t="s">
        <v>220</v>
      </c>
      <c r="D406" s="115" t="s">
        <v>218</v>
      </c>
      <c r="E406" s="115" t="s">
        <v>84</v>
      </c>
      <c r="F406" s="115"/>
      <c r="G406" s="115"/>
      <c r="H406" s="115"/>
      <c r="I406" s="115"/>
      <c r="J406" s="115" t="e" cm="1">
        <f t="array" ref="J406">MAX(_xlfn.XLOOKUP(D406,Table5[Driver],'Race Results'!$E$3:$E$22),_xlfn.XLOOKUP(E406,Table5[Driver],'Race Results'!$E$3:$E$22)*0.5)</f>
        <v>#N/A</v>
      </c>
    </row>
    <row r="407" spans="1:10" x14ac:dyDescent="0.3">
      <c r="A407" s="114" t="s">
        <v>733</v>
      </c>
      <c r="B407" s="115" t="s">
        <v>68</v>
      </c>
      <c r="C407" s="115" t="s">
        <v>220</v>
      </c>
      <c r="D407" s="115" t="s">
        <v>77</v>
      </c>
      <c r="E407" s="115" t="s">
        <v>91</v>
      </c>
      <c r="F407" s="115"/>
      <c r="G407" s="115"/>
      <c r="H407" s="115"/>
      <c r="I407" s="115"/>
      <c r="J407" s="115" t="e" cm="1">
        <f t="array" ref="J407">MAX(_xlfn.XLOOKUP(D407,Table5[Driver],'Race Results'!$E$3:$E$22),_xlfn.XLOOKUP(E407,Table5[Driver],'Race Results'!$E$3:$E$22)*0.5)</f>
        <v>#N/A</v>
      </c>
    </row>
    <row r="408" spans="1:10" x14ac:dyDescent="0.3">
      <c r="A408" s="114" t="s">
        <v>734</v>
      </c>
      <c r="B408" s="115" t="s">
        <v>59</v>
      </c>
      <c r="C408" s="115" t="s">
        <v>220</v>
      </c>
      <c r="D408" s="115" t="s">
        <v>85</v>
      </c>
      <c r="E408" s="115" t="s">
        <v>91</v>
      </c>
      <c r="F408" s="115"/>
      <c r="G408" s="115"/>
      <c r="H408" s="115"/>
      <c r="I408" s="115"/>
      <c r="J408" s="115" t="e" cm="1">
        <f t="array" ref="J408">MAX(_xlfn.XLOOKUP(D408,Table5[Driver],'Race Results'!$E$3:$E$22),_xlfn.XLOOKUP(E408,Table5[Driver],'Race Results'!$E$3:$E$22)*0.5)</f>
        <v>#N/A</v>
      </c>
    </row>
    <row r="409" spans="1:10" x14ac:dyDescent="0.3">
      <c r="A409" s="114" t="s">
        <v>735</v>
      </c>
      <c r="B409" s="115" t="s">
        <v>54</v>
      </c>
      <c r="C409" s="115" t="s">
        <v>220</v>
      </c>
      <c r="D409" s="115" t="s">
        <v>80</v>
      </c>
      <c r="E409" s="115" t="s">
        <v>218</v>
      </c>
      <c r="F409" s="115"/>
      <c r="G409" s="115"/>
      <c r="H409" s="115"/>
      <c r="I409" s="115"/>
      <c r="J409" s="115" t="e" cm="1">
        <f t="array" ref="J409">MAX(_xlfn.XLOOKUP(D409,Table5[Driver],'Race Results'!$E$3:$E$22),_xlfn.XLOOKUP(E409,Table5[Driver],'Race Results'!$E$3:$E$22)*0.5)</f>
        <v>#N/A</v>
      </c>
    </row>
    <row r="410" spans="1:10" x14ac:dyDescent="0.3">
      <c r="A410" s="114" t="s">
        <v>736</v>
      </c>
      <c r="B410" s="115" t="s">
        <v>52</v>
      </c>
      <c r="C410" s="115" t="s">
        <v>220</v>
      </c>
      <c r="D410" s="115" t="s">
        <v>85</v>
      </c>
      <c r="E410" s="115" t="s">
        <v>135</v>
      </c>
      <c r="F410" s="115"/>
      <c r="G410" s="115"/>
      <c r="H410" s="115"/>
      <c r="I410" s="115"/>
      <c r="J410" s="115" t="e" cm="1">
        <f t="array" ref="J410">MAX(_xlfn.XLOOKUP(D410,Table5[Driver],'Race Results'!$E$3:$E$22),_xlfn.XLOOKUP(E410,Table5[Driver],'Race Results'!$E$3:$E$22)*0.5)</f>
        <v>#N/A</v>
      </c>
    </row>
    <row r="411" spans="1:10" x14ac:dyDescent="0.3">
      <c r="A411" s="114" t="s">
        <v>737</v>
      </c>
      <c r="B411" s="115" t="s">
        <v>44</v>
      </c>
      <c r="C411" s="115" t="s">
        <v>220</v>
      </c>
      <c r="D411" s="115" t="s">
        <v>218</v>
      </c>
      <c r="E411" s="115" t="s">
        <v>90</v>
      </c>
      <c r="F411" s="115"/>
      <c r="G411" s="115"/>
      <c r="H411" s="115"/>
      <c r="I411" s="115"/>
      <c r="J411" s="115" t="e" cm="1">
        <f t="array" ref="J411">MAX(_xlfn.XLOOKUP(D411,Table5[Driver],'Race Results'!$E$3:$E$22),_xlfn.XLOOKUP(E411,Table5[Driver],'Race Results'!$E$3:$E$22)*0.5)</f>
        <v>#N/A</v>
      </c>
    </row>
    <row r="412" spans="1:10" x14ac:dyDescent="0.3">
      <c r="A412" s="114" t="s">
        <v>738</v>
      </c>
      <c r="B412" s="115" t="s">
        <v>62</v>
      </c>
      <c r="C412" s="115" t="s">
        <v>220</v>
      </c>
      <c r="D412" s="115" t="s">
        <v>85</v>
      </c>
      <c r="E412" s="115" t="s">
        <v>86</v>
      </c>
      <c r="F412" s="115"/>
      <c r="G412" s="115"/>
      <c r="H412" s="115"/>
      <c r="I412" s="115"/>
      <c r="J412" s="115" t="e" cm="1">
        <f t="array" ref="J412">MAX(_xlfn.XLOOKUP(D412,Table5[Driver],'Race Results'!$E$3:$E$22),_xlfn.XLOOKUP(E412,Table5[Driver],'Race Results'!$E$3:$E$22)*0.5)</f>
        <v>#N/A</v>
      </c>
    </row>
    <row r="413" spans="1:10" x14ac:dyDescent="0.3">
      <c r="A413" s="114" t="s">
        <v>739</v>
      </c>
      <c r="B413" s="115" t="s">
        <v>63</v>
      </c>
      <c r="C413" s="115" t="s">
        <v>220</v>
      </c>
      <c r="D413" s="115" t="s">
        <v>75</v>
      </c>
      <c r="E413" s="115" t="s">
        <v>78</v>
      </c>
      <c r="F413" s="115"/>
      <c r="G413" s="115"/>
      <c r="H413" s="115"/>
      <c r="I413" s="115"/>
      <c r="J413" s="115" t="e" cm="1">
        <f t="array" ref="J413">MAX(_xlfn.XLOOKUP(D413,Table5[Driver],'Race Results'!$E$3:$E$22),_xlfn.XLOOKUP(E413,Table5[Driver],'Race Results'!$E$3:$E$22)*0.5)</f>
        <v>#N/A</v>
      </c>
    </row>
    <row r="414" spans="1:10" x14ac:dyDescent="0.3">
      <c r="A414" s="114" t="s">
        <v>740</v>
      </c>
      <c r="B414" s="115" t="s">
        <v>46</v>
      </c>
      <c r="C414" s="115" t="s">
        <v>220</v>
      </c>
      <c r="D414" s="115" t="s">
        <v>77</v>
      </c>
      <c r="E414" s="115" t="s">
        <v>218</v>
      </c>
      <c r="F414" s="115"/>
      <c r="G414" s="115"/>
      <c r="H414" s="115"/>
      <c r="I414" s="115"/>
      <c r="J414" s="115" t="e" cm="1">
        <f t="array" ref="J414">MAX(_xlfn.XLOOKUP(D414,Table5[Driver],'Race Results'!$E$3:$E$22),_xlfn.XLOOKUP(E414,Table5[Driver],'Race Results'!$E$3:$E$22)*0.5)</f>
        <v>#N/A</v>
      </c>
    </row>
    <row r="415" spans="1:10" x14ac:dyDescent="0.3">
      <c r="A415" s="114" t="s">
        <v>741</v>
      </c>
      <c r="B415" s="115" t="s">
        <v>45</v>
      </c>
      <c r="C415" s="115" t="s">
        <v>220</v>
      </c>
      <c r="D415" s="115" t="s">
        <v>77</v>
      </c>
      <c r="E415" s="115" t="s">
        <v>218</v>
      </c>
      <c r="F415" s="115"/>
      <c r="G415" s="115"/>
      <c r="H415" s="115"/>
      <c r="I415" s="115"/>
      <c r="J415" s="115" t="e" cm="1">
        <f t="array" ref="J415">MAX(_xlfn.XLOOKUP(D415,Table5[Driver],'Race Results'!$E$3:$E$22),_xlfn.XLOOKUP(E415,Table5[Driver],'Race Results'!$E$3:$E$22)*0.5)</f>
        <v>#N/A</v>
      </c>
    </row>
    <row r="416" spans="1:10" x14ac:dyDescent="0.3">
      <c r="A416" s="114" t="s">
        <v>742</v>
      </c>
      <c r="B416" s="115" t="s">
        <v>48</v>
      </c>
      <c r="C416" s="115" t="s">
        <v>220</v>
      </c>
      <c r="D416" s="115" t="s">
        <v>78</v>
      </c>
      <c r="E416" s="115" t="s">
        <v>77</v>
      </c>
      <c r="F416" s="115"/>
      <c r="G416" s="115"/>
      <c r="H416" s="115"/>
      <c r="I416" s="115"/>
      <c r="J416" s="115" t="e" cm="1">
        <f t="array" ref="J416">MAX(_xlfn.XLOOKUP(D416,Table5[Driver],'Race Results'!$E$3:$E$22),_xlfn.XLOOKUP(E416,Table5[Driver],'Race Results'!$E$3:$E$22)*0.5)</f>
        <v>#N/A</v>
      </c>
    </row>
    <row r="417" spans="1:10" x14ac:dyDescent="0.3">
      <c r="A417" s="114" t="s">
        <v>743</v>
      </c>
      <c r="B417" s="115" t="s">
        <v>53</v>
      </c>
      <c r="C417" s="115" t="s">
        <v>220</v>
      </c>
      <c r="D417" s="115" t="s">
        <v>78</v>
      </c>
      <c r="E417" s="115" t="s">
        <v>218</v>
      </c>
      <c r="F417" s="115"/>
      <c r="G417" s="115"/>
      <c r="H417" s="115"/>
      <c r="I417" s="115"/>
      <c r="J417" s="115" t="e" cm="1">
        <f t="array" ref="J417">MAX(_xlfn.XLOOKUP(D417,Table5[Driver],'Race Results'!$E$3:$E$22),_xlfn.XLOOKUP(E417,Table5[Driver],'Race Results'!$E$3:$E$22)*0.5)</f>
        <v>#N/A</v>
      </c>
    </row>
    <row r="418" spans="1:10" x14ac:dyDescent="0.3">
      <c r="A418" s="114" t="s">
        <v>744</v>
      </c>
      <c r="B418" s="115" t="s">
        <v>60</v>
      </c>
      <c r="C418" s="115" t="s">
        <v>220</v>
      </c>
      <c r="D418" s="115" t="s">
        <v>77</v>
      </c>
      <c r="E418" s="115" t="s">
        <v>218</v>
      </c>
      <c r="F418" s="115"/>
      <c r="G418" s="115"/>
      <c r="H418" s="115"/>
      <c r="I418" s="115"/>
      <c r="J418" s="115" t="e" cm="1">
        <f t="array" ref="J418">MAX(_xlfn.XLOOKUP(D418,Table5[Driver],'Race Results'!$E$3:$E$22),_xlfn.XLOOKUP(E418,Table5[Driver],'Race Results'!$E$3:$E$22)*0.5)</f>
        <v>#N/A</v>
      </c>
    </row>
    <row r="419" spans="1:10" x14ac:dyDescent="0.3">
      <c r="A419" s="114" t="s">
        <v>745</v>
      </c>
      <c r="B419" s="115" t="s">
        <v>67</v>
      </c>
      <c r="C419" s="115" t="s">
        <v>220</v>
      </c>
      <c r="D419" s="115" t="s">
        <v>77</v>
      </c>
      <c r="E419" s="115" t="s">
        <v>78</v>
      </c>
      <c r="F419" s="115"/>
      <c r="G419" s="115"/>
      <c r="H419" s="115"/>
      <c r="I419" s="115"/>
      <c r="J419" s="115" t="e" cm="1">
        <f t="array" ref="J419">MAX(_xlfn.XLOOKUP(D419,Table5[Driver],'Race Results'!$E$3:$E$22),_xlfn.XLOOKUP(E419,Table5[Driver],'Race Results'!$E$3:$E$22)*0.5)</f>
        <v>#N/A</v>
      </c>
    </row>
    <row r="420" spans="1:10" x14ac:dyDescent="0.3">
      <c r="A420" s="114" t="s">
        <v>746</v>
      </c>
      <c r="B420" s="115" t="s">
        <v>57</v>
      </c>
      <c r="C420" s="115" t="s">
        <v>220</v>
      </c>
      <c r="D420" s="115" t="s">
        <v>77</v>
      </c>
      <c r="E420" s="115" t="s">
        <v>209</v>
      </c>
      <c r="F420" s="115"/>
      <c r="G420" s="115"/>
      <c r="H420" s="115"/>
      <c r="I420" s="115"/>
      <c r="J420" s="115" t="e" cm="1">
        <f t="array" ref="J420">MAX(_xlfn.XLOOKUP(D420,Table5[Driver],'Race Results'!$E$3:$E$22),_xlfn.XLOOKUP(E420,Table5[Driver],'Race Results'!$E$3:$E$22)*0.5)</f>
        <v>#N/A</v>
      </c>
    </row>
    <row r="421" spans="1:10" x14ac:dyDescent="0.3">
      <c r="A421" s="114" t="s">
        <v>747</v>
      </c>
      <c r="B421" s="115" t="s">
        <v>61</v>
      </c>
      <c r="C421" s="115" t="s">
        <v>220</v>
      </c>
      <c r="D421" s="115" t="s">
        <v>77</v>
      </c>
      <c r="E421" s="115" t="s">
        <v>218</v>
      </c>
      <c r="F421" s="115"/>
      <c r="G421" s="115"/>
      <c r="H421" s="115"/>
      <c r="I421" s="115"/>
      <c r="J421" s="115" t="e" cm="1">
        <f t="array" ref="J421">MAX(_xlfn.XLOOKUP(D421,Table5[Driver],'Race Results'!$E$3:$E$22),_xlfn.XLOOKUP(E421,Table5[Driver],'Race Results'!$E$3:$E$22)*0.5)</f>
        <v>#N/A</v>
      </c>
    </row>
    <row r="422" spans="1:10" x14ac:dyDescent="0.3">
      <c r="A422" s="114" t="s">
        <v>748</v>
      </c>
      <c r="B422" s="115" t="s">
        <v>68</v>
      </c>
      <c r="C422" s="115" t="s">
        <v>221</v>
      </c>
      <c r="D422" s="115" t="s">
        <v>80</v>
      </c>
      <c r="E422" s="115" t="s">
        <v>85</v>
      </c>
      <c r="F422" s="115"/>
      <c r="G422" s="115"/>
      <c r="H422" s="115"/>
      <c r="I422" s="115"/>
      <c r="J422" s="115" t="e" cm="1">
        <f t="array" ref="J422">MAX(_xlfn.XLOOKUP(D422,Table5[Driver],'Race Results'!$E$3:$E$22),_xlfn.XLOOKUP(E422,Table5[Driver],'Race Results'!$E$3:$E$22)*0.5)</f>
        <v>#N/A</v>
      </c>
    </row>
    <row r="423" spans="1:10" x14ac:dyDescent="0.3">
      <c r="A423" s="114" t="s">
        <v>749</v>
      </c>
      <c r="B423" s="115" t="s">
        <v>59</v>
      </c>
      <c r="C423" s="115" t="s">
        <v>221</v>
      </c>
      <c r="D423" s="115" t="s">
        <v>84</v>
      </c>
      <c r="E423" s="115" t="s">
        <v>209</v>
      </c>
      <c r="F423" s="115"/>
      <c r="G423" s="115"/>
      <c r="H423" s="115"/>
      <c r="I423" s="115"/>
      <c r="J423" s="115" t="e" cm="1">
        <f t="array" ref="J423">MAX(_xlfn.XLOOKUP(D423,Table5[Driver],'Race Results'!$E$3:$E$22),_xlfn.XLOOKUP(E423,Table5[Driver],'Race Results'!$E$3:$E$22)*0.5)</f>
        <v>#N/A</v>
      </c>
    </row>
    <row r="424" spans="1:10" x14ac:dyDescent="0.3">
      <c r="A424" s="114" t="s">
        <v>750</v>
      </c>
      <c r="B424" s="115" t="s">
        <v>56</v>
      </c>
      <c r="C424" s="115" t="s">
        <v>221</v>
      </c>
      <c r="D424" s="115" t="s">
        <v>218</v>
      </c>
      <c r="E424" s="115" t="s">
        <v>85</v>
      </c>
      <c r="F424" s="115"/>
      <c r="G424" s="115"/>
      <c r="H424" s="115"/>
      <c r="I424" s="115"/>
      <c r="J424" s="115" t="e" cm="1">
        <f t="array" ref="J424">MAX(_xlfn.XLOOKUP(D424,Table5[Driver],'Race Results'!$E$3:$E$22),_xlfn.XLOOKUP(E424,Table5[Driver],'Race Results'!$E$3:$E$22)*0.5)</f>
        <v>#N/A</v>
      </c>
    </row>
    <row r="425" spans="1:10" x14ac:dyDescent="0.3">
      <c r="A425" s="114" t="s">
        <v>751</v>
      </c>
      <c r="B425" s="115" t="s">
        <v>64</v>
      </c>
      <c r="C425" s="115" t="s">
        <v>221</v>
      </c>
      <c r="D425" s="115" t="s">
        <v>85</v>
      </c>
      <c r="E425" s="115" t="s">
        <v>88</v>
      </c>
      <c r="F425" s="115"/>
      <c r="G425" s="115"/>
      <c r="H425" s="115"/>
      <c r="I425" s="115"/>
      <c r="J425" s="115" t="e" cm="1">
        <f t="array" ref="J425">MAX(_xlfn.XLOOKUP(D425,Table5[Driver],'Race Results'!$E$3:$E$22),_xlfn.XLOOKUP(E425,Table5[Driver],'Race Results'!$E$3:$E$22)*0.5)</f>
        <v>#N/A</v>
      </c>
    </row>
    <row r="426" spans="1:10" x14ac:dyDescent="0.3">
      <c r="A426" s="114" t="s">
        <v>752</v>
      </c>
      <c r="B426" s="115" t="s">
        <v>46</v>
      </c>
      <c r="C426" s="115" t="s">
        <v>221</v>
      </c>
      <c r="D426" s="115" t="s">
        <v>85</v>
      </c>
      <c r="E426" s="115" t="s">
        <v>88</v>
      </c>
      <c r="F426" s="115"/>
      <c r="G426" s="115"/>
      <c r="H426" s="115"/>
      <c r="I426" s="115"/>
      <c r="J426" s="115" t="e" cm="1">
        <f t="array" ref="J426">MAX(_xlfn.XLOOKUP(D426,Table5[Driver],'Race Results'!$E$3:$E$22),_xlfn.XLOOKUP(E426,Table5[Driver],'Race Results'!$E$3:$E$22)*0.5)</f>
        <v>#N/A</v>
      </c>
    </row>
    <row r="427" spans="1:10" x14ac:dyDescent="0.3">
      <c r="A427" s="114" t="s">
        <v>753</v>
      </c>
      <c r="B427" s="115" t="s">
        <v>49</v>
      </c>
      <c r="C427" s="115" t="s">
        <v>221</v>
      </c>
      <c r="D427" s="115" t="s">
        <v>80</v>
      </c>
      <c r="E427" s="115" t="s">
        <v>79</v>
      </c>
      <c r="F427" s="115"/>
      <c r="G427" s="115"/>
      <c r="H427" s="115"/>
      <c r="I427" s="115"/>
      <c r="J427" s="115" t="e" cm="1">
        <f t="array" ref="J427">MAX(_xlfn.XLOOKUP(D427,Table5[Driver],'Race Results'!$E$3:$E$22),_xlfn.XLOOKUP(E427,Table5[Driver],'Race Results'!$E$3:$E$22)*0.5)</f>
        <v>#N/A</v>
      </c>
    </row>
    <row r="428" spans="1:10" x14ac:dyDescent="0.3">
      <c r="A428" s="114" t="s">
        <v>754</v>
      </c>
      <c r="B428" s="115" t="s">
        <v>49</v>
      </c>
      <c r="C428" s="115" t="s">
        <v>221</v>
      </c>
      <c r="D428" s="115" t="s">
        <v>80</v>
      </c>
      <c r="E428" s="115" t="s">
        <v>79</v>
      </c>
      <c r="F428" s="115"/>
      <c r="G428" s="115"/>
      <c r="H428" s="115"/>
      <c r="I428" s="115"/>
      <c r="J428" s="115" t="e" cm="1">
        <f t="array" ref="J428">MAX(_xlfn.XLOOKUP(D428,Table5[Driver],'Race Results'!$E$3:$E$22),_xlfn.XLOOKUP(E428,Table5[Driver],'Race Results'!$E$3:$E$22)*0.5)</f>
        <v>#N/A</v>
      </c>
    </row>
    <row r="429" spans="1:10" x14ac:dyDescent="0.3">
      <c r="A429" s="114" t="s">
        <v>755</v>
      </c>
      <c r="B429" s="115" t="s">
        <v>50</v>
      </c>
      <c r="C429" s="115" t="s">
        <v>221</v>
      </c>
      <c r="D429" s="115" t="s">
        <v>80</v>
      </c>
      <c r="E429" s="115" t="s">
        <v>79</v>
      </c>
      <c r="F429" s="115"/>
      <c r="G429" s="115"/>
      <c r="H429" s="115"/>
      <c r="I429" s="115"/>
      <c r="J429" s="115" t="e" cm="1">
        <f t="array" ref="J429">MAX(_xlfn.XLOOKUP(D429,Table5[Driver],'Race Results'!$E$3:$E$22),_xlfn.XLOOKUP(E429,Table5[Driver],'Race Results'!$E$3:$E$22)*0.5)</f>
        <v>#N/A</v>
      </c>
    </row>
    <row r="430" spans="1:10" x14ac:dyDescent="0.3">
      <c r="A430" s="114" t="s">
        <v>756</v>
      </c>
      <c r="B430" s="115" t="s">
        <v>69</v>
      </c>
      <c r="C430" s="115" t="s">
        <v>221</v>
      </c>
      <c r="D430" s="115" t="s">
        <v>80</v>
      </c>
      <c r="E430" s="115" t="s">
        <v>75</v>
      </c>
      <c r="F430" s="115"/>
      <c r="G430" s="115"/>
      <c r="H430" s="115"/>
      <c r="I430" s="115"/>
      <c r="J430" s="115" t="e" cm="1">
        <f t="array" ref="J430">MAX(_xlfn.XLOOKUP(D430,Table5[Driver],'Race Results'!$E$3:$E$22),_xlfn.XLOOKUP(E430,Table5[Driver],'Race Results'!$E$3:$E$22)*0.5)</f>
        <v>#N/A</v>
      </c>
    </row>
    <row r="431" spans="1:10" x14ac:dyDescent="0.3">
      <c r="A431" s="114" t="s">
        <v>757</v>
      </c>
      <c r="B431" s="115" t="s">
        <v>61</v>
      </c>
      <c r="C431" s="115" t="s">
        <v>221</v>
      </c>
      <c r="D431" s="115" t="s">
        <v>209</v>
      </c>
      <c r="E431" s="115" t="s">
        <v>85</v>
      </c>
      <c r="F431" s="115"/>
      <c r="G431" s="115"/>
      <c r="H431" s="115"/>
      <c r="I431" s="115"/>
      <c r="J431" s="115" t="e" cm="1">
        <f t="array" ref="J431">MAX(_xlfn.XLOOKUP(D431,Table5[Driver],'Race Results'!$E$3:$E$22),_xlfn.XLOOKUP(E431,Table5[Driver],'Race Results'!$E$3:$E$22)*0.5)</f>
        <v>#N/A</v>
      </c>
    </row>
    <row r="432" spans="1:10" x14ac:dyDescent="0.3">
      <c r="A432" s="114" t="s">
        <v>758</v>
      </c>
      <c r="B432" s="115" t="s">
        <v>62</v>
      </c>
      <c r="C432" s="115" t="s">
        <v>221</v>
      </c>
      <c r="D432" s="115" t="s">
        <v>82</v>
      </c>
      <c r="E432" s="115" t="s">
        <v>85</v>
      </c>
      <c r="F432" s="115"/>
      <c r="G432" s="115"/>
      <c r="H432" s="115"/>
      <c r="I432" s="115"/>
      <c r="J432" s="115" t="e" cm="1">
        <f t="array" ref="J432">MAX(_xlfn.XLOOKUP(D432,Table5[Driver],'Race Results'!$E$3:$E$22),_xlfn.XLOOKUP(E432,Table5[Driver],'Race Results'!$E$3:$E$22)*0.5)</f>
        <v>#N/A</v>
      </c>
    </row>
    <row r="433" spans="1:10" x14ac:dyDescent="0.3">
      <c r="A433" s="114" t="s">
        <v>759</v>
      </c>
      <c r="B433" s="115" t="s">
        <v>51</v>
      </c>
      <c r="C433" s="115" t="s">
        <v>221</v>
      </c>
      <c r="D433" s="115" t="s">
        <v>80</v>
      </c>
      <c r="E433" s="115" t="s">
        <v>85</v>
      </c>
      <c r="F433" s="115"/>
      <c r="G433" s="115"/>
      <c r="H433" s="115"/>
      <c r="I433" s="115"/>
      <c r="J433" s="115" t="e" cm="1">
        <f t="array" ref="J433">MAX(_xlfn.XLOOKUP(D433,Table5[Driver],'Race Results'!$E$3:$E$22),_xlfn.XLOOKUP(E433,Table5[Driver],'Race Results'!$E$3:$E$22)*0.5)</f>
        <v>#N/A</v>
      </c>
    </row>
    <row r="434" spans="1:10" x14ac:dyDescent="0.3">
      <c r="A434" s="114" t="s">
        <v>760</v>
      </c>
      <c r="B434" s="115" t="s">
        <v>47</v>
      </c>
      <c r="C434" s="115" t="s">
        <v>221</v>
      </c>
      <c r="D434" s="115" t="s">
        <v>85</v>
      </c>
      <c r="E434" s="115" t="s">
        <v>88</v>
      </c>
      <c r="F434" s="115"/>
      <c r="G434" s="115"/>
      <c r="H434" s="115"/>
      <c r="I434" s="115"/>
      <c r="J434" s="115" t="e" cm="1">
        <f t="array" ref="J434">MAX(_xlfn.XLOOKUP(D434,Table5[Driver],'Race Results'!$E$3:$E$22),_xlfn.XLOOKUP(E434,Table5[Driver],'Race Results'!$E$3:$E$22)*0.5)</f>
        <v>#N/A</v>
      </c>
    </row>
    <row r="435" spans="1:10" x14ac:dyDescent="0.3">
      <c r="A435" s="114" t="s">
        <v>761</v>
      </c>
      <c r="B435" s="115" t="s">
        <v>65</v>
      </c>
      <c r="C435" s="115" t="s">
        <v>221</v>
      </c>
      <c r="D435" s="115" t="s">
        <v>209</v>
      </c>
      <c r="E435" s="115" t="s">
        <v>86</v>
      </c>
      <c r="F435" s="115"/>
      <c r="G435" s="115"/>
      <c r="H435" s="115"/>
      <c r="I435" s="115"/>
      <c r="J435" s="115" t="e" cm="1">
        <f t="array" ref="J435">MAX(_xlfn.XLOOKUP(D435,Table5[Driver],'Race Results'!$E$3:$E$22),_xlfn.XLOOKUP(E435,Table5[Driver],'Race Results'!$E$3:$E$22)*0.5)</f>
        <v>#N/A</v>
      </c>
    </row>
    <row r="436" spans="1:10" x14ac:dyDescent="0.3">
      <c r="A436" s="114" t="s">
        <v>762</v>
      </c>
      <c r="B436" s="115" t="s">
        <v>45</v>
      </c>
      <c r="C436" s="115" t="s">
        <v>221</v>
      </c>
      <c r="D436" s="115" t="s">
        <v>80</v>
      </c>
      <c r="E436" s="115" t="s">
        <v>85</v>
      </c>
      <c r="F436" s="115"/>
      <c r="G436" s="115"/>
      <c r="H436" s="115"/>
      <c r="I436" s="115"/>
      <c r="J436" s="115" t="e" cm="1">
        <f t="array" ref="J436">MAX(_xlfn.XLOOKUP(D436,Table5[Driver],'Race Results'!$E$3:$E$22),_xlfn.XLOOKUP(E436,Table5[Driver],'Race Results'!$E$3:$E$22)*0.5)</f>
        <v>#N/A</v>
      </c>
    </row>
    <row r="437" spans="1:10" x14ac:dyDescent="0.3">
      <c r="A437" s="114" t="s">
        <v>763</v>
      </c>
      <c r="B437" s="115" t="s">
        <v>48</v>
      </c>
      <c r="C437" s="115" t="s">
        <v>221</v>
      </c>
      <c r="D437" s="115" t="s">
        <v>80</v>
      </c>
      <c r="E437" s="115" t="s">
        <v>75</v>
      </c>
      <c r="F437" s="115"/>
      <c r="G437" s="115"/>
      <c r="H437" s="115"/>
      <c r="I437" s="115"/>
      <c r="J437" s="115" t="e" cm="1">
        <f t="array" ref="J437">MAX(_xlfn.XLOOKUP(D437,Table5[Driver],'Race Results'!$E$3:$E$22),_xlfn.XLOOKUP(E437,Table5[Driver],'Race Results'!$E$3:$E$22)*0.5)</f>
        <v>#N/A</v>
      </c>
    </row>
    <row r="438" spans="1:10" x14ac:dyDescent="0.3">
      <c r="A438" s="114" t="s">
        <v>764</v>
      </c>
      <c r="B438" s="115" t="s">
        <v>54</v>
      </c>
      <c r="C438" s="115" t="s">
        <v>221</v>
      </c>
      <c r="D438" s="115" t="s">
        <v>218</v>
      </c>
      <c r="E438" s="115" t="s">
        <v>85</v>
      </c>
      <c r="F438" s="115"/>
      <c r="G438" s="115"/>
      <c r="H438" s="115"/>
      <c r="I438" s="115"/>
      <c r="J438" s="115" t="e" cm="1">
        <f t="array" ref="J438">MAX(_xlfn.XLOOKUP(D438,Table5[Driver],'Race Results'!$E$3:$E$22),_xlfn.XLOOKUP(E438,Table5[Driver],'Race Results'!$E$3:$E$22)*0.5)</f>
        <v>#N/A</v>
      </c>
    </row>
    <row r="439" spans="1:10" x14ac:dyDescent="0.3">
      <c r="A439" s="114" t="s">
        <v>765</v>
      </c>
      <c r="B439" s="115" t="s">
        <v>44</v>
      </c>
      <c r="C439" s="115" t="s">
        <v>221</v>
      </c>
      <c r="D439" s="115" t="s">
        <v>78</v>
      </c>
      <c r="E439" s="115" t="s">
        <v>79</v>
      </c>
      <c r="F439" s="115"/>
      <c r="G439" s="115"/>
      <c r="H439" s="115"/>
      <c r="I439" s="115"/>
      <c r="J439" s="115" t="e" cm="1">
        <f t="array" ref="J439">MAX(_xlfn.XLOOKUP(D439,Table5[Driver],'Race Results'!$E$3:$E$22),_xlfn.XLOOKUP(E439,Table5[Driver],'Race Results'!$E$3:$E$22)*0.5)</f>
        <v>#N/A</v>
      </c>
    </row>
    <row r="440" spans="1:10" x14ac:dyDescent="0.3">
      <c r="A440" s="114" t="s">
        <v>766</v>
      </c>
      <c r="B440" s="115" t="s">
        <v>60</v>
      </c>
      <c r="C440" s="115" t="s">
        <v>221</v>
      </c>
      <c r="D440" s="115" t="s">
        <v>86</v>
      </c>
      <c r="E440" s="115" t="s">
        <v>85</v>
      </c>
      <c r="F440" s="115"/>
      <c r="G440" s="115"/>
      <c r="H440" s="115"/>
      <c r="I440" s="115"/>
      <c r="J440" s="115" t="e" cm="1">
        <f t="array" ref="J440">MAX(_xlfn.XLOOKUP(D440,Table5[Driver],'Race Results'!$E$3:$E$22),_xlfn.XLOOKUP(E440,Table5[Driver],'Race Results'!$E$3:$E$22)*0.5)</f>
        <v>#N/A</v>
      </c>
    </row>
    <row r="441" spans="1:10" x14ac:dyDescent="0.3">
      <c r="A441" s="114" t="s">
        <v>767</v>
      </c>
      <c r="B441" s="115" t="s">
        <v>63</v>
      </c>
      <c r="C441" s="115" t="s">
        <v>221</v>
      </c>
      <c r="D441" s="115" t="s">
        <v>213</v>
      </c>
      <c r="E441" s="115" t="s">
        <v>84</v>
      </c>
      <c r="F441" s="115"/>
      <c r="G441" s="115"/>
      <c r="H441" s="115"/>
      <c r="I441" s="115"/>
      <c r="J441" s="115" t="e" cm="1">
        <f t="array" ref="J441">MAX(_xlfn.XLOOKUP(D441,Table5[Driver],'Race Results'!$E$3:$E$22),_xlfn.XLOOKUP(E441,Table5[Driver],'Race Results'!$E$3:$E$22)*0.5)</f>
        <v>#N/A</v>
      </c>
    </row>
    <row r="442" spans="1:10" x14ac:dyDescent="0.3">
      <c r="A442" s="114" t="s">
        <v>768</v>
      </c>
      <c r="B442" s="115" t="s">
        <v>52</v>
      </c>
      <c r="C442" s="115" t="s">
        <v>221</v>
      </c>
      <c r="D442" s="115" t="s">
        <v>82</v>
      </c>
      <c r="E442" s="115" t="s">
        <v>80</v>
      </c>
      <c r="F442" s="115"/>
      <c r="G442" s="115"/>
      <c r="H442" s="115"/>
      <c r="I442" s="115"/>
      <c r="J442" s="115" t="e" cm="1">
        <f t="array" ref="J442">MAX(_xlfn.XLOOKUP(D442,Table5[Driver],'Race Results'!$E$3:$E$22),_xlfn.XLOOKUP(E442,Table5[Driver],'Race Results'!$E$3:$E$22)*0.5)</f>
        <v>#N/A</v>
      </c>
    </row>
    <row r="443" spans="1:10" x14ac:dyDescent="0.3">
      <c r="A443" s="114" t="s">
        <v>769</v>
      </c>
      <c r="B443" s="115" t="s">
        <v>67</v>
      </c>
      <c r="C443" s="115" t="s">
        <v>221</v>
      </c>
      <c r="D443" s="115" t="s">
        <v>85</v>
      </c>
      <c r="E443" s="115" t="s">
        <v>209</v>
      </c>
      <c r="F443" s="115"/>
      <c r="G443" s="115"/>
      <c r="H443" s="115"/>
      <c r="I443" s="115"/>
      <c r="J443" s="115" t="e" cm="1">
        <f t="array" ref="J443">MAX(_xlfn.XLOOKUP(D443,Table5[Driver],'Race Results'!$E$3:$E$22),_xlfn.XLOOKUP(E443,Table5[Driver],'Race Results'!$E$3:$E$22)*0.5)</f>
        <v>#N/A</v>
      </c>
    </row>
    <row r="444" spans="1:10" x14ac:dyDescent="0.3">
      <c r="A444" s="114" t="s">
        <v>770</v>
      </c>
      <c r="B444" s="115" t="s">
        <v>57</v>
      </c>
      <c r="C444" s="115" t="s">
        <v>221</v>
      </c>
      <c r="D444" s="115" t="s">
        <v>209</v>
      </c>
      <c r="E444" s="115" t="s">
        <v>86</v>
      </c>
      <c r="F444" s="115"/>
      <c r="G444" s="115"/>
      <c r="H444" s="115"/>
      <c r="I444" s="115"/>
      <c r="J444" s="115" t="e" cm="1">
        <f t="array" ref="J444">MAX(_xlfn.XLOOKUP(D444,Table5[Driver],'Race Results'!$E$3:$E$22),_xlfn.XLOOKUP(E444,Table5[Driver],'Race Results'!$E$3:$E$22)*0.5)</f>
        <v>#N/A</v>
      </c>
    </row>
    <row r="445" spans="1:10" x14ac:dyDescent="0.3">
      <c r="A445" s="114" t="s">
        <v>771</v>
      </c>
      <c r="B445" s="115" t="s">
        <v>52</v>
      </c>
      <c r="C445" s="115" t="s">
        <v>222</v>
      </c>
      <c r="D445" s="115" t="s">
        <v>77</v>
      </c>
      <c r="E445" s="115" t="s">
        <v>90</v>
      </c>
      <c r="F445" s="115"/>
      <c r="G445" s="115"/>
      <c r="H445" s="115"/>
      <c r="I445" s="115"/>
      <c r="J445" s="115" t="e" cm="1">
        <f t="array" ref="J445">MAX(_xlfn.XLOOKUP(D445,Table5[Driver],'Race Results'!$E$3:$E$22),_xlfn.XLOOKUP(E445,Table5[Driver],'Race Results'!$E$3:$E$22)*0.5)</f>
        <v>#N/A</v>
      </c>
    </row>
    <row r="446" spans="1:10" x14ac:dyDescent="0.3">
      <c r="A446" s="114" t="s">
        <v>772</v>
      </c>
      <c r="B446" s="115" t="s">
        <v>65</v>
      </c>
      <c r="C446" s="115" t="s">
        <v>222</v>
      </c>
      <c r="D446" s="115" t="s">
        <v>78</v>
      </c>
      <c r="E446" s="115" t="s">
        <v>209</v>
      </c>
      <c r="F446" s="115"/>
      <c r="G446" s="115"/>
      <c r="H446" s="115"/>
      <c r="I446" s="115"/>
      <c r="J446" s="115" t="e" cm="1">
        <f t="array" ref="J446">MAX(_xlfn.XLOOKUP(D446,Table5[Driver],'Race Results'!$E$3:$E$22),_xlfn.XLOOKUP(E446,Table5[Driver],'Race Results'!$E$3:$E$22)*0.5)</f>
        <v>#N/A</v>
      </c>
    </row>
    <row r="447" spans="1:10" x14ac:dyDescent="0.3">
      <c r="A447" s="114" t="s">
        <v>773</v>
      </c>
      <c r="B447" s="115" t="s">
        <v>47</v>
      </c>
      <c r="C447" s="115" t="s">
        <v>222</v>
      </c>
      <c r="D447" s="115" t="s">
        <v>75</v>
      </c>
      <c r="E447" s="115" t="s">
        <v>82</v>
      </c>
      <c r="F447" s="115"/>
      <c r="G447" s="115"/>
      <c r="H447" s="115"/>
      <c r="I447" s="115"/>
      <c r="J447" s="115" t="e" cm="1">
        <f t="array" ref="J447">MAX(_xlfn.XLOOKUP(D447,Table5[Driver],'Race Results'!$E$3:$E$22),_xlfn.XLOOKUP(E447,Table5[Driver],'Race Results'!$E$3:$E$22)*0.5)</f>
        <v>#N/A</v>
      </c>
    </row>
    <row r="448" spans="1:10" x14ac:dyDescent="0.3">
      <c r="A448" s="114" t="s">
        <v>774</v>
      </c>
      <c r="B448" s="115" t="s">
        <v>50</v>
      </c>
      <c r="C448" s="115" t="s">
        <v>222</v>
      </c>
      <c r="D448" s="115" t="s">
        <v>85</v>
      </c>
      <c r="E448" s="115" t="s">
        <v>88</v>
      </c>
      <c r="F448" s="115"/>
      <c r="G448" s="115"/>
      <c r="H448" s="115"/>
      <c r="I448" s="115"/>
      <c r="J448" s="115" t="e" cm="1">
        <f t="array" ref="J448">MAX(_xlfn.XLOOKUP(D448,Table5[Driver],'Race Results'!$E$3:$E$22),_xlfn.XLOOKUP(E448,Table5[Driver],'Race Results'!$E$3:$E$22)*0.5)</f>
        <v>#N/A</v>
      </c>
    </row>
    <row r="449" spans="1:10" x14ac:dyDescent="0.3">
      <c r="A449" s="114" t="s">
        <v>775</v>
      </c>
      <c r="B449" s="115" t="s">
        <v>69</v>
      </c>
      <c r="C449" s="115" t="s">
        <v>222</v>
      </c>
      <c r="D449" s="115" t="s">
        <v>209</v>
      </c>
      <c r="E449" s="115" t="s">
        <v>75</v>
      </c>
      <c r="F449" s="115"/>
      <c r="G449" s="115"/>
      <c r="H449" s="115"/>
      <c r="I449" s="115"/>
      <c r="J449" s="115" t="e" cm="1">
        <f t="array" ref="J449">MAX(_xlfn.XLOOKUP(D449,Table5[Driver],'Race Results'!$E$3:$E$22),_xlfn.XLOOKUP(E449,Table5[Driver],'Race Results'!$E$3:$E$22)*0.5)</f>
        <v>#N/A</v>
      </c>
    </row>
    <row r="450" spans="1:10" x14ac:dyDescent="0.3">
      <c r="A450" s="114" t="s">
        <v>776</v>
      </c>
      <c r="B450" s="115" t="s">
        <v>51</v>
      </c>
      <c r="C450" s="115" t="s">
        <v>222</v>
      </c>
      <c r="D450" s="115" t="s">
        <v>78</v>
      </c>
      <c r="E450" s="115" t="s">
        <v>88</v>
      </c>
      <c r="F450" s="115"/>
      <c r="G450" s="115"/>
      <c r="H450" s="115"/>
      <c r="I450" s="115"/>
      <c r="J450" s="115" t="e" cm="1">
        <f t="array" ref="J450">MAX(_xlfn.XLOOKUP(D450,Table5[Driver],'Race Results'!$E$3:$E$22),_xlfn.XLOOKUP(E450,Table5[Driver],'Race Results'!$E$3:$E$22)*0.5)</f>
        <v>#N/A</v>
      </c>
    </row>
    <row r="451" spans="1:10" x14ac:dyDescent="0.3">
      <c r="A451" s="114" t="s">
        <v>777</v>
      </c>
      <c r="B451" s="115" t="s">
        <v>59</v>
      </c>
      <c r="C451" s="115" t="s">
        <v>222</v>
      </c>
      <c r="D451" s="115" t="s">
        <v>82</v>
      </c>
      <c r="E451" s="115" t="s">
        <v>76</v>
      </c>
      <c r="F451" s="115"/>
      <c r="G451" s="115"/>
      <c r="H451" s="115"/>
      <c r="I451" s="115"/>
      <c r="J451" s="115" t="e" cm="1">
        <f t="array" ref="J451">MAX(_xlfn.XLOOKUP(D451,Table5[Driver],'Race Results'!$E$3:$E$22),_xlfn.XLOOKUP(E451,Table5[Driver],'Race Results'!$E$3:$E$22)*0.5)</f>
        <v>#N/A</v>
      </c>
    </row>
    <row r="452" spans="1:10" x14ac:dyDescent="0.3">
      <c r="A452" s="114" t="s">
        <v>778</v>
      </c>
      <c r="B452" s="115" t="s">
        <v>68</v>
      </c>
      <c r="C452" s="115" t="s">
        <v>222</v>
      </c>
      <c r="D452" s="115" t="s">
        <v>91</v>
      </c>
      <c r="E452" s="115" t="s">
        <v>75</v>
      </c>
      <c r="F452" s="115"/>
      <c r="G452" s="115"/>
      <c r="H452" s="115"/>
      <c r="I452" s="115"/>
      <c r="J452" s="115" t="e" cm="1">
        <f t="array" ref="J452">MAX(_xlfn.XLOOKUP(D452,Table5[Driver],'Race Results'!$E$3:$E$22),_xlfn.XLOOKUP(E452,Table5[Driver],'Race Results'!$E$3:$E$22)*0.5)</f>
        <v>#N/A</v>
      </c>
    </row>
    <row r="453" spans="1:10" x14ac:dyDescent="0.3">
      <c r="A453" s="114" t="s">
        <v>779</v>
      </c>
      <c r="B453" s="115" t="s">
        <v>49</v>
      </c>
      <c r="C453" s="115" t="s">
        <v>222</v>
      </c>
      <c r="D453" s="115" t="s">
        <v>90</v>
      </c>
      <c r="E453" s="115" t="s">
        <v>75</v>
      </c>
      <c r="F453" s="115"/>
      <c r="G453" s="115"/>
      <c r="H453" s="115"/>
      <c r="I453" s="115"/>
      <c r="J453" s="115" t="e" cm="1">
        <f t="array" ref="J453">MAX(_xlfn.XLOOKUP(D453,Table5[Driver],'Race Results'!$E$3:$E$22),_xlfn.XLOOKUP(E453,Table5[Driver],'Race Results'!$E$3:$E$22)*0.5)</f>
        <v>#N/A</v>
      </c>
    </row>
    <row r="454" spans="1:10" x14ac:dyDescent="0.3">
      <c r="A454" s="114" t="s">
        <v>780</v>
      </c>
      <c r="B454" s="115" t="s">
        <v>64</v>
      </c>
      <c r="C454" s="115" t="s">
        <v>222</v>
      </c>
      <c r="D454" s="115" t="s">
        <v>75</v>
      </c>
      <c r="E454" s="115" t="s">
        <v>79</v>
      </c>
      <c r="F454" s="115"/>
      <c r="G454" s="115"/>
      <c r="H454" s="115"/>
      <c r="I454" s="115"/>
      <c r="J454" s="115" t="e" cm="1">
        <f t="array" ref="J454">MAX(_xlfn.XLOOKUP(D454,Table5[Driver],'Race Results'!$E$3:$E$22),_xlfn.XLOOKUP(E454,Table5[Driver],'Race Results'!$E$3:$E$22)*0.5)</f>
        <v>#N/A</v>
      </c>
    </row>
    <row r="455" spans="1:10" x14ac:dyDescent="0.3">
      <c r="A455" s="114" t="s">
        <v>781</v>
      </c>
      <c r="B455" s="115" t="s">
        <v>46</v>
      </c>
      <c r="C455" s="115" t="s">
        <v>222</v>
      </c>
      <c r="D455" s="115" t="s">
        <v>75</v>
      </c>
      <c r="E455" s="115" t="s">
        <v>79</v>
      </c>
      <c r="F455" s="115"/>
      <c r="G455" s="115"/>
      <c r="H455" s="115"/>
      <c r="I455" s="115"/>
      <c r="J455" s="115" t="e" cm="1">
        <f t="array" ref="J455">MAX(_xlfn.XLOOKUP(D455,Table5[Driver],'Race Results'!$E$3:$E$22),_xlfn.XLOOKUP(E455,Table5[Driver],'Race Results'!$E$3:$E$22)*0.5)</f>
        <v>#N/A</v>
      </c>
    </row>
    <row r="456" spans="1:10" x14ac:dyDescent="0.3">
      <c r="A456" s="114" t="s">
        <v>782</v>
      </c>
      <c r="B456" s="115" t="s">
        <v>55</v>
      </c>
      <c r="C456" s="115" t="s">
        <v>221</v>
      </c>
      <c r="D456" s="115" t="s">
        <v>75</v>
      </c>
      <c r="E456" s="115" t="s">
        <v>77</v>
      </c>
      <c r="F456" s="115"/>
      <c r="G456" s="115"/>
      <c r="H456" s="115"/>
      <c r="I456" s="115"/>
      <c r="J456" s="115" t="e" cm="1">
        <f t="array" ref="J456">MAX(_xlfn.XLOOKUP(D456,Table5[Driver],'Race Results'!$E$3:$E$22),_xlfn.XLOOKUP(E456,Table5[Driver],'Race Results'!$E$3:$E$22)*0.5)</f>
        <v>#N/A</v>
      </c>
    </row>
    <row r="457" spans="1:10" x14ac:dyDescent="0.3">
      <c r="A457" s="114" t="s">
        <v>783</v>
      </c>
      <c r="B457" s="115" t="s">
        <v>44</v>
      </c>
      <c r="C457" s="115" t="s">
        <v>222</v>
      </c>
      <c r="D457" s="115" t="s">
        <v>79</v>
      </c>
      <c r="E457" s="115" t="s">
        <v>75</v>
      </c>
      <c r="F457" s="115"/>
      <c r="G457" s="115"/>
      <c r="H457" s="115"/>
      <c r="I457" s="115"/>
      <c r="J457" s="115" t="e" cm="1">
        <f t="array" ref="J457">MAX(_xlfn.XLOOKUP(D457,Table5[Driver],'Race Results'!$E$3:$E$22),_xlfn.XLOOKUP(E457,Table5[Driver],'Race Results'!$E$3:$E$22)*0.5)</f>
        <v>#N/A</v>
      </c>
    </row>
    <row r="458" spans="1:10" x14ac:dyDescent="0.3">
      <c r="A458" s="114" t="s">
        <v>784</v>
      </c>
      <c r="B458" s="115" t="s">
        <v>63</v>
      </c>
      <c r="C458" s="115" t="s">
        <v>222</v>
      </c>
      <c r="D458" s="115" t="s">
        <v>82</v>
      </c>
      <c r="E458" s="115" t="s">
        <v>80</v>
      </c>
      <c r="F458" s="115"/>
      <c r="G458" s="115"/>
      <c r="H458" s="115"/>
      <c r="I458" s="115"/>
      <c r="J458" s="115" t="e" cm="1">
        <f t="array" ref="J458">MAX(_xlfn.XLOOKUP(D458,Table5[Driver],'Race Results'!$E$3:$E$22),_xlfn.XLOOKUP(E458,Table5[Driver],'Race Results'!$E$3:$E$22)*0.5)</f>
        <v>#N/A</v>
      </c>
    </row>
    <row r="459" spans="1:10" x14ac:dyDescent="0.3">
      <c r="A459" s="114" t="s">
        <v>785</v>
      </c>
      <c r="B459" s="115" t="s">
        <v>56</v>
      </c>
      <c r="C459" s="115" t="s">
        <v>222</v>
      </c>
      <c r="D459" s="115" t="s">
        <v>85</v>
      </c>
      <c r="E459" s="115" t="s">
        <v>77</v>
      </c>
      <c r="F459" s="115"/>
      <c r="G459" s="115"/>
      <c r="H459" s="115"/>
      <c r="I459" s="115"/>
      <c r="J459" s="115" t="e" cm="1">
        <f t="array" ref="J459">MAX(_xlfn.XLOOKUP(D459,Table5[Driver],'Race Results'!$E$3:$E$22),_xlfn.XLOOKUP(E459,Table5[Driver],'Race Results'!$E$3:$E$22)*0.5)</f>
        <v>#N/A</v>
      </c>
    </row>
    <row r="460" spans="1:10" x14ac:dyDescent="0.3">
      <c r="A460" s="114" t="s">
        <v>786</v>
      </c>
      <c r="B460" s="115" t="s">
        <v>54</v>
      </c>
      <c r="C460" s="115" t="s">
        <v>222</v>
      </c>
      <c r="D460" s="115" t="s">
        <v>90</v>
      </c>
      <c r="E460" s="115" t="s">
        <v>78</v>
      </c>
      <c r="F460" s="115"/>
      <c r="G460" s="115"/>
      <c r="H460" s="115"/>
      <c r="I460" s="115"/>
      <c r="J460" s="115" t="e" cm="1">
        <f t="array" ref="J460">MAX(_xlfn.XLOOKUP(D460,Table5[Driver],'Race Results'!$E$3:$E$22),_xlfn.XLOOKUP(E460,Table5[Driver],'Race Results'!$E$3:$E$22)*0.5)</f>
        <v>#N/A</v>
      </c>
    </row>
    <row r="461" spans="1:10" x14ac:dyDescent="0.3">
      <c r="A461" s="114" t="s">
        <v>787</v>
      </c>
      <c r="B461" s="115" t="s">
        <v>53</v>
      </c>
      <c r="C461" s="115" t="s">
        <v>222</v>
      </c>
      <c r="D461" s="115" t="s">
        <v>78</v>
      </c>
      <c r="E461" s="115" t="s">
        <v>77</v>
      </c>
      <c r="F461" s="115"/>
      <c r="G461" s="115"/>
      <c r="H461" s="115"/>
      <c r="I461" s="115"/>
      <c r="J461" s="115" t="e" cm="1">
        <f t="array" ref="J461">MAX(_xlfn.XLOOKUP(D461,Table5[Driver],'Race Results'!$E$3:$E$22),_xlfn.XLOOKUP(E461,Table5[Driver],'Race Results'!$E$3:$E$22)*0.5)</f>
        <v>#N/A</v>
      </c>
    </row>
    <row r="462" spans="1:10" x14ac:dyDescent="0.3">
      <c r="A462" s="114" t="s">
        <v>788</v>
      </c>
      <c r="B462" s="115" t="s">
        <v>61</v>
      </c>
      <c r="C462" s="115" t="s">
        <v>222</v>
      </c>
      <c r="D462" s="115" t="s">
        <v>218</v>
      </c>
      <c r="E462" s="115" t="s">
        <v>209</v>
      </c>
      <c r="F462" s="115"/>
      <c r="G462" s="115"/>
      <c r="H462" s="115"/>
      <c r="I462" s="115"/>
      <c r="J462" s="115" t="e" cm="1">
        <f t="array" ref="J462">MAX(_xlfn.XLOOKUP(D462,Table5[Driver],'Race Results'!$E$3:$E$22),_xlfn.XLOOKUP(E462,Table5[Driver],'Race Results'!$E$3:$E$22)*0.5)</f>
        <v>#N/A</v>
      </c>
    </row>
    <row r="463" spans="1:10" x14ac:dyDescent="0.3">
      <c r="A463" s="114" t="s">
        <v>789</v>
      </c>
      <c r="B463" s="115" t="s">
        <v>48</v>
      </c>
      <c r="C463" s="115" t="s">
        <v>222</v>
      </c>
      <c r="D463" s="115" t="s">
        <v>75</v>
      </c>
      <c r="E463" s="115" t="s">
        <v>77</v>
      </c>
      <c r="F463" s="115"/>
      <c r="G463" s="115"/>
      <c r="H463" s="115"/>
      <c r="I463" s="115"/>
      <c r="J463" s="115" t="e" cm="1">
        <f t="array" ref="J463">MAX(_xlfn.XLOOKUP(D463,Table5[Driver],'Race Results'!$E$3:$E$22),_xlfn.XLOOKUP(E463,Table5[Driver],'Race Results'!$E$3:$E$22)*0.5)</f>
        <v>#N/A</v>
      </c>
    </row>
    <row r="464" spans="1:10" x14ac:dyDescent="0.3">
      <c r="A464" s="114" t="s">
        <v>790</v>
      </c>
      <c r="B464" s="115" t="s">
        <v>45</v>
      </c>
      <c r="C464" s="115" t="s">
        <v>222</v>
      </c>
      <c r="D464" s="115" t="s">
        <v>82</v>
      </c>
      <c r="E464" s="115" t="s">
        <v>75</v>
      </c>
      <c r="F464" s="115"/>
      <c r="G464" s="115"/>
      <c r="H464" s="115"/>
      <c r="I464" s="115"/>
      <c r="J464" s="115" t="e" cm="1">
        <f t="array" ref="J464">MAX(_xlfn.XLOOKUP(D464,Table5[Driver],'Race Results'!$E$3:$E$22),_xlfn.XLOOKUP(E464,Table5[Driver],'Race Results'!$E$3:$E$22)*0.5)</f>
        <v>#N/A</v>
      </c>
    </row>
    <row r="465" spans="1:10" x14ac:dyDescent="0.3">
      <c r="A465" s="114" t="s">
        <v>791</v>
      </c>
      <c r="B465" s="115" t="s">
        <v>60</v>
      </c>
      <c r="C465" s="115" t="s">
        <v>222</v>
      </c>
      <c r="D465" s="115" t="s">
        <v>90</v>
      </c>
      <c r="E465" s="115" t="s">
        <v>77</v>
      </c>
      <c r="F465" s="115"/>
      <c r="G465" s="115"/>
      <c r="H465" s="115"/>
      <c r="I465" s="115"/>
      <c r="J465" s="115" t="e" cm="1">
        <f t="array" ref="J465">MAX(_xlfn.XLOOKUP(D465,Table5[Driver],'Race Results'!$E$3:$E$22),_xlfn.XLOOKUP(E465,Table5[Driver],'Race Results'!$E$3:$E$22)*0.5)</f>
        <v>#N/A</v>
      </c>
    </row>
    <row r="466" spans="1:10" x14ac:dyDescent="0.3">
      <c r="A466" s="114" t="s">
        <v>792</v>
      </c>
      <c r="B466" s="115" t="s">
        <v>67</v>
      </c>
      <c r="C466" s="115" t="s">
        <v>222</v>
      </c>
      <c r="D466" s="115" t="s">
        <v>78</v>
      </c>
      <c r="E466" s="115" t="s">
        <v>85</v>
      </c>
      <c r="F466" s="115"/>
      <c r="G466" s="115"/>
      <c r="H466" s="115"/>
      <c r="I466" s="115"/>
      <c r="J466" s="115" t="e" cm="1">
        <f t="array" ref="J466">MAX(_xlfn.XLOOKUP(D466,Table5[Driver],'Race Results'!$E$3:$E$22),_xlfn.XLOOKUP(E466,Table5[Driver],'Race Results'!$E$3:$E$22)*0.5)</f>
        <v>#N/A</v>
      </c>
    </row>
    <row r="467" spans="1:10" x14ac:dyDescent="0.3">
      <c r="A467" s="114" t="s">
        <v>793</v>
      </c>
      <c r="B467" s="115" t="s">
        <v>57</v>
      </c>
      <c r="C467" s="115" t="s">
        <v>222</v>
      </c>
      <c r="D467" s="115" t="s">
        <v>75</v>
      </c>
      <c r="E467" s="115" t="s">
        <v>218</v>
      </c>
      <c r="F467" s="115"/>
      <c r="G467" s="115"/>
      <c r="H467" s="115"/>
      <c r="I467" s="115"/>
      <c r="J467" s="115" t="e" cm="1">
        <f t="array" ref="J467">MAX(_xlfn.XLOOKUP(D467,Table5[Driver],'Race Results'!$E$3:$E$22),_xlfn.XLOOKUP(E467,Table5[Driver],'Race Results'!$E$3:$E$22)*0.5)</f>
        <v>#N/A</v>
      </c>
    </row>
    <row r="468" spans="1:10" x14ac:dyDescent="0.3">
      <c r="A468" s="114" t="s">
        <v>794</v>
      </c>
      <c r="B468" s="115" t="s">
        <v>50</v>
      </c>
      <c r="C468" s="115" t="s">
        <v>225</v>
      </c>
      <c r="D468" s="115" t="s">
        <v>90</v>
      </c>
      <c r="E468" s="115" t="s">
        <v>209</v>
      </c>
      <c r="F468" s="115"/>
      <c r="G468" s="115"/>
      <c r="H468" s="115"/>
      <c r="I468" s="115"/>
      <c r="J468" s="115" t="e" cm="1">
        <f t="array" ref="J468">MAX(_xlfn.XLOOKUP(D468,Table5[Driver],'Race Results'!$E$3:$E$22),_xlfn.XLOOKUP(E468,Table5[Driver],'Race Results'!$E$3:$E$22)*0.5)</f>
        <v>#N/A</v>
      </c>
    </row>
    <row r="469" spans="1:10" x14ac:dyDescent="0.3">
      <c r="A469" s="114" t="s">
        <v>795</v>
      </c>
      <c r="B469" s="115" t="s">
        <v>55</v>
      </c>
      <c r="C469" s="115" t="s">
        <v>225</v>
      </c>
      <c r="D469" s="115" t="s">
        <v>80</v>
      </c>
      <c r="E469" s="115" t="s">
        <v>209</v>
      </c>
      <c r="F469" s="115"/>
      <c r="G469" s="115"/>
      <c r="H469" s="115"/>
      <c r="I469" s="115"/>
      <c r="J469" s="115" t="e" cm="1">
        <f t="array" ref="J469">MAX(_xlfn.XLOOKUP(D469,Table5[Driver],'Race Results'!$E$3:$E$22),_xlfn.XLOOKUP(E469,Table5[Driver],'Race Results'!$E$3:$E$22)*0.5)</f>
        <v>#N/A</v>
      </c>
    </row>
    <row r="470" spans="1:10" x14ac:dyDescent="0.3">
      <c r="A470" s="114" t="s">
        <v>796</v>
      </c>
      <c r="B470" s="115" t="s">
        <v>59</v>
      </c>
      <c r="C470" s="115" t="s">
        <v>225</v>
      </c>
      <c r="D470" s="115" t="s">
        <v>75</v>
      </c>
      <c r="E470" s="115" t="s">
        <v>77</v>
      </c>
      <c r="F470" s="115"/>
      <c r="G470" s="115"/>
      <c r="H470" s="115"/>
      <c r="I470" s="115"/>
      <c r="J470" s="115" t="e" cm="1">
        <f t="array" ref="J470">MAX(_xlfn.XLOOKUP(D470,Table5[Driver],'Race Results'!$E$3:$E$22),_xlfn.XLOOKUP(E470,Table5[Driver],'Race Results'!$E$3:$E$22)*0.5)</f>
        <v>#N/A</v>
      </c>
    </row>
    <row r="471" spans="1:10" x14ac:dyDescent="0.3">
      <c r="A471" s="114" t="s">
        <v>797</v>
      </c>
      <c r="B471" s="115" t="s">
        <v>68</v>
      </c>
      <c r="C471" s="115" t="s">
        <v>225</v>
      </c>
      <c r="D471" s="115" t="s">
        <v>90</v>
      </c>
      <c r="E471" s="115" t="s">
        <v>86</v>
      </c>
      <c r="F471" s="115"/>
      <c r="G471" s="115"/>
      <c r="H471" s="115"/>
      <c r="I471" s="115"/>
      <c r="J471" s="115" t="e" cm="1">
        <f t="array" ref="J471">MAX(_xlfn.XLOOKUP(D471,Table5[Driver],'Race Results'!$E$3:$E$22),_xlfn.XLOOKUP(E471,Table5[Driver],'Race Results'!$E$3:$E$22)*0.5)</f>
        <v>#N/A</v>
      </c>
    </row>
    <row r="472" spans="1:10" x14ac:dyDescent="0.3">
      <c r="A472" s="114" t="s">
        <v>798</v>
      </c>
      <c r="B472" s="115" t="s">
        <v>44</v>
      </c>
      <c r="C472" s="115" t="s">
        <v>225</v>
      </c>
      <c r="D472" s="115" t="s">
        <v>90</v>
      </c>
      <c r="E472" s="115" t="s">
        <v>79</v>
      </c>
      <c r="F472" s="115"/>
      <c r="G472" s="115"/>
      <c r="H472" s="115"/>
      <c r="I472" s="115"/>
      <c r="J472" s="115" t="e" cm="1">
        <f t="array" ref="J472">MAX(_xlfn.XLOOKUP(D472,Table5[Driver],'Race Results'!$E$3:$E$22),_xlfn.XLOOKUP(E472,Table5[Driver],'Race Results'!$E$3:$E$22)*0.5)</f>
        <v>#N/A</v>
      </c>
    </row>
    <row r="473" spans="1:10" x14ac:dyDescent="0.3">
      <c r="A473" s="114" t="s">
        <v>799</v>
      </c>
      <c r="B473" s="115" t="s">
        <v>51</v>
      </c>
      <c r="C473" s="115" t="s">
        <v>225</v>
      </c>
      <c r="D473" s="115" t="s">
        <v>80</v>
      </c>
      <c r="E473" s="115" t="s">
        <v>88</v>
      </c>
      <c r="F473" s="115"/>
      <c r="G473" s="115"/>
      <c r="H473" s="115"/>
      <c r="I473" s="115"/>
      <c r="J473" s="115" t="e" cm="1">
        <f t="array" ref="J473">MAX(_xlfn.XLOOKUP(D473,Table5[Driver],'Race Results'!$E$3:$E$22),_xlfn.XLOOKUP(E473,Table5[Driver],'Race Results'!$E$3:$E$22)*0.5)</f>
        <v>#N/A</v>
      </c>
    </row>
    <row r="474" spans="1:10" x14ac:dyDescent="0.3">
      <c r="A474" s="114" t="s">
        <v>800</v>
      </c>
      <c r="B474" s="115" t="s">
        <v>56</v>
      </c>
      <c r="C474" s="115" t="s">
        <v>225</v>
      </c>
      <c r="D474" s="115" t="s">
        <v>85</v>
      </c>
      <c r="E474" s="115" t="s">
        <v>75</v>
      </c>
      <c r="F474" s="115"/>
      <c r="G474" s="115"/>
      <c r="H474" s="115"/>
      <c r="I474" s="115"/>
      <c r="J474" s="115" t="e" cm="1">
        <f t="array" ref="J474">MAX(_xlfn.XLOOKUP(D474,Table5[Driver],'Race Results'!$E$3:$E$22),_xlfn.XLOOKUP(E474,Table5[Driver],'Race Results'!$E$3:$E$22)*0.5)</f>
        <v>#N/A</v>
      </c>
    </row>
    <row r="475" spans="1:10" x14ac:dyDescent="0.3">
      <c r="A475" s="114" t="s">
        <v>801</v>
      </c>
      <c r="B475" s="115" t="s">
        <v>65</v>
      </c>
      <c r="C475" s="115" t="s">
        <v>225</v>
      </c>
      <c r="D475" s="115" t="s">
        <v>85</v>
      </c>
      <c r="E475" s="115" t="s">
        <v>86</v>
      </c>
      <c r="F475" s="115"/>
      <c r="G475" s="115"/>
      <c r="H475" s="115"/>
      <c r="I475" s="115"/>
      <c r="J475" s="115" t="e" cm="1">
        <f t="array" ref="J475">MAX(_xlfn.XLOOKUP(D475,Table5[Driver],'Race Results'!$E$3:$E$22),_xlfn.XLOOKUP(E475,Table5[Driver],'Race Results'!$E$3:$E$22)*0.5)</f>
        <v>#N/A</v>
      </c>
    </row>
    <row r="476" spans="1:10" x14ac:dyDescent="0.3">
      <c r="A476" s="114" t="s">
        <v>802</v>
      </c>
      <c r="B476" s="115" t="s">
        <v>47</v>
      </c>
      <c r="C476" s="115" t="s">
        <v>225</v>
      </c>
      <c r="D476" s="115" t="s">
        <v>75</v>
      </c>
      <c r="E476" s="115" t="s">
        <v>85</v>
      </c>
      <c r="F476" s="115"/>
      <c r="G476" s="115"/>
      <c r="H476" s="115"/>
      <c r="I476" s="115"/>
      <c r="J476" s="115" t="e" cm="1">
        <f t="array" ref="J476">MAX(_xlfn.XLOOKUP(D476,Table5[Driver],'Race Results'!$E$3:$E$22),_xlfn.XLOOKUP(E476,Table5[Driver],'Race Results'!$E$3:$E$22)*0.5)</f>
        <v>#N/A</v>
      </c>
    </row>
    <row r="477" spans="1:10" x14ac:dyDescent="0.3">
      <c r="A477" s="114" t="s">
        <v>803</v>
      </c>
      <c r="B477" s="115" t="s">
        <v>63</v>
      </c>
      <c r="C477" s="115" t="s">
        <v>225</v>
      </c>
      <c r="D477" s="115" t="s">
        <v>84</v>
      </c>
      <c r="E477" s="115" t="s">
        <v>85</v>
      </c>
      <c r="F477" s="115"/>
      <c r="G477" s="115"/>
      <c r="H477" s="115"/>
      <c r="I477" s="115"/>
      <c r="J477" s="115" t="e" cm="1">
        <f t="array" ref="J477">MAX(_xlfn.XLOOKUP(D477,Table5[Driver],'Race Results'!$E$3:$E$22),_xlfn.XLOOKUP(E477,Table5[Driver],'Race Results'!$E$3:$E$22)*0.5)</f>
        <v>#N/A</v>
      </c>
    </row>
    <row r="478" spans="1:10" x14ac:dyDescent="0.3">
      <c r="A478" s="114" t="s">
        <v>804</v>
      </c>
      <c r="B478" s="115" t="s">
        <v>46</v>
      </c>
      <c r="C478" s="115" t="s">
        <v>225</v>
      </c>
      <c r="D478" s="115" t="s">
        <v>135</v>
      </c>
      <c r="E478" s="115" t="s">
        <v>209</v>
      </c>
      <c r="F478" s="115"/>
      <c r="G478" s="115"/>
      <c r="H478" s="115"/>
      <c r="I478" s="115"/>
      <c r="J478" s="115" t="e" cm="1">
        <f t="array" ref="J478">MAX(_xlfn.XLOOKUP(D478,Table5[Driver],'Race Results'!$E$3:$E$22),_xlfn.XLOOKUP(E478,Table5[Driver],'Race Results'!$E$3:$E$22)*0.5)</f>
        <v>#N/A</v>
      </c>
    </row>
    <row r="479" spans="1:10" x14ac:dyDescent="0.3">
      <c r="A479" s="114" t="s">
        <v>805</v>
      </c>
      <c r="B479" s="115" t="s">
        <v>64</v>
      </c>
      <c r="C479" s="115" t="s">
        <v>225</v>
      </c>
      <c r="D479" s="115" t="s">
        <v>75</v>
      </c>
      <c r="E479" s="115" t="s">
        <v>85</v>
      </c>
      <c r="F479" s="115"/>
      <c r="G479" s="115"/>
      <c r="H479" s="115"/>
      <c r="I479" s="115"/>
      <c r="J479" s="115" t="e" cm="1">
        <f t="array" ref="J479">MAX(_xlfn.XLOOKUP(D479,Table5[Driver],'Race Results'!$E$3:$E$22),_xlfn.XLOOKUP(E479,Table5[Driver],'Race Results'!$E$3:$E$22)*0.5)</f>
        <v>#N/A</v>
      </c>
    </row>
    <row r="480" spans="1:10" x14ac:dyDescent="0.3">
      <c r="A480" s="114" t="s">
        <v>806</v>
      </c>
      <c r="B480" s="115" t="s">
        <v>61</v>
      </c>
      <c r="C480" s="115" t="s">
        <v>225</v>
      </c>
      <c r="D480" s="115" t="s">
        <v>90</v>
      </c>
      <c r="E480" s="115" t="s">
        <v>80</v>
      </c>
      <c r="F480" s="115"/>
      <c r="G480" s="115"/>
      <c r="H480" s="115"/>
      <c r="I480" s="115"/>
      <c r="J480" s="115" t="e" cm="1">
        <f t="array" ref="J480">MAX(_xlfn.XLOOKUP(D480,Table5[Driver],'Race Results'!$E$3:$E$22),_xlfn.XLOOKUP(E480,Table5[Driver],'Race Results'!$E$3:$E$22)*0.5)</f>
        <v>#N/A</v>
      </c>
    </row>
    <row r="481" spans="1:10" x14ac:dyDescent="0.3">
      <c r="A481" s="114" t="s">
        <v>807</v>
      </c>
      <c r="B481" s="115" t="s">
        <v>66</v>
      </c>
      <c r="C481" s="115" t="s">
        <v>225</v>
      </c>
      <c r="D481" s="115" t="s">
        <v>79</v>
      </c>
      <c r="E481" s="115" t="s">
        <v>77</v>
      </c>
      <c r="F481" s="115"/>
      <c r="G481" s="115"/>
      <c r="H481" s="115"/>
      <c r="I481" s="115"/>
      <c r="J481" s="115" t="e" cm="1">
        <f t="array" ref="J481">MAX(_xlfn.XLOOKUP(D481,Table5[Driver],'Race Results'!$E$3:$E$22),_xlfn.XLOOKUP(E481,Table5[Driver],'Race Results'!$E$3:$E$22)*0.5)</f>
        <v>#N/A</v>
      </c>
    </row>
    <row r="482" spans="1:10" x14ac:dyDescent="0.3">
      <c r="A482" s="114" t="s">
        <v>808</v>
      </c>
      <c r="B482" s="115" t="s">
        <v>62</v>
      </c>
      <c r="C482" s="115" t="s">
        <v>225</v>
      </c>
      <c r="D482" s="115" t="s">
        <v>80</v>
      </c>
      <c r="E482" s="115" t="s">
        <v>84</v>
      </c>
      <c r="F482" s="115"/>
      <c r="G482" s="115"/>
      <c r="H482" s="115"/>
      <c r="I482" s="115"/>
      <c r="J482" s="115" t="e" cm="1">
        <f t="array" ref="J482">MAX(_xlfn.XLOOKUP(D482,Table5[Driver],'Race Results'!$E$3:$E$22),_xlfn.XLOOKUP(E482,Table5[Driver],'Race Results'!$E$3:$E$22)*0.5)</f>
        <v>#N/A</v>
      </c>
    </row>
    <row r="483" spans="1:10" x14ac:dyDescent="0.3">
      <c r="A483" s="114" t="s">
        <v>809</v>
      </c>
      <c r="B483" s="115" t="s">
        <v>53</v>
      </c>
      <c r="C483" s="115" t="s">
        <v>225</v>
      </c>
      <c r="D483" s="115" t="s">
        <v>90</v>
      </c>
      <c r="E483" s="115" t="s">
        <v>80</v>
      </c>
      <c r="F483" s="115"/>
      <c r="G483" s="115"/>
      <c r="H483" s="115"/>
      <c r="I483" s="115"/>
      <c r="J483" s="115" t="e" cm="1">
        <f t="array" ref="J483">MAX(_xlfn.XLOOKUP(D483,Table5[Driver],'Race Results'!$E$3:$E$22),_xlfn.XLOOKUP(E483,Table5[Driver],'Race Results'!$E$3:$E$22)*0.5)</f>
        <v>#N/A</v>
      </c>
    </row>
    <row r="484" spans="1:10" x14ac:dyDescent="0.3">
      <c r="A484" s="114" t="s">
        <v>810</v>
      </c>
      <c r="B484" s="115" t="s">
        <v>49</v>
      </c>
      <c r="C484" s="115" t="s">
        <v>225</v>
      </c>
      <c r="D484" s="115" t="s">
        <v>86</v>
      </c>
      <c r="E484" s="115" t="s">
        <v>85</v>
      </c>
      <c r="F484" s="115"/>
      <c r="G484" s="115"/>
      <c r="H484" s="115"/>
      <c r="I484" s="115"/>
      <c r="J484" s="115" t="e" cm="1">
        <f t="array" ref="J484">MAX(_xlfn.XLOOKUP(D484,Table5[Driver],'Race Results'!$E$3:$E$22),_xlfn.XLOOKUP(E484,Table5[Driver],'Race Results'!$E$3:$E$22)*0.5)</f>
        <v>#N/A</v>
      </c>
    </row>
    <row r="485" spans="1:10" x14ac:dyDescent="0.3">
      <c r="A485" s="114" t="s">
        <v>811</v>
      </c>
      <c r="B485" s="115" t="s">
        <v>54</v>
      </c>
      <c r="C485" s="115" t="s">
        <v>225</v>
      </c>
      <c r="D485" s="115" t="s">
        <v>80</v>
      </c>
      <c r="E485" s="115" t="s">
        <v>79</v>
      </c>
      <c r="F485" s="115"/>
      <c r="G485" s="115"/>
      <c r="H485" s="115"/>
      <c r="I485" s="115"/>
      <c r="J485" s="115" t="e" cm="1">
        <f t="array" ref="J485">MAX(_xlfn.XLOOKUP(D485,Table5[Driver],'Race Results'!$E$3:$E$22),_xlfn.XLOOKUP(E485,Table5[Driver],'Race Results'!$E$3:$E$22)*0.5)</f>
        <v>#N/A</v>
      </c>
    </row>
    <row r="486" spans="1:10" x14ac:dyDescent="0.3">
      <c r="A486" s="114" t="s">
        <v>812</v>
      </c>
      <c r="B486" s="115" t="s">
        <v>52</v>
      </c>
      <c r="C486" s="115" t="s">
        <v>225</v>
      </c>
      <c r="D486" s="115" t="s">
        <v>218</v>
      </c>
      <c r="E486" s="115" t="s">
        <v>82</v>
      </c>
      <c r="F486" s="115"/>
      <c r="G486" s="115"/>
      <c r="H486" s="115"/>
      <c r="I486" s="115"/>
      <c r="J486" s="115" t="e" cm="1">
        <f t="array" ref="J486">MAX(_xlfn.XLOOKUP(D486,Table5[Driver],'Race Results'!$E$3:$E$22),_xlfn.XLOOKUP(E486,Table5[Driver],'Race Results'!$E$3:$E$22)*0.5)</f>
        <v>#N/A</v>
      </c>
    </row>
    <row r="487" spans="1:10" x14ac:dyDescent="0.3">
      <c r="A487" s="114" t="s">
        <v>813</v>
      </c>
      <c r="B487" s="115" t="s">
        <v>45</v>
      </c>
      <c r="C487" s="115" t="s">
        <v>225</v>
      </c>
      <c r="D487" s="115" t="s">
        <v>135</v>
      </c>
      <c r="E487" s="115" t="s">
        <v>75</v>
      </c>
      <c r="F487" s="115"/>
      <c r="G487" s="115"/>
      <c r="H487" s="115"/>
      <c r="I487" s="115"/>
      <c r="J487" s="115" t="e" cm="1">
        <f t="array" ref="J487">MAX(_xlfn.XLOOKUP(D487,Table5[Driver],'Race Results'!$E$3:$E$22),_xlfn.XLOOKUP(E487,Table5[Driver],'Race Results'!$E$3:$E$22)*0.5)</f>
        <v>#N/A</v>
      </c>
    </row>
    <row r="488" spans="1:10" x14ac:dyDescent="0.3">
      <c r="A488" s="114" t="s">
        <v>814</v>
      </c>
      <c r="B488" s="115" t="s">
        <v>48</v>
      </c>
      <c r="C488" s="115" t="s">
        <v>225</v>
      </c>
      <c r="D488" s="115" t="s">
        <v>75</v>
      </c>
      <c r="E488" s="115" t="s">
        <v>80</v>
      </c>
      <c r="F488" s="115"/>
      <c r="G488" s="115"/>
      <c r="H488" s="115"/>
      <c r="I488" s="115"/>
      <c r="J488" s="115" t="e" cm="1">
        <f t="array" ref="J488">MAX(_xlfn.XLOOKUP(D488,Table5[Driver],'Race Results'!$E$3:$E$22),_xlfn.XLOOKUP(E488,Table5[Driver],'Race Results'!$E$3:$E$22)*0.5)</f>
        <v>#N/A</v>
      </c>
    </row>
    <row r="489" spans="1:10" x14ac:dyDescent="0.3">
      <c r="A489" s="114" t="s">
        <v>815</v>
      </c>
      <c r="B489" s="115" t="s">
        <v>60</v>
      </c>
      <c r="C489" s="115" t="s">
        <v>225</v>
      </c>
      <c r="D489" s="115" t="s">
        <v>86</v>
      </c>
      <c r="E489" s="115" t="s">
        <v>75</v>
      </c>
      <c r="F489" s="115"/>
      <c r="G489" s="115"/>
      <c r="H489" s="115"/>
      <c r="I489" s="115"/>
      <c r="J489" s="115" t="e" cm="1">
        <f t="array" ref="J489">MAX(_xlfn.XLOOKUP(D489,Table5[Driver],'Race Results'!$E$3:$E$22),_xlfn.XLOOKUP(E489,Table5[Driver],'Race Results'!$E$3:$E$22)*0.5)</f>
        <v>#N/A</v>
      </c>
    </row>
    <row r="490" spans="1:10" x14ac:dyDescent="0.3">
      <c r="A490" s="114" t="s">
        <v>816</v>
      </c>
      <c r="B490" s="115" t="s">
        <v>57</v>
      </c>
      <c r="C490" s="115" t="s">
        <v>225</v>
      </c>
      <c r="D490" s="115" t="s">
        <v>135</v>
      </c>
      <c r="E490" s="115" t="s">
        <v>86</v>
      </c>
      <c r="F490" s="115"/>
      <c r="G490" s="115"/>
      <c r="H490" s="115"/>
      <c r="I490" s="115"/>
      <c r="J490" s="115" t="e" cm="1">
        <f t="array" ref="J490">MAX(_xlfn.XLOOKUP(D490,Table5[Driver],'Race Results'!$E$3:$E$22),_xlfn.XLOOKUP(E490,Table5[Driver],'Race Results'!$E$3:$E$22)*0.5)</f>
        <v>#N/A</v>
      </c>
    </row>
    <row r="491" spans="1:10" x14ac:dyDescent="0.3">
      <c r="A491" s="114" t="s">
        <v>817</v>
      </c>
      <c r="B491" s="115" t="s">
        <v>67</v>
      </c>
      <c r="C491" s="115" t="s">
        <v>225</v>
      </c>
      <c r="D491" s="115" t="s">
        <v>86</v>
      </c>
      <c r="E491" s="115" t="s">
        <v>209</v>
      </c>
      <c r="F491" s="115"/>
      <c r="G491" s="115"/>
      <c r="H491" s="115"/>
      <c r="I491" s="115"/>
      <c r="J491" s="115" t="e" cm="1">
        <f t="array" ref="J491">MAX(_xlfn.XLOOKUP(D491,Table5[Driver],'Race Results'!$E$3:$E$22),_xlfn.XLOOKUP(E491,Table5[Driver],'Race Results'!$E$3:$E$22)*0.5)</f>
        <v>#N/A</v>
      </c>
    </row>
    <row r="492" spans="1:10" x14ac:dyDescent="0.3">
      <c r="A492" s="114" t="s">
        <v>818</v>
      </c>
      <c r="B492" s="115" t="s">
        <v>62</v>
      </c>
      <c r="C492" s="115" t="s">
        <v>229</v>
      </c>
      <c r="D492" s="115" t="s">
        <v>78</v>
      </c>
      <c r="E492" s="115" t="s">
        <v>82</v>
      </c>
      <c r="F492" s="115" t="s">
        <v>57</v>
      </c>
      <c r="G492" s="115" t="s">
        <v>50</v>
      </c>
      <c r="H492" s="115"/>
      <c r="I492" s="115"/>
      <c r="J492" s="115" t="e" cm="1">
        <f t="array" ref="J492">MAX(_xlfn.XLOOKUP(D492,Table5[Driver],'Race Results'!$E$3:$E$22),_xlfn.XLOOKUP(E492,Table5[Driver],'Race Results'!$E$3:$E$22)*0.5)</f>
        <v>#N/A</v>
      </c>
    </row>
    <row r="493" spans="1:10" x14ac:dyDescent="0.3">
      <c r="A493" s="114" t="s">
        <v>819</v>
      </c>
      <c r="B493" s="115" t="s">
        <v>63</v>
      </c>
      <c r="C493" s="115" t="s">
        <v>229</v>
      </c>
      <c r="D493" s="115" t="s">
        <v>75</v>
      </c>
      <c r="E493" s="115" t="s">
        <v>77</v>
      </c>
      <c r="F493" s="115" t="s">
        <v>44</v>
      </c>
      <c r="G493" s="115" t="s">
        <v>57</v>
      </c>
      <c r="H493" s="115"/>
      <c r="I493" s="115"/>
      <c r="J493" s="115" t="e" cm="1">
        <f t="array" ref="J493">MAX(_xlfn.XLOOKUP(D493,Table5[Driver],'Race Results'!$E$3:$E$22),_xlfn.XLOOKUP(E493,Table5[Driver],'Race Results'!$E$3:$E$22)*0.5)</f>
        <v>#N/A</v>
      </c>
    </row>
    <row r="494" spans="1:10" x14ac:dyDescent="0.3">
      <c r="A494" s="114" t="s">
        <v>820</v>
      </c>
      <c r="B494" s="115" t="s">
        <v>50</v>
      </c>
      <c r="C494" s="115" t="s">
        <v>229</v>
      </c>
      <c r="D494" s="115" t="s">
        <v>77</v>
      </c>
      <c r="E494" s="115" t="s">
        <v>75</v>
      </c>
      <c r="F494" s="115" t="s">
        <v>57</v>
      </c>
      <c r="G494" s="115" t="s">
        <v>68</v>
      </c>
      <c r="H494" s="115"/>
      <c r="I494" s="115"/>
      <c r="J494" s="115" t="e" cm="1">
        <f t="array" ref="J494">MAX(_xlfn.XLOOKUP(D494,Table5[Driver],'Race Results'!$E$3:$E$22),_xlfn.XLOOKUP(E494,Table5[Driver],'Race Results'!$E$3:$E$22)*0.5)</f>
        <v>#N/A</v>
      </c>
    </row>
    <row r="495" spans="1:10" x14ac:dyDescent="0.3">
      <c r="A495" s="114" t="s">
        <v>821</v>
      </c>
      <c r="B495" s="115" t="s">
        <v>69</v>
      </c>
      <c r="C495" s="115" t="s">
        <v>229</v>
      </c>
      <c r="D495" s="115" t="s">
        <v>85</v>
      </c>
      <c r="E495" s="115" t="s">
        <v>90</v>
      </c>
      <c r="F495" s="115" t="s">
        <v>68</v>
      </c>
      <c r="G495" s="115" t="s">
        <v>52</v>
      </c>
      <c r="H495" s="115"/>
      <c r="I495" s="115"/>
      <c r="J495" s="115" t="e" cm="1">
        <f t="array" ref="J495">MAX(_xlfn.XLOOKUP(D495,Table5[Driver],'Race Results'!$E$3:$E$22),_xlfn.XLOOKUP(E495,Table5[Driver],'Race Results'!$E$3:$E$22)*0.5)</f>
        <v>#N/A</v>
      </c>
    </row>
    <row r="496" spans="1:10" x14ac:dyDescent="0.3">
      <c r="A496" s="114" t="s">
        <v>822</v>
      </c>
      <c r="B496" s="115" t="s">
        <v>65</v>
      </c>
      <c r="C496" s="115" t="s">
        <v>229</v>
      </c>
      <c r="D496" s="115" t="s">
        <v>85</v>
      </c>
      <c r="E496" s="115" t="s">
        <v>82</v>
      </c>
      <c r="F496" s="115" t="s">
        <v>57</v>
      </c>
      <c r="G496" s="115" t="s">
        <v>67</v>
      </c>
      <c r="H496" s="115" t="s">
        <v>823</v>
      </c>
      <c r="I496" s="115"/>
      <c r="J496" s="115" t="e" cm="1">
        <f t="array" ref="J496">MAX(_xlfn.XLOOKUP(D496,Table5[Driver],'Race Results'!$E$3:$E$22),_xlfn.XLOOKUP(E496,Table5[Driver],'Race Results'!$E$3:$E$22)*0.5)</f>
        <v>#N/A</v>
      </c>
    </row>
    <row r="497" spans="1:10" x14ac:dyDescent="0.3">
      <c r="A497" s="114" t="s">
        <v>824</v>
      </c>
      <c r="B497" s="115" t="s">
        <v>51</v>
      </c>
      <c r="C497" s="115" t="s">
        <v>229</v>
      </c>
      <c r="D497" s="115" t="s">
        <v>85</v>
      </c>
      <c r="E497" s="115" t="s">
        <v>77</v>
      </c>
      <c r="F497" s="115" t="s">
        <v>68</v>
      </c>
      <c r="G497" s="115" t="s">
        <v>68</v>
      </c>
      <c r="H497" s="115"/>
      <c r="I497" s="115"/>
      <c r="J497" s="115" t="e" cm="1">
        <f t="array" ref="J497">MAX(_xlfn.XLOOKUP(D497,Table5[Driver],'Race Results'!$E$3:$E$22),_xlfn.XLOOKUP(E497,Table5[Driver],'Race Results'!$E$3:$E$22)*0.5)</f>
        <v>#N/A</v>
      </c>
    </row>
    <row r="498" spans="1:10" x14ac:dyDescent="0.3">
      <c r="A498" s="114" t="s">
        <v>825</v>
      </c>
      <c r="B498" s="115" t="s">
        <v>68</v>
      </c>
      <c r="C498" s="115" t="s">
        <v>229</v>
      </c>
      <c r="D498" s="115" t="s">
        <v>79</v>
      </c>
      <c r="E498" s="115" t="s">
        <v>85</v>
      </c>
      <c r="F498" s="115" t="s">
        <v>68</v>
      </c>
      <c r="G498" s="115" t="s">
        <v>68</v>
      </c>
      <c r="H498" s="115" t="s">
        <v>68</v>
      </c>
      <c r="I498" s="115"/>
      <c r="J498" s="115" t="e" cm="1">
        <f t="array" ref="J498">MAX(_xlfn.XLOOKUP(D498,Table5[Driver],'Race Results'!$E$3:$E$22),_xlfn.XLOOKUP(E498,Table5[Driver],'Race Results'!$E$3:$E$22)*0.5)</f>
        <v>#N/A</v>
      </c>
    </row>
    <row r="499" spans="1:10" x14ac:dyDescent="0.3">
      <c r="A499" s="114" t="s">
        <v>826</v>
      </c>
      <c r="B499" s="115" t="s">
        <v>47</v>
      </c>
      <c r="C499" s="115" t="s">
        <v>229</v>
      </c>
      <c r="D499" s="115" t="s">
        <v>218</v>
      </c>
      <c r="E499" s="115" t="s">
        <v>85</v>
      </c>
      <c r="F499" s="115" t="s">
        <v>67</v>
      </c>
      <c r="G499" s="115" t="s">
        <v>44</v>
      </c>
      <c r="H499" s="115" t="s">
        <v>827</v>
      </c>
      <c r="I499" s="115"/>
      <c r="J499" s="115" t="e" cm="1">
        <f t="array" ref="J499">MAX(_xlfn.XLOOKUP(D499,Table5[Driver],'Race Results'!$E$3:$E$22),_xlfn.XLOOKUP(E499,Table5[Driver],'Race Results'!$E$3:$E$22)*0.5)</f>
        <v>#N/A</v>
      </c>
    </row>
    <row r="500" spans="1:10" x14ac:dyDescent="0.3">
      <c r="A500" s="114" t="s">
        <v>828</v>
      </c>
      <c r="B500" s="115" t="s">
        <v>59</v>
      </c>
      <c r="C500" s="115" t="s">
        <v>229</v>
      </c>
      <c r="D500" s="115" t="s">
        <v>82</v>
      </c>
      <c r="E500" s="115" t="s">
        <v>218</v>
      </c>
      <c r="F500" s="115" t="s">
        <v>67</v>
      </c>
      <c r="G500" s="115" t="s">
        <v>68</v>
      </c>
      <c r="H500" s="115"/>
      <c r="I500" s="115"/>
      <c r="J500" s="115" t="e" cm="1">
        <f t="array" ref="J500">MAX(_xlfn.XLOOKUP(D500,Table5[Driver],'Race Results'!$E$3:$E$22),_xlfn.XLOOKUP(E500,Table5[Driver],'Race Results'!$E$3:$E$22)*0.5)</f>
        <v>#N/A</v>
      </c>
    </row>
    <row r="501" spans="1:10" x14ac:dyDescent="0.3">
      <c r="A501" s="114" t="s">
        <v>829</v>
      </c>
      <c r="B501" s="115" t="s">
        <v>64</v>
      </c>
      <c r="C501" s="115" t="s">
        <v>229</v>
      </c>
      <c r="D501" s="115" t="s">
        <v>75</v>
      </c>
      <c r="E501" s="115" t="s">
        <v>85</v>
      </c>
      <c r="F501" s="115" t="s">
        <v>67</v>
      </c>
      <c r="G501" s="115" t="s">
        <v>68</v>
      </c>
      <c r="H501" s="115" t="s">
        <v>830</v>
      </c>
      <c r="I501" s="115"/>
      <c r="J501" s="115" t="e" cm="1">
        <f t="array" ref="J501">MAX(_xlfn.XLOOKUP(D501,Table5[Driver],'Race Results'!$E$3:$E$22),_xlfn.XLOOKUP(E501,Table5[Driver],'Race Results'!$E$3:$E$22)*0.5)</f>
        <v>#N/A</v>
      </c>
    </row>
    <row r="502" spans="1:10" x14ac:dyDescent="0.3">
      <c r="A502" s="114" t="s">
        <v>831</v>
      </c>
      <c r="B502" s="115" t="s">
        <v>44</v>
      </c>
      <c r="C502" s="115" t="s">
        <v>229</v>
      </c>
      <c r="D502" s="115" t="s">
        <v>77</v>
      </c>
      <c r="E502" s="115" t="s">
        <v>79</v>
      </c>
      <c r="F502" s="115" t="s">
        <v>68</v>
      </c>
      <c r="G502" s="115" t="s">
        <v>46</v>
      </c>
      <c r="H502" s="115" t="s">
        <v>832</v>
      </c>
      <c r="I502" s="115"/>
      <c r="J502" s="115" t="e" cm="1">
        <f t="array" ref="J502">MAX(_xlfn.XLOOKUP(D502,Table5[Driver],'Race Results'!$E$3:$E$22),_xlfn.XLOOKUP(E502,Table5[Driver],'Race Results'!$E$3:$E$22)*0.5)</f>
        <v>#N/A</v>
      </c>
    </row>
    <row r="503" spans="1:10" x14ac:dyDescent="0.3">
      <c r="A503" s="114" t="s">
        <v>833</v>
      </c>
      <c r="B503" s="115" t="s">
        <v>54</v>
      </c>
      <c r="C503" s="115" t="s">
        <v>229</v>
      </c>
      <c r="D503" s="115" t="s">
        <v>82</v>
      </c>
      <c r="E503" s="115" t="s">
        <v>77</v>
      </c>
      <c r="F503" s="115" t="s">
        <v>44</v>
      </c>
      <c r="G503" s="115" t="s">
        <v>67</v>
      </c>
      <c r="H503" s="115"/>
      <c r="I503" s="115"/>
      <c r="J503" s="115" t="e" cm="1">
        <f t="array" ref="J503">MAX(_xlfn.XLOOKUP(D503,Table5[Driver],'Race Results'!$E$3:$E$22),_xlfn.XLOOKUP(E503,Table5[Driver],'Race Results'!$E$3:$E$22)*0.5)</f>
        <v>#N/A</v>
      </c>
    </row>
    <row r="504" spans="1:10" x14ac:dyDescent="0.3">
      <c r="A504" s="114" t="s">
        <v>834</v>
      </c>
      <c r="B504" s="115" t="s">
        <v>49</v>
      </c>
      <c r="C504" s="115" t="s">
        <v>229</v>
      </c>
      <c r="D504" s="115" t="s">
        <v>218</v>
      </c>
      <c r="E504" s="115" t="s">
        <v>82</v>
      </c>
      <c r="F504" s="115" t="s">
        <v>46</v>
      </c>
      <c r="G504" s="115" t="s">
        <v>61</v>
      </c>
      <c r="H504" s="115"/>
      <c r="I504" s="115"/>
      <c r="J504" s="115" t="e" cm="1">
        <f t="array" ref="J504">MAX(_xlfn.XLOOKUP(D504,Table5[Driver],'Race Results'!$E$3:$E$22),_xlfn.XLOOKUP(E504,Table5[Driver],'Race Results'!$E$3:$E$22)*0.5)</f>
        <v>#N/A</v>
      </c>
    </row>
    <row r="505" spans="1:10" x14ac:dyDescent="0.3">
      <c r="A505" s="114" t="s">
        <v>835</v>
      </c>
      <c r="B505" s="115" t="s">
        <v>66</v>
      </c>
      <c r="C505" s="115" t="s">
        <v>229</v>
      </c>
      <c r="D505" s="115" t="s">
        <v>77</v>
      </c>
      <c r="E505" s="115" t="s">
        <v>79</v>
      </c>
      <c r="F505" s="115" t="s">
        <v>67</v>
      </c>
      <c r="G505" s="115" t="s">
        <v>67</v>
      </c>
      <c r="H505" s="115" t="s">
        <v>836</v>
      </c>
      <c r="I505" s="115"/>
      <c r="J505" s="115" t="e" cm="1">
        <f t="array" ref="J505">MAX(_xlfn.XLOOKUP(D505,Table5[Driver],'Race Results'!$E$3:$E$22),_xlfn.XLOOKUP(E505,Table5[Driver],'Race Results'!$E$3:$E$22)*0.5)</f>
        <v>#N/A</v>
      </c>
    </row>
    <row r="506" spans="1:10" x14ac:dyDescent="0.3">
      <c r="A506" s="114" t="s">
        <v>837</v>
      </c>
      <c r="B506" s="115" t="s">
        <v>45</v>
      </c>
      <c r="C506" s="115" t="s">
        <v>229</v>
      </c>
      <c r="D506" s="115" t="s">
        <v>218</v>
      </c>
      <c r="E506" s="115" t="s">
        <v>75</v>
      </c>
      <c r="F506" s="115" t="s">
        <v>44</v>
      </c>
      <c r="G506" s="115" t="s">
        <v>68</v>
      </c>
      <c r="H506" s="115"/>
      <c r="I506" s="115"/>
      <c r="J506" s="115" t="e" cm="1">
        <f t="array" ref="J506">MAX(_xlfn.XLOOKUP(D506,Table5[Driver],'Race Results'!$E$3:$E$22),_xlfn.XLOOKUP(E506,Table5[Driver],'Race Results'!$E$3:$E$22)*0.5)</f>
        <v>#N/A</v>
      </c>
    </row>
    <row r="507" spans="1:10" x14ac:dyDescent="0.3">
      <c r="A507" s="114" t="s">
        <v>838</v>
      </c>
      <c r="B507" s="115" t="s">
        <v>48</v>
      </c>
      <c r="C507" s="115" t="s">
        <v>229</v>
      </c>
      <c r="D507" s="115" t="s">
        <v>218</v>
      </c>
      <c r="E507" s="115" t="s">
        <v>77</v>
      </c>
      <c r="F507" s="115" t="s">
        <v>44</v>
      </c>
      <c r="G507" s="115" t="s">
        <v>68</v>
      </c>
      <c r="H507" s="115" t="s">
        <v>839</v>
      </c>
      <c r="I507" s="115"/>
      <c r="J507" s="115" t="e" cm="1">
        <f t="array" ref="J507">MAX(_xlfn.XLOOKUP(D507,Table5[Driver],'Race Results'!$E$3:$E$22),_xlfn.XLOOKUP(E507,Table5[Driver],'Race Results'!$E$3:$E$22)*0.5)</f>
        <v>#N/A</v>
      </c>
    </row>
    <row r="508" spans="1:10" x14ac:dyDescent="0.3">
      <c r="A508" s="114" t="s">
        <v>840</v>
      </c>
      <c r="B508" s="115" t="s">
        <v>60</v>
      </c>
      <c r="C508" s="115" t="s">
        <v>229</v>
      </c>
      <c r="D508" s="115" t="s">
        <v>218</v>
      </c>
      <c r="E508" s="115" t="s">
        <v>85</v>
      </c>
      <c r="F508" s="115" t="s">
        <v>68</v>
      </c>
      <c r="G508" s="115" t="s">
        <v>68</v>
      </c>
      <c r="H508" s="115" t="s">
        <v>841</v>
      </c>
      <c r="I508" s="115"/>
      <c r="J508" s="115" t="e" cm="1">
        <f t="array" ref="J508">MAX(_xlfn.XLOOKUP(D508,Table5[Driver],'Race Results'!$E$3:$E$22),_xlfn.XLOOKUP(E508,Table5[Driver],'Race Results'!$E$3:$E$22)*0.5)</f>
        <v>#N/A</v>
      </c>
    </row>
    <row r="509" spans="1:10" x14ac:dyDescent="0.3">
      <c r="A509" s="114" t="s">
        <v>842</v>
      </c>
      <c r="B509" s="115" t="s">
        <v>55</v>
      </c>
      <c r="C509" s="115" t="s">
        <v>229</v>
      </c>
      <c r="D509" s="115" t="s">
        <v>85</v>
      </c>
      <c r="E509" s="115" t="s">
        <v>218</v>
      </c>
      <c r="F509" s="115" t="s">
        <v>68</v>
      </c>
      <c r="G509" s="115" t="s">
        <v>57</v>
      </c>
      <c r="H509" s="115"/>
      <c r="I509" s="115"/>
      <c r="J509" s="115" t="e" cm="1">
        <f t="array" ref="J509">MAX(_xlfn.XLOOKUP(D509,Table5[Driver],'Race Results'!$E$3:$E$22),_xlfn.XLOOKUP(E509,Table5[Driver],'Race Results'!$E$3:$E$22)*0.5)</f>
        <v>#N/A</v>
      </c>
    </row>
    <row r="510" spans="1:10" x14ac:dyDescent="0.3">
      <c r="A510" s="114" t="s">
        <v>843</v>
      </c>
      <c r="B510" s="115" t="s">
        <v>56</v>
      </c>
      <c r="C510" s="115" t="s">
        <v>229</v>
      </c>
      <c r="D510" s="115" t="s">
        <v>218</v>
      </c>
      <c r="E510" s="115" t="s">
        <v>85</v>
      </c>
      <c r="F510" s="115" t="s">
        <v>67</v>
      </c>
      <c r="G510" s="115" t="s">
        <v>67</v>
      </c>
      <c r="H510" s="115"/>
      <c r="I510" s="115"/>
      <c r="J510" s="115" t="e" cm="1">
        <f t="array" ref="J510">MAX(_xlfn.XLOOKUP(D510,Table5[Driver],'Race Results'!$E$3:$E$22),_xlfn.XLOOKUP(E510,Table5[Driver],'Race Results'!$E$3:$E$22)*0.5)</f>
        <v>#N/A</v>
      </c>
    </row>
    <row r="511" spans="1:10" x14ac:dyDescent="0.3">
      <c r="A511" s="114" t="s">
        <v>844</v>
      </c>
      <c r="B511" s="115" t="s">
        <v>67</v>
      </c>
      <c r="C511" s="115" t="s">
        <v>229</v>
      </c>
      <c r="D511" s="115" t="s">
        <v>218</v>
      </c>
      <c r="E511" s="115" t="s">
        <v>85</v>
      </c>
      <c r="F511" s="115" t="s">
        <v>44</v>
      </c>
      <c r="G511" s="115" t="s">
        <v>68</v>
      </c>
      <c r="H511" s="115"/>
      <c r="I511" s="115"/>
      <c r="J511" s="115" t="e" cm="1">
        <f t="array" ref="J511">MAX(_xlfn.XLOOKUP(D511,Table5[Driver],'Race Results'!$E$3:$E$22),_xlfn.XLOOKUP(E511,Table5[Driver],'Race Results'!$E$3:$E$22)*0.5)</f>
        <v>#N/A</v>
      </c>
    </row>
    <row r="512" spans="1:10" x14ac:dyDescent="0.3">
      <c r="A512" s="114" t="s">
        <v>845</v>
      </c>
      <c r="B512" s="115" t="s">
        <v>46</v>
      </c>
      <c r="C512" s="115" t="s">
        <v>229</v>
      </c>
      <c r="D512" s="115" t="s">
        <v>85</v>
      </c>
      <c r="E512" s="115" t="s">
        <v>77</v>
      </c>
      <c r="F512" s="115" t="s">
        <v>44</v>
      </c>
      <c r="G512" s="115" t="s">
        <v>57</v>
      </c>
      <c r="H512" s="115"/>
      <c r="I512" s="115"/>
      <c r="J512" s="115" t="e" cm="1">
        <f t="array" ref="J512">MAX(_xlfn.XLOOKUP(D512,Table5[Driver],'Race Results'!$E$3:$E$22),_xlfn.XLOOKUP(E512,Table5[Driver],'Race Results'!$E$3:$E$22)*0.5)</f>
        <v>#N/A</v>
      </c>
    </row>
    <row r="513" spans="1:10" x14ac:dyDescent="0.3">
      <c r="A513" s="114" t="s">
        <v>846</v>
      </c>
      <c r="B513" s="115" t="s">
        <v>53</v>
      </c>
      <c r="C513" s="115" t="s">
        <v>229</v>
      </c>
      <c r="D513" s="115" t="s">
        <v>218</v>
      </c>
      <c r="E513" s="115" t="s">
        <v>85</v>
      </c>
      <c r="F513" s="115" t="s">
        <v>62</v>
      </c>
      <c r="G513" s="115" t="s">
        <v>68</v>
      </c>
      <c r="H513" s="115" t="s">
        <v>847</v>
      </c>
      <c r="I513" s="115"/>
      <c r="J513" s="115" t="e" cm="1">
        <f t="array" ref="J513">MAX(_xlfn.XLOOKUP(D513,Table5[Driver],'Race Results'!$E$3:$E$22),_xlfn.XLOOKUP(E513,Table5[Driver],'Race Results'!$E$3:$E$22)*0.5)</f>
        <v>#N/A</v>
      </c>
    </row>
    <row r="514" spans="1:10" x14ac:dyDescent="0.3">
      <c r="A514" s="114" t="s">
        <v>848</v>
      </c>
      <c r="B514" s="115" t="s">
        <v>57</v>
      </c>
      <c r="C514" s="115" t="s">
        <v>229</v>
      </c>
      <c r="D514" s="115" t="s">
        <v>218</v>
      </c>
      <c r="E514" s="115" t="s">
        <v>77</v>
      </c>
      <c r="F514" s="115" t="s">
        <v>67</v>
      </c>
      <c r="G514" s="115" t="s">
        <v>68</v>
      </c>
      <c r="H514" s="115"/>
      <c r="I514" s="115"/>
      <c r="J514" s="115" t="e" cm="1">
        <f t="array" ref="J514">MAX(_xlfn.XLOOKUP(D514,Table5[Driver],'Race Results'!$E$3:$E$22),_xlfn.XLOOKUP(E514,Table5[Driver],'Race Results'!$E$3:$E$22)*0.5)</f>
        <v>#N/A</v>
      </c>
    </row>
    <row r="515" spans="1:10" x14ac:dyDescent="0.3">
      <c r="A515" s="114" t="s">
        <v>849</v>
      </c>
      <c r="B515" s="115" t="s">
        <v>52</v>
      </c>
      <c r="C515" s="115" t="s">
        <v>229</v>
      </c>
      <c r="D515" s="115" t="s">
        <v>84</v>
      </c>
      <c r="E515" s="115" t="s">
        <v>77</v>
      </c>
      <c r="F515" s="115" t="s">
        <v>68</v>
      </c>
      <c r="G515" s="115" t="s">
        <v>67</v>
      </c>
      <c r="H515" s="115"/>
      <c r="I515" s="115"/>
      <c r="J515" s="115" t="e" cm="1">
        <f t="array" ref="J515">MAX(_xlfn.XLOOKUP(D515,Table5[Driver],'Race Results'!$E$3:$E$22),_xlfn.XLOOKUP(E515,Table5[Driver],'Race Results'!$E$3:$E$22)*0.5)</f>
        <v>#N/A</v>
      </c>
    </row>
    <row r="516" spans="1:10" x14ac:dyDescent="0.3">
      <c r="J516" s="74"/>
    </row>
    <row r="517" spans="1:10" x14ac:dyDescent="0.3">
      <c r="J517" s="74"/>
    </row>
    <row r="518" spans="1:10" x14ac:dyDescent="0.3">
      <c r="J518" s="74"/>
    </row>
    <row r="519" spans="1:10" x14ac:dyDescent="0.3">
      <c r="J519" s="74"/>
    </row>
    <row r="520" spans="1:10" x14ac:dyDescent="0.3">
      <c r="J520" s="74"/>
    </row>
    <row r="521" spans="1:10" x14ac:dyDescent="0.3">
      <c r="J521" s="74"/>
    </row>
    <row r="522" spans="1:10" x14ac:dyDescent="0.3">
      <c r="J522" s="74"/>
    </row>
    <row r="523" spans="1:10" x14ac:dyDescent="0.3">
      <c r="J523" s="74"/>
    </row>
    <row r="524" spans="1:10" x14ac:dyDescent="0.3">
      <c r="J524" s="74"/>
    </row>
    <row r="525" spans="1:10" x14ac:dyDescent="0.3">
      <c r="J525" s="74"/>
    </row>
    <row r="526" spans="1:10" x14ac:dyDescent="0.3">
      <c r="J526" s="74"/>
    </row>
    <row r="527" spans="1:10" x14ac:dyDescent="0.3">
      <c r="J527" s="74"/>
    </row>
    <row r="528" spans="1:10" x14ac:dyDescent="0.3">
      <c r="J528" s="74"/>
    </row>
    <row r="529" spans="10:10" x14ac:dyDescent="0.3">
      <c r="J529" s="74"/>
    </row>
    <row r="530" spans="10:10" x14ac:dyDescent="0.3">
      <c r="J530" s="74"/>
    </row>
    <row r="531" spans="10:10" x14ac:dyDescent="0.3">
      <c r="J531" s="74"/>
    </row>
    <row r="532" spans="10:10" x14ac:dyDescent="0.3">
      <c r="J532" s="74"/>
    </row>
    <row r="533" spans="10:10" x14ac:dyDescent="0.3">
      <c r="J533" s="74"/>
    </row>
    <row r="534" spans="10:10" x14ac:dyDescent="0.3">
      <c r="J534" s="74"/>
    </row>
    <row r="535" spans="10:10" x14ac:dyDescent="0.3">
      <c r="J535" s="74"/>
    </row>
    <row r="536" spans="10:10" x14ac:dyDescent="0.3">
      <c r="J536" s="74"/>
    </row>
    <row r="537" spans="10:10" x14ac:dyDescent="0.3">
      <c r="J537" s="74"/>
    </row>
    <row r="538" spans="10:10" x14ac:dyDescent="0.3">
      <c r="J538" s="74"/>
    </row>
    <row r="539" spans="10:10" x14ac:dyDescent="0.3">
      <c r="J539" s="74"/>
    </row>
    <row r="540" spans="10:10" x14ac:dyDescent="0.3">
      <c r="J540" s="74"/>
    </row>
    <row r="541" spans="10:10" x14ac:dyDescent="0.3">
      <c r="J541" s="74"/>
    </row>
    <row r="542" spans="10:10" x14ac:dyDescent="0.3">
      <c r="J542" s="74"/>
    </row>
    <row r="543" spans="10:10" x14ac:dyDescent="0.3">
      <c r="J543" s="74"/>
    </row>
    <row r="544" spans="10:10" x14ac:dyDescent="0.3">
      <c r="J544" s="74"/>
    </row>
    <row r="545" spans="10:10" x14ac:dyDescent="0.3">
      <c r="J545" s="74"/>
    </row>
    <row r="546" spans="10:10" x14ac:dyDescent="0.3">
      <c r="J546" s="74"/>
    </row>
    <row r="547" spans="10:10" x14ac:dyDescent="0.3">
      <c r="J547" s="74"/>
    </row>
    <row r="548" spans="10:10" x14ac:dyDescent="0.3">
      <c r="J548" s="74"/>
    </row>
    <row r="549" spans="10:10" x14ac:dyDescent="0.3">
      <c r="J549" s="74"/>
    </row>
    <row r="550" spans="10:10" x14ac:dyDescent="0.3">
      <c r="J550" s="74"/>
    </row>
    <row r="551" spans="10:10" x14ac:dyDescent="0.3">
      <c r="J551" s="74"/>
    </row>
    <row r="552" spans="10:10" x14ac:dyDescent="0.3">
      <c r="J552" s="74"/>
    </row>
    <row r="553" spans="10:10" x14ac:dyDescent="0.3">
      <c r="J553" s="74"/>
    </row>
    <row r="554" spans="10:10" x14ac:dyDescent="0.3">
      <c r="J554" s="74"/>
    </row>
    <row r="555" spans="10:10" x14ac:dyDescent="0.3">
      <c r="J555" s="74"/>
    </row>
    <row r="556" spans="10:10" x14ac:dyDescent="0.3">
      <c r="J556" s="74"/>
    </row>
    <row r="557" spans="10:10" x14ac:dyDescent="0.3">
      <c r="J557" s="74"/>
    </row>
    <row r="558" spans="10:10" x14ac:dyDescent="0.3">
      <c r="J558" s="74"/>
    </row>
    <row r="559" spans="10:10" x14ac:dyDescent="0.3">
      <c r="J559" s="74"/>
    </row>
    <row r="560" spans="10:10" x14ac:dyDescent="0.3">
      <c r="J560" s="74"/>
    </row>
    <row r="561" spans="10:10" x14ac:dyDescent="0.3">
      <c r="J561" s="74"/>
    </row>
    <row r="562" spans="10:10" x14ac:dyDescent="0.3">
      <c r="J562" s="74"/>
    </row>
    <row r="563" spans="10:10" x14ac:dyDescent="0.3">
      <c r="J563" s="74"/>
    </row>
    <row r="564" spans="10:10" x14ac:dyDescent="0.3">
      <c r="J564" s="74"/>
    </row>
    <row r="565" spans="10:10" x14ac:dyDescent="0.3">
      <c r="J565" s="74"/>
    </row>
    <row r="566" spans="10:10" x14ac:dyDescent="0.3">
      <c r="J566" s="74"/>
    </row>
    <row r="567" spans="10:10" x14ac:dyDescent="0.3">
      <c r="J567" s="74"/>
    </row>
    <row r="568" spans="10:10" x14ac:dyDescent="0.3">
      <c r="J568" s="74"/>
    </row>
    <row r="569" spans="10:10" x14ac:dyDescent="0.3">
      <c r="J569" s="74"/>
    </row>
    <row r="570" spans="10:10" x14ac:dyDescent="0.3">
      <c r="J570" s="74"/>
    </row>
    <row r="571" spans="10:10" x14ac:dyDescent="0.3">
      <c r="J571" s="74"/>
    </row>
    <row r="572" spans="10:10" x14ac:dyDescent="0.3">
      <c r="J572" s="74"/>
    </row>
    <row r="573" spans="10:10" x14ac:dyDescent="0.3">
      <c r="J573" s="74"/>
    </row>
    <row r="574" spans="10:10" x14ac:dyDescent="0.3">
      <c r="J574" s="74"/>
    </row>
    <row r="575" spans="10:10" x14ac:dyDescent="0.3">
      <c r="J575" s="74"/>
    </row>
    <row r="576" spans="10:10" x14ac:dyDescent="0.3">
      <c r="J576" s="74"/>
    </row>
    <row r="577" spans="10:10" x14ac:dyDescent="0.3">
      <c r="J577" s="74"/>
    </row>
    <row r="578" spans="10:10" x14ac:dyDescent="0.3">
      <c r="J578" s="74"/>
    </row>
    <row r="579" spans="10:10" x14ac:dyDescent="0.3">
      <c r="J579" s="74"/>
    </row>
    <row r="580" spans="10:10" x14ac:dyDescent="0.3">
      <c r="J580" s="74"/>
    </row>
    <row r="581" spans="10:10" x14ac:dyDescent="0.3">
      <c r="J581" s="74"/>
    </row>
    <row r="582" spans="10:10" x14ac:dyDescent="0.3">
      <c r="J582" s="74"/>
    </row>
    <row r="583" spans="10:10" x14ac:dyDescent="0.3">
      <c r="J583" s="74"/>
    </row>
    <row r="584" spans="10:10" x14ac:dyDescent="0.3">
      <c r="J584" s="74"/>
    </row>
    <row r="585" spans="10:10" x14ac:dyDescent="0.3">
      <c r="J585" s="74"/>
    </row>
    <row r="586" spans="10:10" x14ac:dyDescent="0.3">
      <c r="J586" s="74"/>
    </row>
    <row r="587" spans="10:10" x14ac:dyDescent="0.3">
      <c r="J587" s="74"/>
    </row>
    <row r="588" spans="10:10" x14ac:dyDescent="0.3">
      <c r="J588" s="74"/>
    </row>
    <row r="589" spans="10:10" x14ac:dyDescent="0.3">
      <c r="J589" s="74"/>
    </row>
    <row r="590" spans="10:10" x14ac:dyDescent="0.3">
      <c r="J590" s="74"/>
    </row>
    <row r="591" spans="10:10" x14ac:dyDescent="0.3">
      <c r="J591" s="74"/>
    </row>
    <row r="592" spans="10:10" x14ac:dyDescent="0.3">
      <c r="J592" s="74"/>
    </row>
    <row r="593" spans="10:10" x14ac:dyDescent="0.3">
      <c r="J593" s="74"/>
    </row>
    <row r="594" spans="10:10" x14ac:dyDescent="0.3">
      <c r="J594" s="74"/>
    </row>
    <row r="595" spans="10:10" x14ac:dyDescent="0.3">
      <c r="J595" s="74"/>
    </row>
    <row r="596" spans="10:10" x14ac:dyDescent="0.3">
      <c r="J596" s="74"/>
    </row>
    <row r="597" spans="10:10" x14ac:dyDescent="0.3">
      <c r="J597" s="74"/>
    </row>
    <row r="598" spans="10:10" x14ac:dyDescent="0.3">
      <c r="J598" s="74"/>
    </row>
    <row r="599" spans="10:10" x14ac:dyDescent="0.3">
      <c r="J599" s="74"/>
    </row>
    <row r="600" spans="10:10" x14ac:dyDescent="0.3">
      <c r="J600" s="74"/>
    </row>
    <row r="601" spans="10:10" x14ac:dyDescent="0.3">
      <c r="J601" s="74"/>
    </row>
    <row r="602" spans="10:10" x14ac:dyDescent="0.3">
      <c r="J602" s="74"/>
    </row>
    <row r="603" spans="10:10" x14ac:dyDescent="0.3">
      <c r="J603" s="74"/>
    </row>
    <row r="604" spans="10:10" x14ac:dyDescent="0.3">
      <c r="J604" s="74"/>
    </row>
    <row r="605" spans="10:10" x14ac:dyDescent="0.3">
      <c r="J605" s="74"/>
    </row>
    <row r="606" spans="10:10" x14ac:dyDescent="0.3">
      <c r="J606" s="74"/>
    </row>
    <row r="607" spans="10:10" x14ac:dyDescent="0.3">
      <c r="J607" s="74"/>
    </row>
    <row r="608" spans="10:10" x14ac:dyDescent="0.3">
      <c r="J608" s="74"/>
    </row>
    <row r="609" spans="10:10" x14ac:dyDescent="0.3">
      <c r="J609" s="74"/>
    </row>
    <row r="610" spans="10:10" x14ac:dyDescent="0.3">
      <c r="J610" s="74"/>
    </row>
    <row r="611" spans="10:10" x14ac:dyDescent="0.3">
      <c r="J611" s="74"/>
    </row>
    <row r="612" spans="10:10" x14ac:dyDescent="0.3">
      <c r="J612" s="74"/>
    </row>
    <row r="613" spans="10:10" x14ac:dyDescent="0.3">
      <c r="J613" s="74"/>
    </row>
    <row r="614" spans="10:10" x14ac:dyDescent="0.3">
      <c r="J614" s="74"/>
    </row>
    <row r="615" spans="10:10" x14ac:dyDescent="0.3">
      <c r="J615" s="74"/>
    </row>
    <row r="616" spans="10:10" x14ac:dyDescent="0.3">
      <c r="J616" s="74"/>
    </row>
    <row r="617" spans="10:10" x14ac:dyDescent="0.3">
      <c r="J617" s="74"/>
    </row>
    <row r="618" spans="10:10" x14ac:dyDescent="0.3">
      <c r="J618" s="74"/>
    </row>
    <row r="619" spans="10:10" x14ac:dyDescent="0.3">
      <c r="J619" s="74"/>
    </row>
    <row r="620" spans="10:10" x14ac:dyDescent="0.3">
      <c r="J620" s="74"/>
    </row>
    <row r="621" spans="10:10" x14ac:dyDescent="0.3">
      <c r="J621" s="74"/>
    </row>
    <row r="622" spans="10:10" x14ac:dyDescent="0.3">
      <c r="J622" s="74"/>
    </row>
    <row r="623" spans="10:10" x14ac:dyDescent="0.3">
      <c r="J623" s="74"/>
    </row>
    <row r="624" spans="10:10" x14ac:dyDescent="0.3">
      <c r="J624" s="74"/>
    </row>
    <row r="625" spans="10:10" x14ac:dyDescent="0.3">
      <c r="J625" s="74"/>
    </row>
    <row r="626" spans="10:10" x14ac:dyDescent="0.3">
      <c r="J626" s="74"/>
    </row>
    <row r="627" spans="10:10" x14ac:dyDescent="0.3">
      <c r="J627" s="74"/>
    </row>
    <row r="628" spans="10:10" x14ac:dyDescent="0.3">
      <c r="J628" s="74"/>
    </row>
    <row r="629" spans="10:10" x14ac:dyDescent="0.3">
      <c r="J629" s="74"/>
    </row>
    <row r="630" spans="10:10" x14ac:dyDescent="0.3">
      <c r="J630" s="74"/>
    </row>
    <row r="631" spans="10:10" x14ac:dyDescent="0.3">
      <c r="J631" s="74"/>
    </row>
    <row r="632" spans="10:10" x14ac:dyDescent="0.3">
      <c r="J632" s="74"/>
    </row>
    <row r="633" spans="10:10" x14ac:dyDescent="0.3">
      <c r="J633" s="74"/>
    </row>
    <row r="634" spans="10:10" x14ac:dyDescent="0.3">
      <c r="J634" s="74"/>
    </row>
    <row r="635" spans="10:10" x14ac:dyDescent="0.3">
      <c r="J635" s="74"/>
    </row>
    <row r="636" spans="10:10" x14ac:dyDescent="0.3">
      <c r="J636" s="74"/>
    </row>
    <row r="637" spans="10:10" x14ac:dyDescent="0.3">
      <c r="J637" s="74"/>
    </row>
    <row r="638" spans="10:10" x14ac:dyDescent="0.3">
      <c r="J638" s="74"/>
    </row>
    <row r="639" spans="10:10" x14ac:dyDescent="0.3">
      <c r="J639" s="74"/>
    </row>
    <row r="640" spans="10:10" x14ac:dyDescent="0.3">
      <c r="J640" s="74"/>
    </row>
    <row r="641" spans="10:10" x14ac:dyDescent="0.3">
      <c r="J641" s="74"/>
    </row>
    <row r="642" spans="10:10" x14ac:dyDescent="0.3">
      <c r="J642" s="74"/>
    </row>
    <row r="643" spans="10:10" x14ac:dyDescent="0.3">
      <c r="J643" s="74"/>
    </row>
    <row r="644" spans="10:10" x14ac:dyDescent="0.3">
      <c r="J644" s="74"/>
    </row>
    <row r="645" spans="10:10" x14ac:dyDescent="0.3">
      <c r="J645" s="74"/>
    </row>
    <row r="646" spans="10:10" x14ac:dyDescent="0.3">
      <c r="J646" s="74"/>
    </row>
    <row r="647" spans="10:10" x14ac:dyDescent="0.3">
      <c r="J647" s="74"/>
    </row>
    <row r="648" spans="10:10" x14ac:dyDescent="0.3">
      <c r="J648" s="74"/>
    </row>
    <row r="649" spans="10:10" x14ac:dyDescent="0.3">
      <c r="J649" s="74"/>
    </row>
    <row r="650" spans="10:10" x14ac:dyDescent="0.3">
      <c r="J650" s="74"/>
    </row>
    <row r="651" spans="10:10" x14ac:dyDescent="0.3">
      <c r="J651" s="74"/>
    </row>
    <row r="652" spans="10:10" x14ac:dyDescent="0.3">
      <c r="J652" s="74"/>
    </row>
    <row r="653" spans="10:10" x14ac:dyDescent="0.3">
      <c r="J653" s="74"/>
    </row>
    <row r="654" spans="10:10" x14ac:dyDescent="0.3">
      <c r="J654" s="74"/>
    </row>
    <row r="655" spans="10:10" x14ac:dyDescent="0.3">
      <c r="J655" s="74"/>
    </row>
    <row r="656" spans="10:10" x14ac:dyDescent="0.3">
      <c r="J656" s="74"/>
    </row>
    <row r="657" spans="10:10" x14ac:dyDescent="0.3">
      <c r="J657" s="74"/>
    </row>
    <row r="658" spans="10:10" x14ac:dyDescent="0.3">
      <c r="J658" s="74"/>
    </row>
    <row r="659" spans="10:10" x14ac:dyDescent="0.3">
      <c r="J659" s="74"/>
    </row>
    <row r="660" spans="10:10" x14ac:dyDescent="0.3">
      <c r="J660" s="74"/>
    </row>
    <row r="661" spans="10:10" x14ac:dyDescent="0.3">
      <c r="J661" s="74"/>
    </row>
    <row r="662" spans="10:10" x14ac:dyDescent="0.3">
      <c r="J662" s="74"/>
    </row>
    <row r="663" spans="10:10" x14ac:dyDescent="0.3">
      <c r="J663" s="74"/>
    </row>
    <row r="664" spans="10:10" x14ac:dyDescent="0.3">
      <c r="J664" s="74"/>
    </row>
    <row r="665" spans="10:10" x14ac:dyDescent="0.3">
      <c r="J665" s="74"/>
    </row>
    <row r="666" spans="10:10" x14ac:dyDescent="0.3">
      <c r="J666" s="74"/>
    </row>
    <row r="667" spans="10:10" x14ac:dyDescent="0.3">
      <c r="J667" s="74"/>
    </row>
    <row r="668" spans="10:10" x14ac:dyDescent="0.3">
      <c r="J668" s="74"/>
    </row>
    <row r="669" spans="10:10" x14ac:dyDescent="0.3">
      <c r="J669" s="74"/>
    </row>
    <row r="670" spans="10:10" x14ac:dyDescent="0.3">
      <c r="J670" s="74"/>
    </row>
    <row r="671" spans="10:10" x14ac:dyDescent="0.3">
      <c r="J671" s="74"/>
    </row>
    <row r="672" spans="10:10" x14ac:dyDescent="0.3">
      <c r="J672" s="74"/>
    </row>
    <row r="673" spans="10:10" x14ac:dyDescent="0.3">
      <c r="J673" s="74"/>
    </row>
    <row r="674" spans="10:10" x14ac:dyDescent="0.3">
      <c r="J674" s="74"/>
    </row>
    <row r="675" spans="10:10" x14ac:dyDescent="0.3">
      <c r="J675" s="74"/>
    </row>
    <row r="676" spans="10:10" x14ac:dyDescent="0.3">
      <c r="J676" s="74"/>
    </row>
    <row r="677" spans="10:10" x14ac:dyDescent="0.3">
      <c r="J677" s="74"/>
    </row>
    <row r="678" spans="10:10" x14ac:dyDescent="0.3">
      <c r="J678" s="74"/>
    </row>
    <row r="679" spans="10:10" x14ac:dyDescent="0.3">
      <c r="J679" s="74"/>
    </row>
    <row r="680" spans="10:10" x14ac:dyDescent="0.3">
      <c r="J680" s="74"/>
    </row>
    <row r="681" spans="10:10" x14ac:dyDescent="0.3">
      <c r="J681" s="74"/>
    </row>
  </sheetData>
  <phoneticPr fontId="27" type="noConversion"/>
  <conditionalFormatting sqref="J1:J104857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{19384C0E-A943-49F2-9C8D-980D86482AEC}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9384C0E-A943-49F2-9C8D-980D86482AEC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J1:J1048576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0881E-0DCF-444C-9782-06F98384FB93}">
  <dimension ref="A1:F46"/>
  <sheetViews>
    <sheetView topLeftCell="A7" workbookViewId="0">
      <selection activeCell="H13" sqref="H13:H14"/>
    </sheetView>
  </sheetViews>
  <sheetFormatPr defaultRowHeight="14.4" x14ac:dyDescent="0.3"/>
  <sheetData>
    <row r="1" spans="1:6" x14ac:dyDescent="0.3">
      <c r="A1" t="s">
        <v>72</v>
      </c>
      <c r="B1" t="s">
        <v>275</v>
      </c>
      <c r="C1" t="s">
        <v>73</v>
      </c>
      <c r="D1" t="s">
        <v>276</v>
      </c>
      <c r="E1" t="s">
        <v>277</v>
      </c>
      <c r="F1" t="s">
        <v>74</v>
      </c>
    </row>
    <row r="2" spans="1:6" x14ac:dyDescent="0.3">
      <c r="A2">
        <v>45353.306469907409</v>
      </c>
      <c r="B2" t="s">
        <v>56</v>
      </c>
      <c r="C2" t="s">
        <v>102</v>
      </c>
      <c r="D2" t="s">
        <v>232</v>
      </c>
      <c r="E2" t="s">
        <v>234</v>
      </c>
      <c r="F2">
        <v>12.5</v>
      </c>
    </row>
    <row r="3" spans="1:6" x14ac:dyDescent="0.3">
      <c r="A3">
        <v>45353.307511574072</v>
      </c>
      <c r="B3" t="s">
        <v>52</v>
      </c>
      <c r="C3" t="s">
        <v>102</v>
      </c>
      <c r="D3" t="s">
        <v>235</v>
      </c>
      <c r="E3" t="s">
        <v>246</v>
      </c>
      <c r="F3">
        <v>6</v>
      </c>
    </row>
    <row r="4" spans="1:6" x14ac:dyDescent="0.3">
      <c r="A4">
        <v>45353.308738425927</v>
      </c>
      <c r="B4" t="s">
        <v>51</v>
      </c>
      <c r="C4" t="s">
        <v>102</v>
      </c>
      <c r="D4" t="s">
        <v>233</v>
      </c>
      <c r="E4" t="s">
        <v>232</v>
      </c>
      <c r="F4">
        <v>1</v>
      </c>
    </row>
    <row r="5" spans="1:6" x14ac:dyDescent="0.3">
      <c r="A5">
        <v>45353.314050925925</v>
      </c>
      <c r="B5" t="s">
        <v>259</v>
      </c>
      <c r="C5" t="s">
        <v>102</v>
      </c>
      <c r="D5" t="s">
        <v>233</v>
      </c>
      <c r="E5" t="s">
        <v>235</v>
      </c>
      <c r="F5">
        <v>3</v>
      </c>
    </row>
    <row r="6" spans="1:6" x14ac:dyDescent="0.3">
      <c r="A6">
        <v>45353.318391203706</v>
      </c>
      <c r="B6" t="s">
        <v>260</v>
      </c>
      <c r="C6" t="s">
        <v>102</v>
      </c>
      <c r="D6" t="s">
        <v>240</v>
      </c>
      <c r="E6" t="s">
        <v>234</v>
      </c>
      <c r="F6">
        <v>12.5</v>
      </c>
    </row>
    <row r="7" spans="1:6" x14ac:dyDescent="0.3">
      <c r="A7">
        <v>45353.32917824074</v>
      </c>
      <c r="B7" t="s">
        <v>55</v>
      </c>
      <c r="C7" t="s">
        <v>102</v>
      </c>
      <c r="D7" t="s">
        <v>232</v>
      </c>
      <c r="E7" t="s">
        <v>234</v>
      </c>
      <c r="F7">
        <v>12.5</v>
      </c>
    </row>
    <row r="8" spans="1:6" x14ac:dyDescent="0.3">
      <c r="A8">
        <v>45353.331909722219</v>
      </c>
      <c r="B8" t="s">
        <v>261</v>
      </c>
      <c r="C8" t="s">
        <v>102</v>
      </c>
      <c r="D8" t="s">
        <v>232</v>
      </c>
      <c r="E8" t="s">
        <v>234</v>
      </c>
      <c r="F8">
        <v>12.5</v>
      </c>
    </row>
    <row r="9" spans="1:6" x14ac:dyDescent="0.3">
      <c r="A9">
        <v>45353.335706018515</v>
      </c>
      <c r="B9" t="s">
        <v>64</v>
      </c>
      <c r="C9" t="s">
        <v>102</v>
      </c>
      <c r="D9" t="s">
        <v>232</v>
      </c>
      <c r="E9" t="s">
        <v>235</v>
      </c>
      <c r="F9">
        <v>3</v>
      </c>
    </row>
    <row r="10" spans="1:6" x14ac:dyDescent="0.3">
      <c r="A10">
        <v>45353.34584490741</v>
      </c>
      <c r="B10" t="s">
        <v>66</v>
      </c>
      <c r="C10" t="s">
        <v>102</v>
      </c>
      <c r="D10" t="s">
        <v>244</v>
      </c>
      <c r="E10" t="s">
        <v>232</v>
      </c>
      <c r="F10">
        <v>1</v>
      </c>
    </row>
    <row r="11" spans="1:6" x14ac:dyDescent="0.3">
      <c r="A11">
        <v>45353.350300925929</v>
      </c>
      <c r="B11" t="s">
        <v>262</v>
      </c>
      <c r="C11" t="s">
        <v>102</v>
      </c>
      <c r="D11" t="s">
        <v>244</v>
      </c>
      <c r="E11" t="s">
        <v>249</v>
      </c>
      <c r="F11">
        <v>6</v>
      </c>
    </row>
    <row r="12" spans="1:6" x14ac:dyDescent="0.3">
      <c r="A12">
        <v>45353.359699074077</v>
      </c>
      <c r="B12" t="s">
        <v>263</v>
      </c>
      <c r="C12" t="s">
        <v>102</v>
      </c>
      <c r="D12" t="s">
        <v>234</v>
      </c>
      <c r="E12" t="s">
        <v>257</v>
      </c>
      <c r="F12">
        <v>25</v>
      </c>
    </row>
    <row r="13" spans="1:6" x14ac:dyDescent="0.3">
      <c r="A13">
        <v>45353.372534722221</v>
      </c>
      <c r="B13" t="s">
        <v>49</v>
      </c>
      <c r="C13" t="s">
        <v>102</v>
      </c>
      <c r="D13" t="s">
        <v>253</v>
      </c>
      <c r="E13" t="s">
        <v>232</v>
      </c>
      <c r="F13">
        <v>18</v>
      </c>
    </row>
    <row r="14" spans="1:6" x14ac:dyDescent="0.3">
      <c r="A14">
        <v>45353.44290509259</v>
      </c>
      <c r="B14" t="s">
        <v>68</v>
      </c>
      <c r="C14" t="s">
        <v>102</v>
      </c>
      <c r="D14" t="s">
        <v>233</v>
      </c>
      <c r="E14" t="s">
        <v>249</v>
      </c>
      <c r="F14">
        <v>6</v>
      </c>
    </row>
    <row r="15" spans="1:6" x14ac:dyDescent="0.3">
      <c r="A15">
        <v>45353.452372685184</v>
      </c>
      <c r="B15" t="s">
        <v>59</v>
      </c>
      <c r="C15" t="s">
        <v>102</v>
      </c>
      <c r="D15" t="s">
        <v>249</v>
      </c>
      <c r="E15" t="s">
        <v>232</v>
      </c>
      <c r="F15">
        <v>12</v>
      </c>
    </row>
    <row r="16" spans="1:6" x14ac:dyDescent="0.3">
      <c r="A16">
        <v>45353.472291666665</v>
      </c>
      <c r="B16" t="s">
        <v>264</v>
      </c>
      <c r="C16" t="s">
        <v>102</v>
      </c>
      <c r="D16" t="s">
        <v>249</v>
      </c>
      <c r="E16" t="s">
        <v>235</v>
      </c>
      <c r="F16">
        <v>12</v>
      </c>
    </row>
    <row r="17" spans="1:6" x14ac:dyDescent="0.3">
      <c r="A17">
        <v>45353.482442129629</v>
      </c>
      <c r="B17" t="s">
        <v>63</v>
      </c>
      <c r="C17" t="s">
        <v>102</v>
      </c>
      <c r="D17" t="s">
        <v>233</v>
      </c>
      <c r="E17" t="s">
        <v>247</v>
      </c>
      <c r="F17">
        <v>0.5</v>
      </c>
    </row>
    <row r="18" spans="1:6" x14ac:dyDescent="0.3">
      <c r="A18">
        <v>45353.497824074075</v>
      </c>
      <c r="B18" t="s">
        <v>53</v>
      </c>
      <c r="C18" t="s">
        <v>102</v>
      </c>
      <c r="D18" t="s">
        <v>249</v>
      </c>
      <c r="E18" t="s">
        <v>234</v>
      </c>
      <c r="F18">
        <v>12.5</v>
      </c>
    </row>
    <row r="19" spans="1:6" x14ac:dyDescent="0.3">
      <c r="A19">
        <v>45353.506053240744</v>
      </c>
      <c r="B19" t="s">
        <v>46</v>
      </c>
      <c r="C19" t="s">
        <v>102</v>
      </c>
      <c r="D19" t="s">
        <v>232</v>
      </c>
      <c r="E19" t="s">
        <v>233</v>
      </c>
      <c r="F19">
        <v>2</v>
      </c>
    </row>
    <row r="20" spans="1:6" x14ac:dyDescent="0.3">
      <c r="A20">
        <v>45353.506655092591</v>
      </c>
      <c r="B20" t="s">
        <v>44</v>
      </c>
      <c r="C20" t="s">
        <v>102</v>
      </c>
      <c r="D20" t="s">
        <v>234</v>
      </c>
      <c r="E20" t="s">
        <v>235</v>
      </c>
      <c r="F20">
        <v>25</v>
      </c>
    </row>
    <row r="21" spans="1:6" x14ac:dyDescent="0.3">
      <c r="A21">
        <v>45353.507418981484</v>
      </c>
      <c r="B21" t="s">
        <v>236</v>
      </c>
      <c r="C21" t="s">
        <v>102</v>
      </c>
      <c r="D21" t="s">
        <v>234</v>
      </c>
      <c r="E21" t="s">
        <v>237</v>
      </c>
      <c r="F21">
        <v>25</v>
      </c>
    </row>
    <row r="22" spans="1:6" x14ac:dyDescent="0.3">
      <c r="A22">
        <v>45353.511979166666</v>
      </c>
      <c r="B22" t="s">
        <v>67</v>
      </c>
      <c r="C22" t="s">
        <v>102</v>
      </c>
      <c r="D22" t="s">
        <v>232</v>
      </c>
      <c r="E22" t="s">
        <v>233</v>
      </c>
      <c r="F22">
        <v>2</v>
      </c>
    </row>
    <row r="23" spans="1:6" x14ac:dyDescent="0.3">
      <c r="A23">
        <v>45353.512175925927</v>
      </c>
      <c r="B23" t="s">
        <v>238</v>
      </c>
      <c r="C23" t="s">
        <v>102</v>
      </c>
      <c r="D23" t="s">
        <v>233</v>
      </c>
      <c r="E23" t="s">
        <v>235</v>
      </c>
      <c r="F23">
        <v>3</v>
      </c>
    </row>
    <row r="24" spans="1:6" x14ac:dyDescent="0.3">
      <c r="A24">
        <v>45353.514814814815</v>
      </c>
      <c r="B24" t="s">
        <v>57</v>
      </c>
      <c r="C24" t="s">
        <v>102</v>
      </c>
      <c r="D24" t="s">
        <v>232</v>
      </c>
      <c r="E24" t="s">
        <v>234</v>
      </c>
      <c r="F24">
        <v>12.5</v>
      </c>
    </row>
    <row r="25" spans="1:6" x14ac:dyDescent="0.3">
      <c r="A25">
        <v>45353.517569444448</v>
      </c>
      <c r="B25" t="s">
        <v>239</v>
      </c>
      <c r="C25" t="s">
        <v>102</v>
      </c>
      <c r="D25" t="s">
        <v>233</v>
      </c>
      <c r="E25" t="s">
        <v>240</v>
      </c>
      <c r="F25">
        <v>0.5</v>
      </c>
    </row>
    <row r="26" spans="1:6" x14ac:dyDescent="0.3">
      <c r="A26">
        <v>45353.518680555557</v>
      </c>
      <c r="B26" t="s">
        <v>241</v>
      </c>
      <c r="C26" t="s">
        <v>102</v>
      </c>
      <c r="D26" t="s">
        <v>233</v>
      </c>
      <c r="E26" t="s">
        <v>234</v>
      </c>
      <c r="F26">
        <v>12.5</v>
      </c>
    </row>
    <row r="27" spans="1:6" x14ac:dyDescent="0.3">
      <c r="A27">
        <v>45353.521481481483</v>
      </c>
      <c r="B27" t="s">
        <v>242</v>
      </c>
      <c r="C27" t="s">
        <v>102</v>
      </c>
      <c r="D27" t="s">
        <v>234</v>
      </c>
      <c r="E27" t="s">
        <v>235</v>
      </c>
      <c r="F27">
        <v>25</v>
      </c>
    </row>
    <row r="28" spans="1:6" x14ac:dyDescent="0.3">
      <c r="A28">
        <v>45353.528831018521</v>
      </c>
      <c r="B28" t="s">
        <v>54</v>
      </c>
      <c r="C28" t="s">
        <v>102</v>
      </c>
      <c r="D28" t="s">
        <v>232</v>
      </c>
      <c r="E28" t="s">
        <v>234</v>
      </c>
      <c r="F28">
        <v>12.5</v>
      </c>
    </row>
    <row r="29" spans="1:6" x14ac:dyDescent="0.3">
      <c r="A29">
        <v>45353.554768518516</v>
      </c>
      <c r="B29" t="s">
        <v>243</v>
      </c>
      <c r="C29" t="s">
        <v>102</v>
      </c>
      <c r="D29" t="s">
        <v>234</v>
      </c>
      <c r="E29" t="s">
        <v>233</v>
      </c>
      <c r="F29">
        <v>25</v>
      </c>
    </row>
    <row r="30" spans="1:6" x14ac:dyDescent="0.3">
      <c r="A30">
        <v>45353.556770833333</v>
      </c>
      <c r="B30" t="s">
        <v>47</v>
      </c>
      <c r="C30" t="s">
        <v>102</v>
      </c>
      <c r="D30" t="s">
        <v>232</v>
      </c>
      <c r="E30" t="s">
        <v>244</v>
      </c>
      <c r="F30">
        <v>2</v>
      </c>
    </row>
    <row r="31" spans="1:6" x14ac:dyDescent="0.3">
      <c r="A31">
        <v>45353.563900462963</v>
      </c>
      <c r="B31" t="s">
        <v>60</v>
      </c>
      <c r="C31" t="s">
        <v>102</v>
      </c>
      <c r="D31" t="s">
        <v>232</v>
      </c>
      <c r="E31" t="s">
        <v>235</v>
      </c>
      <c r="F31">
        <v>3</v>
      </c>
    </row>
    <row r="32" spans="1:6" x14ac:dyDescent="0.3">
      <c r="A32">
        <v>45353.565254629626</v>
      </c>
      <c r="B32" t="s">
        <v>245</v>
      </c>
      <c r="C32" t="s">
        <v>102</v>
      </c>
      <c r="D32" t="s">
        <v>246</v>
      </c>
      <c r="E32" t="s">
        <v>247</v>
      </c>
      <c r="F32">
        <v>10</v>
      </c>
    </row>
    <row r="33" spans="1:6" x14ac:dyDescent="0.3">
      <c r="A33">
        <v>45353.570509259262</v>
      </c>
      <c r="B33" t="s">
        <v>248</v>
      </c>
      <c r="C33" t="s">
        <v>102</v>
      </c>
      <c r="D33" t="s">
        <v>249</v>
      </c>
      <c r="E33" t="s">
        <v>246</v>
      </c>
      <c r="F33">
        <v>12</v>
      </c>
    </row>
    <row r="34" spans="1:6" x14ac:dyDescent="0.3">
      <c r="A34">
        <v>45353.575752314813</v>
      </c>
      <c r="B34" t="s">
        <v>250</v>
      </c>
      <c r="C34" t="s">
        <v>102</v>
      </c>
      <c r="D34" t="s">
        <v>232</v>
      </c>
      <c r="E34" t="s">
        <v>235</v>
      </c>
      <c r="F34">
        <v>3</v>
      </c>
    </row>
    <row r="35" spans="1:6" x14ac:dyDescent="0.3">
      <c r="A35">
        <v>45353.576631944445</v>
      </c>
      <c r="B35" t="s">
        <v>61</v>
      </c>
      <c r="C35" t="s">
        <v>102</v>
      </c>
      <c r="D35" t="s">
        <v>232</v>
      </c>
      <c r="E35" t="s">
        <v>234</v>
      </c>
      <c r="F35">
        <v>12.5</v>
      </c>
    </row>
    <row r="36" spans="1:6" x14ac:dyDescent="0.3">
      <c r="A36">
        <v>45353.579097222224</v>
      </c>
      <c r="B36" t="s">
        <v>251</v>
      </c>
      <c r="C36" t="s">
        <v>102</v>
      </c>
      <c r="D36" t="s">
        <v>237</v>
      </c>
      <c r="E36" t="s">
        <v>235</v>
      </c>
      <c r="F36">
        <v>3</v>
      </c>
    </row>
    <row r="37" spans="1:6" x14ac:dyDescent="0.3">
      <c r="A37">
        <v>45353.582800925928</v>
      </c>
      <c r="B37" t="s">
        <v>252</v>
      </c>
      <c r="C37" t="s">
        <v>102</v>
      </c>
      <c r="D37" t="s">
        <v>253</v>
      </c>
      <c r="E37" t="s">
        <v>235</v>
      </c>
      <c r="F37">
        <v>18</v>
      </c>
    </row>
    <row r="38" spans="1:6" x14ac:dyDescent="0.3">
      <c r="A38">
        <v>45353.583368055559</v>
      </c>
      <c r="B38" t="s">
        <v>254</v>
      </c>
      <c r="C38" t="s">
        <v>102</v>
      </c>
      <c r="D38" t="s">
        <v>247</v>
      </c>
      <c r="E38" t="s">
        <v>255</v>
      </c>
      <c r="F38">
        <v>2</v>
      </c>
    </row>
    <row r="39" spans="1:6" x14ac:dyDescent="0.3">
      <c r="A39">
        <v>45353.585520833331</v>
      </c>
      <c r="B39" t="s">
        <v>256</v>
      </c>
      <c r="C39" t="s">
        <v>102</v>
      </c>
      <c r="D39" t="s">
        <v>235</v>
      </c>
      <c r="E39" t="s">
        <v>233</v>
      </c>
      <c r="F39">
        <v>6</v>
      </c>
    </row>
    <row r="40" spans="1:6" x14ac:dyDescent="0.3">
      <c r="A40">
        <v>45353.585706018515</v>
      </c>
      <c r="B40" t="s">
        <v>62</v>
      </c>
      <c r="C40" t="s">
        <v>102</v>
      </c>
      <c r="D40" t="s">
        <v>235</v>
      </c>
      <c r="E40" t="s">
        <v>253</v>
      </c>
      <c r="F40">
        <v>9</v>
      </c>
    </row>
    <row r="41" spans="1:6" x14ac:dyDescent="0.3">
      <c r="A41">
        <v>45353.588495370372</v>
      </c>
      <c r="B41" t="s">
        <v>48</v>
      </c>
      <c r="C41" t="s">
        <v>102</v>
      </c>
      <c r="D41" t="s">
        <v>249</v>
      </c>
      <c r="E41" t="s">
        <v>233</v>
      </c>
      <c r="F41">
        <v>12</v>
      </c>
    </row>
    <row r="42" spans="1:6" x14ac:dyDescent="0.3">
      <c r="A42">
        <v>45353.590243055558</v>
      </c>
      <c r="B42" t="s">
        <v>45</v>
      </c>
      <c r="C42" t="s">
        <v>102</v>
      </c>
      <c r="D42" t="s">
        <v>257</v>
      </c>
      <c r="E42" t="s">
        <v>235</v>
      </c>
      <c r="F42">
        <v>8</v>
      </c>
    </row>
    <row r="43" spans="1:6" x14ac:dyDescent="0.3">
      <c r="A43">
        <v>45353.605208333334</v>
      </c>
      <c r="B43" t="s">
        <v>258</v>
      </c>
      <c r="C43" t="s">
        <v>102</v>
      </c>
      <c r="D43" t="s">
        <v>253</v>
      </c>
      <c r="E43" t="s">
        <v>240</v>
      </c>
      <c r="F43">
        <v>18</v>
      </c>
    </row>
    <row r="44" spans="1:6" x14ac:dyDescent="0.3">
      <c r="A44">
        <v>45353.606099537035</v>
      </c>
      <c r="B44" t="s">
        <v>69</v>
      </c>
      <c r="C44" t="s">
        <v>102</v>
      </c>
      <c r="D44" t="s">
        <v>249</v>
      </c>
      <c r="E44" t="s">
        <v>247</v>
      </c>
      <c r="F44">
        <v>12</v>
      </c>
    </row>
    <row r="45" spans="1:6" x14ac:dyDescent="0.3">
      <c r="A45">
        <v>45353.617303240739</v>
      </c>
      <c r="B45" t="s">
        <v>274</v>
      </c>
      <c r="C45" t="s">
        <v>102</v>
      </c>
      <c r="D45" t="s">
        <v>249</v>
      </c>
      <c r="E45" t="s">
        <v>240</v>
      </c>
      <c r="F45">
        <v>12</v>
      </c>
    </row>
    <row r="46" spans="1:6" x14ac:dyDescent="0.3">
      <c r="A46">
        <v>45353.617881944447</v>
      </c>
      <c r="B46" t="s">
        <v>50</v>
      </c>
      <c r="C46" t="s">
        <v>102</v>
      </c>
      <c r="D46" t="s">
        <v>233</v>
      </c>
      <c r="E46" t="s">
        <v>235</v>
      </c>
      <c r="F46">
        <v>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B87F0-B99E-4C81-B331-0B762B9A6115}">
  <sheetPr codeName="Sheet3"/>
  <dimension ref="A1:AK44"/>
  <sheetViews>
    <sheetView showGridLines="0" tabSelected="1" topLeftCell="B1" zoomScale="85" zoomScaleNormal="85" workbookViewId="0">
      <selection activeCell="J24" sqref="J24"/>
    </sheetView>
  </sheetViews>
  <sheetFormatPr defaultRowHeight="14.4" x14ac:dyDescent="0.3"/>
  <cols>
    <col min="1" max="1" width="6.6640625" bestFit="1" customWidth="1"/>
    <col min="2" max="2" width="26.6640625" bestFit="1" customWidth="1"/>
    <col min="3" max="3" width="9.33203125" bestFit="1" customWidth="1"/>
    <col min="4" max="4" width="11.109375" bestFit="1" customWidth="1"/>
    <col min="5" max="5" width="16.77734375" customWidth="1"/>
    <col min="6" max="6" width="3.21875" customWidth="1"/>
    <col min="7" max="7" width="29.77734375" style="50" bestFit="1" customWidth="1"/>
    <col min="8" max="8" width="10.6640625" style="50" customWidth="1"/>
    <col min="9" max="9" width="35" customWidth="1"/>
    <col min="10" max="11" width="10.6640625" style="5" customWidth="1"/>
    <col min="12" max="12" width="14.44140625" style="13" customWidth="1"/>
    <col min="13" max="13" width="3.21875" customWidth="1"/>
    <col min="14" max="14" width="10.44140625" bestFit="1" customWidth="1"/>
    <col min="15" max="15" width="30.5546875" style="4" customWidth="1"/>
    <col min="16" max="19" width="30.5546875" customWidth="1"/>
    <col min="20" max="20" width="30.5546875" hidden="1" customWidth="1"/>
    <col min="21" max="37" width="30.5546875" customWidth="1"/>
    <col min="38" max="40" width="29.5546875" customWidth="1"/>
  </cols>
  <sheetData>
    <row r="1" spans="1:37" s="80" customFormat="1" x14ac:dyDescent="0.3">
      <c r="A1" s="78" t="s">
        <v>94</v>
      </c>
      <c r="B1" s="79"/>
      <c r="C1" s="79"/>
      <c r="D1" s="79"/>
      <c r="G1" s="81" t="s">
        <v>95</v>
      </c>
      <c r="H1" s="50"/>
      <c r="J1" s="82"/>
      <c r="K1" s="82"/>
      <c r="L1" s="83"/>
      <c r="O1" s="84"/>
    </row>
    <row r="2" spans="1:37" ht="15" thickBot="1" x14ac:dyDescent="0.35">
      <c r="A2" s="26" t="s">
        <v>96</v>
      </c>
      <c r="B2" s="26" t="s">
        <v>97</v>
      </c>
      <c r="C2" s="26" t="s">
        <v>98</v>
      </c>
      <c r="D2" s="53" t="s">
        <v>99</v>
      </c>
      <c r="E2" s="60" t="s">
        <v>74</v>
      </c>
      <c r="F2" s="13"/>
      <c r="G2" s="54" t="s">
        <v>100</v>
      </c>
      <c r="H2" s="55" t="s">
        <v>101</v>
      </c>
      <c r="I2" s="55" t="s">
        <v>97</v>
      </c>
      <c r="J2" s="56" t="s">
        <v>98</v>
      </c>
      <c r="K2" s="56" t="s">
        <v>99</v>
      </c>
      <c r="L2" s="60" t="s">
        <v>74</v>
      </c>
      <c r="N2" s="4" t="s">
        <v>101</v>
      </c>
      <c r="O2" s="59" t="s">
        <v>102</v>
      </c>
      <c r="P2" s="28" t="s">
        <v>103</v>
      </c>
      <c r="Q2" s="28" t="s">
        <v>104</v>
      </c>
      <c r="R2" s="28" t="s">
        <v>105</v>
      </c>
      <c r="S2" s="28" t="s">
        <v>106</v>
      </c>
      <c r="T2" s="28" t="s">
        <v>107</v>
      </c>
      <c r="U2" s="28" t="s">
        <v>108</v>
      </c>
      <c r="V2" s="28" t="s">
        <v>109</v>
      </c>
      <c r="W2" s="28" t="s">
        <v>110</v>
      </c>
      <c r="X2" s="28" t="s">
        <v>194</v>
      </c>
      <c r="Y2" s="28" t="s">
        <v>111</v>
      </c>
      <c r="Z2" s="28" t="s">
        <v>32</v>
      </c>
      <c r="AA2" s="28" t="s">
        <v>33</v>
      </c>
      <c r="AB2" s="28" t="s">
        <v>34</v>
      </c>
      <c r="AC2" s="28" t="s">
        <v>35</v>
      </c>
      <c r="AD2" s="28" t="s">
        <v>36</v>
      </c>
      <c r="AE2" s="28" t="s">
        <v>37</v>
      </c>
      <c r="AF2" s="28" t="s">
        <v>38</v>
      </c>
      <c r="AG2" s="28" t="s">
        <v>39</v>
      </c>
      <c r="AH2" s="28" t="s">
        <v>40</v>
      </c>
      <c r="AI2" s="28" t="s">
        <v>41</v>
      </c>
      <c r="AJ2" s="28" t="s">
        <v>42</v>
      </c>
      <c r="AK2" s="29" t="s">
        <v>43</v>
      </c>
    </row>
    <row r="3" spans="1:37" ht="15" thickTop="1" x14ac:dyDescent="0.3">
      <c r="A3" s="112" t="s">
        <v>112</v>
      </c>
      <c r="B3" s="24" t="s">
        <v>113</v>
      </c>
      <c r="C3" s="24" t="s">
        <v>850</v>
      </c>
      <c r="D3" s="113" t="s">
        <v>112</v>
      </c>
      <c r="E3" s="61"/>
      <c r="F3" s="31"/>
      <c r="G3" s="57" t="str">
        <f>Table_0[[#This Row],[Driver]]</f>
        <v>Max VerstappenRed Bull</v>
      </c>
      <c r="H3" s="58">
        <f>IFERROR(VALUE(_xlfn.XLOOKUP(G3,Table_0[Driver],Table_0[Pos])),"R")</f>
        <v>1</v>
      </c>
      <c r="I3" s="51" t="str">
        <f>_xlfn.XLOOKUP(Table_0[[#This Row],[Driver]],DriverNameMapping!$A$2:$A$24,DriverNameMapping!$B$2:$B$24)</f>
        <v>Max Verstappen</v>
      </c>
      <c r="J3" s="52" t="str">
        <f>_xlfn.XLOOKUP(G3,Table_0[Driver],Table_0[Time])</f>
        <v>1:31.773</v>
      </c>
      <c r="K3" s="52" t="str">
        <f>_xlfn.XLOOKUP(G3,Table_0[Driver],Table_0[Stops])</f>
        <v>1</v>
      </c>
      <c r="L3" s="60" cm="1">
        <f t="array" ref="L3">_xlfn.XLOOKUP(H3,VALUE(Table_0[Pos]),$E$3:$E$22,0)</f>
        <v>0</v>
      </c>
      <c r="N3" s="4">
        <v>1</v>
      </c>
      <c r="O3" t="s">
        <v>83</v>
      </c>
      <c r="P3" t="s">
        <v>91</v>
      </c>
      <c r="Q3" t="s">
        <v>83</v>
      </c>
      <c r="R3" t="s">
        <v>91</v>
      </c>
      <c r="S3" t="s">
        <v>83</v>
      </c>
      <c r="U3" t="s">
        <v>83</v>
      </c>
      <c r="V3" t="s">
        <v>83</v>
      </c>
      <c r="W3" t="s">
        <v>83</v>
      </c>
      <c r="X3" t="s">
        <v>83</v>
      </c>
      <c r="Y3" t="s">
        <v>83</v>
      </c>
      <c r="Z3" t="s">
        <v>83</v>
      </c>
      <c r="AA3" t="s">
        <v>83</v>
      </c>
      <c r="AB3" t="s">
        <v>83</v>
      </c>
      <c r="AC3" t="s">
        <v>83</v>
      </c>
      <c r="AD3" t="s">
        <v>87</v>
      </c>
      <c r="AE3" t="s">
        <v>83</v>
      </c>
      <c r="AF3" t="s">
        <v>83</v>
      </c>
      <c r="AG3" t="s">
        <v>83</v>
      </c>
      <c r="AH3" t="s">
        <v>83</v>
      </c>
      <c r="AI3" t="s">
        <v>83</v>
      </c>
      <c r="AJ3" t="s">
        <v>83</v>
      </c>
      <c r="AK3" t="s">
        <v>83</v>
      </c>
    </row>
    <row r="4" spans="1:37" x14ac:dyDescent="0.3">
      <c r="A4" s="112" t="s">
        <v>114</v>
      </c>
      <c r="B4" s="24" t="s">
        <v>123</v>
      </c>
      <c r="C4" s="24" t="s">
        <v>851</v>
      </c>
      <c r="D4" s="113" t="s">
        <v>112</v>
      </c>
      <c r="E4" s="61"/>
      <c r="F4" s="31"/>
      <c r="G4" s="57" t="str">
        <f>Table_0[[#This Row],[Driver]]</f>
        <v>Sergio PerezRed Bull</v>
      </c>
      <c r="H4" s="58">
        <f>IFERROR(VALUE(_xlfn.XLOOKUP(G4,Table_0[Driver],Table_0[Pos])),"R")</f>
        <v>2</v>
      </c>
      <c r="I4" s="51" t="str">
        <f>_xlfn.XLOOKUP(Table_0[[#This Row],[Driver]],DriverNameMapping!$A$2:$A$24,DriverNameMapping!$B$2:$B$24)</f>
        <v>Sergio Perez</v>
      </c>
      <c r="J4" s="52" t="str">
        <f>_xlfn.XLOOKUP(G4,Table_0[Driver],Table_0[Time])</f>
        <v>+ 13.643</v>
      </c>
      <c r="K4" s="52" t="str">
        <f>_xlfn.XLOOKUP(G4,Table_0[Driver],Table_0[Stops])</f>
        <v>1</v>
      </c>
      <c r="L4" s="60" cm="1">
        <f t="array" ref="L4">_xlfn.XLOOKUP(H4,VALUE(Table_0[Pos]),$E$3:$E$22,0)</f>
        <v>0</v>
      </c>
      <c r="N4" s="4">
        <v>2</v>
      </c>
      <c r="O4" t="s">
        <v>91</v>
      </c>
      <c r="P4" t="s">
        <v>83</v>
      </c>
      <c r="Q4" t="s">
        <v>89</v>
      </c>
      <c r="R4" t="s">
        <v>83</v>
      </c>
      <c r="S4" t="s">
        <v>91</v>
      </c>
      <c r="U4" t="s">
        <v>88</v>
      </c>
      <c r="V4" t="s">
        <v>89</v>
      </c>
      <c r="W4" t="s">
        <v>88</v>
      </c>
      <c r="X4" t="s">
        <v>93</v>
      </c>
      <c r="Y4" t="s">
        <v>86</v>
      </c>
      <c r="Z4" t="s">
        <v>86</v>
      </c>
      <c r="AA4" t="s">
        <v>91</v>
      </c>
      <c r="AB4" t="s">
        <v>88</v>
      </c>
      <c r="AC4" t="s">
        <v>91</v>
      </c>
      <c r="AD4" t="s">
        <v>86</v>
      </c>
      <c r="AE4" t="s">
        <v>86</v>
      </c>
      <c r="AF4" t="s">
        <v>78</v>
      </c>
      <c r="AG4" t="s">
        <v>86</v>
      </c>
      <c r="AH4" t="s">
        <v>89</v>
      </c>
      <c r="AI4" t="s">
        <v>86</v>
      </c>
      <c r="AJ4" t="s">
        <v>93</v>
      </c>
      <c r="AK4" t="s">
        <v>93</v>
      </c>
    </row>
    <row r="5" spans="1:37" x14ac:dyDescent="0.3">
      <c r="A5" s="112" t="s">
        <v>116</v>
      </c>
      <c r="B5" s="24" t="s">
        <v>119</v>
      </c>
      <c r="C5" s="24" t="s">
        <v>852</v>
      </c>
      <c r="D5" s="113" t="s">
        <v>112</v>
      </c>
      <c r="E5" s="61"/>
      <c r="F5" s="31"/>
      <c r="G5" s="57" t="str">
        <f>Table_0[[#This Row],[Driver]]</f>
        <v>Charles LeclercFerrari</v>
      </c>
      <c r="H5" s="58">
        <f>IFERROR(VALUE(_xlfn.XLOOKUP(G5,Table_0[Driver],Table_0[Pos])),"R")</f>
        <v>3</v>
      </c>
      <c r="I5" s="51" t="str">
        <f>_xlfn.XLOOKUP(Table_0[[#This Row],[Driver]],DriverNameMapping!$A$2:$A$24,DriverNameMapping!$B$2:$B$24)</f>
        <v>Charles Leclerc</v>
      </c>
      <c r="J5" s="52" t="str">
        <f>_xlfn.XLOOKUP(G5,Table_0[Driver],Table_0[Time])</f>
        <v>+ 18.639</v>
      </c>
      <c r="K5" s="52" t="str">
        <f>_xlfn.XLOOKUP(G5,Table_0[Driver],Table_0[Stops])</f>
        <v>1</v>
      </c>
      <c r="L5" s="60" cm="1">
        <f t="array" ref="L5">_xlfn.XLOOKUP(H5,VALUE(Table_0[Pos]),$E$3:$E$22,0)</f>
        <v>0</v>
      </c>
      <c r="N5" s="4">
        <v>3</v>
      </c>
      <c r="O5" t="s">
        <v>88</v>
      </c>
      <c r="P5" t="s">
        <v>88</v>
      </c>
      <c r="Q5" t="s">
        <v>88</v>
      </c>
      <c r="R5" t="s">
        <v>93</v>
      </c>
      <c r="S5" t="s">
        <v>88</v>
      </c>
      <c r="U5" t="s">
        <v>77</v>
      </c>
      <c r="V5" t="s">
        <v>76</v>
      </c>
      <c r="W5" t="s">
        <v>89</v>
      </c>
      <c r="X5" t="s">
        <v>91</v>
      </c>
      <c r="Y5" t="s">
        <v>89</v>
      </c>
      <c r="Z5" t="s">
        <v>91</v>
      </c>
      <c r="AA5" t="s">
        <v>93</v>
      </c>
      <c r="AB5" t="s">
        <v>85</v>
      </c>
      <c r="AC5" t="s">
        <v>87</v>
      </c>
      <c r="AD5" t="s">
        <v>89</v>
      </c>
      <c r="AE5" t="s">
        <v>78</v>
      </c>
      <c r="AF5" t="s">
        <v>86</v>
      </c>
      <c r="AG5" t="s">
        <v>87</v>
      </c>
      <c r="AH5" t="s">
        <v>93</v>
      </c>
      <c r="AI5" t="s">
        <v>88</v>
      </c>
      <c r="AJ5" t="s">
        <v>91</v>
      </c>
      <c r="AK5" t="s">
        <v>76</v>
      </c>
    </row>
    <row r="6" spans="1:37" x14ac:dyDescent="0.3">
      <c r="A6" s="112" t="s">
        <v>118</v>
      </c>
      <c r="B6" s="24" t="s">
        <v>132</v>
      </c>
      <c r="C6" s="24" t="s">
        <v>853</v>
      </c>
      <c r="D6" s="113" t="s">
        <v>112</v>
      </c>
      <c r="E6" s="61"/>
      <c r="F6" s="31"/>
      <c r="G6" s="57" t="str">
        <f>Table_0[[#This Row],[Driver]]</f>
        <v>Oscar PiastriMcLaren</v>
      </c>
      <c r="H6" s="58">
        <f>IFERROR(VALUE(_xlfn.XLOOKUP(G6,Table_0[Driver],Table_0[Pos])),"R")</f>
        <v>4</v>
      </c>
      <c r="I6" s="51" t="str">
        <f>_xlfn.XLOOKUP(Table_0[[#This Row],[Driver]],DriverNameMapping!$A$2:$A$24,DriverNameMapping!$B$2:$B$24)</f>
        <v>Oscar Piastri</v>
      </c>
      <c r="J6" s="52" t="str">
        <f>_xlfn.XLOOKUP(G6,Table_0[Driver],Table_0[Time])</f>
        <v>+ 32.007</v>
      </c>
      <c r="K6" s="52" t="str">
        <f>_xlfn.XLOOKUP(G6,Table_0[Driver],Table_0[Stops])</f>
        <v>1</v>
      </c>
      <c r="L6" s="60" cm="1">
        <f t="array" ref="L6">_xlfn.XLOOKUP(H6,VALUE(Table_0[Pos]),$E$3:$E$22,0)</f>
        <v>0</v>
      </c>
      <c r="N6" s="4">
        <v>4</v>
      </c>
      <c r="O6" t="s">
        <v>87</v>
      </c>
      <c r="P6" t="s">
        <v>76</v>
      </c>
      <c r="Q6" t="s">
        <v>82</v>
      </c>
      <c r="R6" t="s">
        <v>88</v>
      </c>
      <c r="S6" t="s">
        <v>76</v>
      </c>
      <c r="U6" t="s">
        <v>89</v>
      </c>
      <c r="V6" t="s">
        <v>91</v>
      </c>
      <c r="W6" t="s">
        <v>93</v>
      </c>
      <c r="X6" t="s">
        <v>86</v>
      </c>
      <c r="Y6" t="s">
        <v>78</v>
      </c>
      <c r="Z6" t="s">
        <v>89</v>
      </c>
      <c r="AA6" t="s">
        <v>89</v>
      </c>
      <c r="AB6" t="s">
        <v>91</v>
      </c>
      <c r="AC6" t="s">
        <v>93</v>
      </c>
      <c r="AD6" t="s">
        <v>93</v>
      </c>
      <c r="AE6" t="s">
        <v>93</v>
      </c>
      <c r="AF6" t="s">
        <v>76</v>
      </c>
      <c r="AG6" t="s">
        <v>91</v>
      </c>
      <c r="AH6" t="s">
        <v>87</v>
      </c>
      <c r="AI6" t="s">
        <v>91</v>
      </c>
      <c r="AJ6" t="s">
        <v>77</v>
      </c>
      <c r="AK6" t="s">
        <v>91</v>
      </c>
    </row>
    <row r="7" spans="1:37" x14ac:dyDescent="0.3">
      <c r="A7" s="112" t="s">
        <v>120</v>
      </c>
      <c r="B7" s="24" t="s">
        <v>115</v>
      </c>
      <c r="C7" s="24" t="s">
        <v>854</v>
      </c>
      <c r="D7" s="113" t="s">
        <v>112</v>
      </c>
      <c r="E7" s="62"/>
      <c r="F7" s="32"/>
      <c r="G7" s="57" t="str">
        <f>Table_0[[#This Row],[Driver]]</f>
        <v>Fernando AlonsoAston Martin</v>
      </c>
      <c r="H7" s="58">
        <f>IFERROR(VALUE(_xlfn.XLOOKUP(G7,Table_0[Driver],Table_0[Pos])),"R")</f>
        <v>5</v>
      </c>
      <c r="I7" s="51" t="str">
        <f>_xlfn.XLOOKUP(Table_0[[#This Row],[Driver]],DriverNameMapping!$A$2:$A$24,DriverNameMapping!$B$2:$B$24)</f>
        <v>Fernando Alonso</v>
      </c>
      <c r="J7" s="52" t="str">
        <f>_xlfn.XLOOKUP(G7,Table_0[Driver],Table_0[Time])</f>
        <v>+ 35.759</v>
      </c>
      <c r="K7" s="52" t="str">
        <f>_xlfn.XLOOKUP(G7,Table_0[Driver],Table_0[Stops])</f>
        <v>1</v>
      </c>
      <c r="L7" s="60" cm="1">
        <f t="array" ref="L7">_xlfn.XLOOKUP(H7,VALUE(Table_0[Pos]),$E$3:$E$22,0)</f>
        <v>0</v>
      </c>
      <c r="N7" s="4">
        <v>5</v>
      </c>
      <c r="O7" t="s">
        <v>89</v>
      </c>
      <c r="P7" t="s">
        <v>89</v>
      </c>
      <c r="Q7" t="s">
        <v>91</v>
      </c>
      <c r="R7" t="s">
        <v>87</v>
      </c>
      <c r="S7" t="s">
        <v>87</v>
      </c>
      <c r="U7" t="s">
        <v>76</v>
      </c>
      <c r="V7" t="s">
        <v>87</v>
      </c>
      <c r="W7" t="s">
        <v>87</v>
      </c>
      <c r="X7" t="s">
        <v>88</v>
      </c>
      <c r="Y7" t="s">
        <v>76</v>
      </c>
      <c r="Z7" t="s">
        <v>78</v>
      </c>
      <c r="AA7" t="s">
        <v>88</v>
      </c>
      <c r="AB7" t="s">
        <v>87</v>
      </c>
      <c r="AC7" t="s">
        <v>76</v>
      </c>
      <c r="AD7" t="s">
        <v>83</v>
      </c>
      <c r="AE7" t="s">
        <v>89</v>
      </c>
      <c r="AF7" t="s">
        <v>93</v>
      </c>
      <c r="AG7" t="s">
        <v>76</v>
      </c>
      <c r="AH7" t="s">
        <v>86</v>
      </c>
      <c r="AI7" t="s">
        <v>82</v>
      </c>
      <c r="AJ7" t="s">
        <v>82</v>
      </c>
      <c r="AK7" t="s">
        <v>86</v>
      </c>
    </row>
    <row r="8" spans="1:37" x14ac:dyDescent="0.3">
      <c r="A8" s="112" t="s">
        <v>122</v>
      </c>
      <c r="B8" s="24" t="s">
        <v>142</v>
      </c>
      <c r="C8" s="24" t="s">
        <v>855</v>
      </c>
      <c r="D8" s="113" t="s">
        <v>112</v>
      </c>
      <c r="E8" s="62">
        <v>2</v>
      </c>
      <c r="F8" s="32"/>
      <c r="G8" s="57" t="str">
        <f>Table_0[[#This Row],[Driver]]</f>
        <v>George RussellMercedes</v>
      </c>
      <c r="H8" s="58">
        <f>IFERROR(VALUE(_xlfn.XLOOKUP(G8,Table_0[Driver],Table_0[Pos])),"R")</f>
        <v>6</v>
      </c>
      <c r="I8" s="51" t="str">
        <f>_xlfn.XLOOKUP(Table_0[[#This Row],[Driver]],DriverNameMapping!$A$2:$A$24,DriverNameMapping!$B$2:$B$24)</f>
        <v>George Russell</v>
      </c>
      <c r="J8" s="52" t="str">
        <f>_xlfn.XLOOKUP(G8,Table_0[Driver],Table_0[Time])</f>
        <v>+ 39.936</v>
      </c>
      <c r="K8" s="52" t="str">
        <f>_xlfn.XLOOKUP(G8,Table_0[Driver],Table_0[Stops])</f>
        <v>1</v>
      </c>
      <c r="L8" s="60" cm="1">
        <f t="array" ref="L8">_xlfn.XLOOKUP(H8,VALUE(Table_0[Pos]),$E$3:$E$22,0)</f>
        <v>2</v>
      </c>
      <c r="N8" s="4">
        <v>6</v>
      </c>
      <c r="O8" t="s">
        <v>82</v>
      </c>
      <c r="P8" t="s">
        <v>87</v>
      </c>
      <c r="Q8" t="s">
        <v>86</v>
      </c>
      <c r="R8" t="s">
        <v>89</v>
      </c>
      <c r="S8" t="s">
        <v>89</v>
      </c>
      <c r="U8" t="s">
        <v>93</v>
      </c>
      <c r="V8" t="s">
        <v>82</v>
      </c>
      <c r="W8" t="s">
        <v>91</v>
      </c>
      <c r="X8" t="s">
        <v>87</v>
      </c>
      <c r="Y8" t="s">
        <v>91</v>
      </c>
      <c r="Z8" t="s">
        <v>76</v>
      </c>
      <c r="AA8" t="s">
        <v>76</v>
      </c>
      <c r="AB8" t="s">
        <v>89</v>
      </c>
      <c r="AC8" t="s">
        <v>89</v>
      </c>
      <c r="AD8" t="s">
        <v>85</v>
      </c>
      <c r="AE8" t="s">
        <v>87</v>
      </c>
      <c r="AF8" t="s">
        <v>88</v>
      </c>
      <c r="AG8" t="s">
        <v>85</v>
      </c>
      <c r="AH8" t="s">
        <v>76</v>
      </c>
      <c r="AI8" t="s">
        <v>87</v>
      </c>
      <c r="AJ8" t="s">
        <v>87</v>
      </c>
      <c r="AK8" t="s">
        <v>78</v>
      </c>
    </row>
    <row r="9" spans="1:37" x14ac:dyDescent="0.3">
      <c r="A9" s="112" t="s">
        <v>124</v>
      </c>
      <c r="B9" s="24" t="s">
        <v>856</v>
      </c>
      <c r="C9" s="24" t="s">
        <v>857</v>
      </c>
      <c r="D9" s="113" t="s">
        <v>112</v>
      </c>
      <c r="E9" s="62">
        <v>6</v>
      </c>
      <c r="F9" s="32"/>
      <c r="G9" s="57" t="str">
        <f>Table_0[[#This Row],[Driver]]</f>
        <v>Oliver BearmanFerrari</v>
      </c>
      <c r="H9" s="58">
        <f>IFERROR(VALUE(_xlfn.XLOOKUP(G9,Table_0[Driver],Table_0[Pos])),"R")</f>
        <v>7</v>
      </c>
      <c r="I9" s="51" t="str">
        <f>_xlfn.XLOOKUP(Table_0[[#This Row],[Driver]],DriverNameMapping!$A$2:$A$24,DriverNameMapping!$B$2:$B$24)</f>
        <v>Oliver Bearman</v>
      </c>
      <c r="J9" s="52" t="str">
        <f>_xlfn.XLOOKUP(G9,Table_0[Driver],Table_0[Time])</f>
        <v>+ 42.679</v>
      </c>
      <c r="K9" s="52" t="str">
        <f>_xlfn.XLOOKUP(G9,Table_0[Driver],Table_0[Stops])</f>
        <v>1</v>
      </c>
      <c r="L9" s="60" cm="1">
        <f t="array" ref="L9">_xlfn.XLOOKUP(H9,VALUE(Table_0[Pos]),$E$3:$E$22,0)</f>
        <v>6</v>
      </c>
      <c r="N9" s="4">
        <v>7</v>
      </c>
      <c r="O9" t="s">
        <v>76</v>
      </c>
      <c r="P9" t="s">
        <v>93</v>
      </c>
      <c r="Q9" t="s">
        <v>79</v>
      </c>
      <c r="R9" t="s">
        <v>82</v>
      </c>
      <c r="S9" t="s">
        <v>93</v>
      </c>
      <c r="U9" t="s">
        <v>85</v>
      </c>
      <c r="V9" t="s">
        <v>88</v>
      </c>
      <c r="W9" t="s">
        <v>75</v>
      </c>
      <c r="X9" t="s">
        <v>76</v>
      </c>
      <c r="Y9" t="s">
        <v>88</v>
      </c>
      <c r="Z9" t="s">
        <v>93</v>
      </c>
      <c r="AA9" t="s">
        <v>86</v>
      </c>
      <c r="AB9" t="s">
        <v>86</v>
      </c>
      <c r="AC9" t="s">
        <v>75</v>
      </c>
      <c r="AD9" t="s">
        <v>78</v>
      </c>
      <c r="AE9" t="s">
        <v>76</v>
      </c>
      <c r="AF9" t="s">
        <v>77</v>
      </c>
      <c r="AG9" t="s">
        <v>82</v>
      </c>
      <c r="AH9" t="s">
        <v>209</v>
      </c>
      <c r="AI9" t="s">
        <v>85</v>
      </c>
      <c r="AJ9" t="s">
        <v>89</v>
      </c>
      <c r="AK9" t="s">
        <v>88</v>
      </c>
    </row>
    <row r="10" spans="1:37" x14ac:dyDescent="0.3">
      <c r="A10" s="112" t="s">
        <v>126</v>
      </c>
      <c r="B10" s="24" t="s">
        <v>137</v>
      </c>
      <c r="C10" s="24" t="s">
        <v>858</v>
      </c>
      <c r="D10" s="113" t="s">
        <v>112</v>
      </c>
      <c r="E10" s="62">
        <v>10</v>
      </c>
      <c r="F10" s="32"/>
      <c r="G10" s="57" t="str">
        <f>Table_0[[#This Row],[Driver]]</f>
        <v>Lando NorrisMcLaren</v>
      </c>
      <c r="H10" s="58">
        <f>IFERROR(VALUE(_xlfn.XLOOKUP(G10,Table_0[Driver],Table_0[Pos])),"R")</f>
        <v>8</v>
      </c>
      <c r="I10" s="51" t="str">
        <f>_xlfn.XLOOKUP(Table_0[[#This Row],[Driver]],DriverNameMapping!$A$2:$A$24,DriverNameMapping!$B$2:$B$24)</f>
        <v>Lando Norris</v>
      </c>
      <c r="J10" s="52" t="str">
        <f>_xlfn.XLOOKUP(G10,Table_0[Driver],Table_0[Time])</f>
        <v>+ 45.708</v>
      </c>
      <c r="K10" s="52" t="str">
        <f>_xlfn.XLOOKUP(G10,Table_0[Driver],Table_0[Stops])</f>
        <v>1</v>
      </c>
      <c r="L10" s="60" cm="1">
        <f t="array" ref="L10">_xlfn.XLOOKUP(H10,VALUE(Table_0[Pos]),$E$3:$E$22,0)</f>
        <v>10</v>
      </c>
      <c r="N10" s="4">
        <v>8</v>
      </c>
      <c r="O10" t="s">
        <v>80</v>
      </c>
      <c r="P10" t="s">
        <v>77</v>
      </c>
      <c r="Q10" t="s">
        <v>78</v>
      </c>
      <c r="R10" t="s">
        <v>76</v>
      </c>
      <c r="S10" t="s">
        <v>85</v>
      </c>
      <c r="U10" t="s">
        <v>87</v>
      </c>
      <c r="V10" t="s">
        <v>77</v>
      </c>
      <c r="W10" t="s">
        <v>77</v>
      </c>
      <c r="X10" t="s">
        <v>89</v>
      </c>
      <c r="Y10" t="s">
        <v>75</v>
      </c>
      <c r="Z10" t="s">
        <v>87</v>
      </c>
      <c r="AA10" t="s">
        <v>77</v>
      </c>
      <c r="AB10" t="s">
        <v>75</v>
      </c>
      <c r="AC10" t="s">
        <v>86</v>
      </c>
      <c r="AD10" t="s">
        <v>91</v>
      </c>
      <c r="AE10" t="s">
        <v>88</v>
      </c>
      <c r="AF10" t="s">
        <v>80</v>
      </c>
      <c r="AG10" t="s">
        <v>218</v>
      </c>
      <c r="AH10" t="s">
        <v>78</v>
      </c>
      <c r="AI10" t="s">
        <v>89</v>
      </c>
      <c r="AJ10" t="s">
        <v>76</v>
      </c>
      <c r="AK10" t="s">
        <v>218</v>
      </c>
    </row>
    <row r="11" spans="1:37" x14ac:dyDescent="0.3">
      <c r="A11" s="112" t="s">
        <v>128</v>
      </c>
      <c r="B11" s="24" t="s">
        <v>117</v>
      </c>
      <c r="C11" s="24" t="s">
        <v>859</v>
      </c>
      <c r="D11" s="113" t="s">
        <v>112</v>
      </c>
      <c r="E11" s="62">
        <v>15</v>
      </c>
      <c r="F11" s="32"/>
      <c r="G11" s="57" t="str">
        <f>Table_0[[#This Row],[Driver]]</f>
        <v>Lewis HamiltonMercedes</v>
      </c>
      <c r="H11" s="58">
        <f>IFERROR(VALUE(_xlfn.XLOOKUP(G11,Table_0[Driver],Table_0[Pos])),"R")</f>
        <v>9</v>
      </c>
      <c r="I11" s="51" t="str">
        <f>_xlfn.XLOOKUP(Table_0[[#This Row],[Driver]],DriverNameMapping!$A$2:$A$24,DriverNameMapping!$B$2:$B$24)</f>
        <v>Lewis Hamilton</v>
      </c>
      <c r="J11" s="52" t="str">
        <f>_xlfn.XLOOKUP(G11,Table_0[Driver],Table_0[Time])</f>
        <v>+ 47.391</v>
      </c>
      <c r="K11" s="52" t="str">
        <f>_xlfn.XLOOKUP(G11,Table_0[Driver],Table_0[Stops])</f>
        <v>1</v>
      </c>
      <c r="L11" s="60" cm="1">
        <f t="array" ref="L11">_xlfn.XLOOKUP(H11,VALUE(Table_0[Pos]),$E$3:$E$22,0)</f>
        <v>15</v>
      </c>
      <c r="N11" s="4">
        <v>9</v>
      </c>
      <c r="O11" t="s">
        <v>85</v>
      </c>
      <c r="P11" t="s">
        <v>85</v>
      </c>
      <c r="Q11" t="s">
        <v>84</v>
      </c>
      <c r="R11" t="s">
        <v>86</v>
      </c>
      <c r="S11" t="s">
        <v>77</v>
      </c>
      <c r="U11" t="s">
        <v>86</v>
      </c>
      <c r="V11" t="s">
        <v>84</v>
      </c>
      <c r="W11" t="s">
        <v>82</v>
      </c>
      <c r="X11" t="s">
        <v>82</v>
      </c>
      <c r="Y11" t="s">
        <v>93</v>
      </c>
      <c r="Z11" t="s">
        <v>88</v>
      </c>
      <c r="AA11" t="s">
        <v>82</v>
      </c>
      <c r="AB11" t="s">
        <v>78</v>
      </c>
      <c r="AC11" t="s">
        <v>88</v>
      </c>
      <c r="AD11" t="s">
        <v>215</v>
      </c>
      <c r="AE11" t="s">
        <v>85</v>
      </c>
      <c r="AF11" t="s">
        <v>84</v>
      </c>
      <c r="AG11" t="s">
        <v>75</v>
      </c>
      <c r="AH11" t="s">
        <v>75</v>
      </c>
      <c r="AI11" t="s">
        <v>218</v>
      </c>
      <c r="AJ11" t="s">
        <v>88</v>
      </c>
      <c r="AK11" t="s">
        <v>89</v>
      </c>
    </row>
    <row r="12" spans="1:37" x14ac:dyDescent="0.3">
      <c r="A12" s="112" t="s">
        <v>130</v>
      </c>
      <c r="B12" s="24" t="s">
        <v>139</v>
      </c>
      <c r="C12" s="24" t="s">
        <v>860</v>
      </c>
      <c r="D12" s="113" t="s">
        <v>112</v>
      </c>
      <c r="E12" s="62">
        <v>25</v>
      </c>
      <c r="F12" s="32"/>
      <c r="G12" s="57" t="str">
        <f>Table_0[[#This Row],[Driver]]</f>
        <v>Nico HulkenbergHaas</v>
      </c>
      <c r="H12" s="58">
        <f>IFERROR(VALUE(_xlfn.XLOOKUP(G12,Table_0[Driver],Table_0[Pos])),"R")</f>
        <v>10</v>
      </c>
      <c r="I12" s="51" t="str">
        <f>_xlfn.XLOOKUP(Table_0[[#This Row],[Driver]],DriverNameMapping!$A$2:$A$24,DriverNameMapping!$B$2:$B$24)</f>
        <v>Nico Hulkenberg</v>
      </c>
      <c r="J12" s="52" t="str">
        <f>_xlfn.XLOOKUP(G12,Table_0[Driver],Table_0[Time])</f>
        <v>+ 76.996</v>
      </c>
      <c r="K12" s="52" t="str">
        <f>_xlfn.XLOOKUP(G12,Table_0[Driver],Table_0[Stops])</f>
        <v>1</v>
      </c>
      <c r="L12" s="60" cm="1">
        <f t="array" ref="L12">_xlfn.XLOOKUP(H12,VALUE(Table_0[Pos]),$E$3:$E$22,0)</f>
        <v>25</v>
      </c>
      <c r="N12" s="4">
        <v>10</v>
      </c>
      <c r="O12" t="s">
        <v>75</v>
      </c>
      <c r="P12" t="s">
        <v>90</v>
      </c>
      <c r="Q12" t="s">
        <v>81</v>
      </c>
      <c r="R12" t="s">
        <v>81</v>
      </c>
      <c r="S12" t="s">
        <v>90</v>
      </c>
      <c r="U12" t="s">
        <v>78</v>
      </c>
      <c r="V12" t="s">
        <v>85</v>
      </c>
      <c r="W12" t="s">
        <v>80</v>
      </c>
      <c r="X12" t="s">
        <v>85</v>
      </c>
      <c r="Y12" t="s">
        <v>87</v>
      </c>
      <c r="Z12" t="s">
        <v>82</v>
      </c>
      <c r="AA12" t="s">
        <v>81</v>
      </c>
      <c r="AB12" t="s">
        <v>77</v>
      </c>
      <c r="AC12" t="s">
        <v>80</v>
      </c>
      <c r="AD12" t="s">
        <v>90</v>
      </c>
      <c r="AE12" t="s">
        <v>77</v>
      </c>
      <c r="AF12" t="s">
        <v>91</v>
      </c>
      <c r="AG12" t="s">
        <v>135</v>
      </c>
      <c r="AH12" t="s">
        <v>77</v>
      </c>
      <c r="AI12" t="s">
        <v>77</v>
      </c>
      <c r="AJ12" t="s">
        <v>78</v>
      </c>
      <c r="AK12" t="s">
        <v>82</v>
      </c>
    </row>
    <row r="13" spans="1:37" x14ac:dyDescent="0.3">
      <c r="A13" s="112" t="s">
        <v>131</v>
      </c>
      <c r="B13" s="24" t="s">
        <v>125</v>
      </c>
      <c r="C13" s="24" t="s">
        <v>861</v>
      </c>
      <c r="D13" s="113" t="s">
        <v>112</v>
      </c>
      <c r="E13" s="62">
        <v>18</v>
      </c>
      <c r="F13" s="32"/>
      <c r="G13" s="57" t="str">
        <f>Table_0[[#This Row],[Driver]]</f>
        <v>Alex AlbonWilliams</v>
      </c>
      <c r="H13" s="58">
        <f>IFERROR(VALUE(_xlfn.XLOOKUP(G13,Table_0[Driver],Table_0[Pos])),"R")</f>
        <v>11</v>
      </c>
      <c r="I13" s="51" t="str">
        <f>_xlfn.XLOOKUP(Table_0[[#This Row],[Driver]],DriverNameMapping!$A$2:$A$24,DriverNameMapping!$B$2:$B$24)</f>
        <v>Alex Albon</v>
      </c>
      <c r="J13" s="52" t="str">
        <f>_xlfn.XLOOKUP(G13,Table_0[Driver],Table_0[Time])</f>
        <v>+ 88.354</v>
      </c>
      <c r="K13" s="52" t="str">
        <f>_xlfn.XLOOKUP(G13,Table_0[Driver],Table_0[Stops])</f>
        <v>1</v>
      </c>
      <c r="L13" s="60" cm="1">
        <f t="array" ref="L13">_xlfn.XLOOKUP(H13,VALUE(Table_0[Pos]),$E$3:$E$22,0)</f>
        <v>18</v>
      </c>
      <c r="N13" s="4">
        <v>11</v>
      </c>
      <c r="O13" t="s">
        <v>81</v>
      </c>
      <c r="P13" t="s">
        <v>81</v>
      </c>
      <c r="Q13" t="s">
        <v>80</v>
      </c>
      <c r="R13" t="s">
        <v>78</v>
      </c>
      <c r="S13" t="s">
        <v>81</v>
      </c>
      <c r="U13" t="s">
        <v>80</v>
      </c>
      <c r="V13" t="s">
        <v>93</v>
      </c>
      <c r="W13" t="s">
        <v>78</v>
      </c>
      <c r="X13" t="s">
        <v>75</v>
      </c>
      <c r="Y13" t="s">
        <v>135</v>
      </c>
      <c r="Z13" t="s">
        <v>75</v>
      </c>
      <c r="AA13" t="s">
        <v>85</v>
      </c>
      <c r="AB13" t="s">
        <v>82</v>
      </c>
      <c r="AC13" t="s">
        <v>215</v>
      </c>
      <c r="AD13" t="s">
        <v>75</v>
      </c>
      <c r="AE13" t="s">
        <v>213</v>
      </c>
      <c r="AF13" t="s">
        <v>82</v>
      </c>
      <c r="AG13" t="s">
        <v>79</v>
      </c>
      <c r="AH13" t="s">
        <v>85</v>
      </c>
      <c r="AI13" t="s">
        <v>135</v>
      </c>
      <c r="AJ13" t="s">
        <v>85</v>
      </c>
      <c r="AK13" t="s">
        <v>209</v>
      </c>
    </row>
    <row r="14" spans="1:37" x14ac:dyDescent="0.3">
      <c r="A14" s="112" t="s">
        <v>133</v>
      </c>
      <c r="B14" s="24" t="s">
        <v>140</v>
      </c>
      <c r="C14" s="24" t="s">
        <v>862</v>
      </c>
      <c r="D14" s="113" t="s">
        <v>112</v>
      </c>
      <c r="E14" s="62">
        <v>12</v>
      </c>
      <c r="F14" s="32"/>
      <c r="G14" s="57" t="str">
        <f>Table_0[[#This Row],[Driver]]</f>
        <v>Kevin MagnussenHaas</v>
      </c>
      <c r="H14" s="58">
        <f>IFERROR(VALUE(_xlfn.XLOOKUP(G14,Table_0[Driver],Table_0[Pos])),"R")</f>
        <v>12</v>
      </c>
      <c r="I14" s="51" t="str">
        <f>_xlfn.XLOOKUP(Table_0[[#This Row],[Driver]],DriverNameMapping!$A$2:$A$24,DriverNameMapping!$B$2:$B$24)</f>
        <v>Kevin Magnussen</v>
      </c>
      <c r="J14" s="52" t="str">
        <f>_xlfn.XLOOKUP(G14,Table_0[Driver],Table_0[Time])</f>
        <v>+ 105.737</v>
      </c>
      <c r="K14" s="52" t="str">
        <f>_xlfn.XLOOKUP(G14,Table_0[Driver],Table_0[Stops])</f>
        <v>1</v>
      </c>
      <c r="L14" s="60" cm="1">
        <f t="array" ref="L14">_xlfn.XLOOKUP(H14,VALUE(Table_0[Pos]),$E$3:$E$22,0)</f>
        <v>12</v>
      </c>
      <c r="N14" s="4">
        <v>12</v>
      </c>
      <c r="O14" t="s">
        <v>135</v>
      </c>
      <c r="P14" t="s">
        <v>79</v>
      </c>
      <c r="Q14" t="s">
        <v>87</v>
      </c>
      <c r="R14" t="s">
        <v>75</v>
      </c>
      <c r="S14" t="s">
        <v>82</v>
      </c>
      <c r="U14" t="s">
        <v>92</v>
      </c>
      <c r="V14" t="s">
        <v>81</v>
      </c>
      <c r="W14" t="s">
        <v>85</v>
      </c>
      <c r="X14" t="s">
        <v>84</v>
      </c>
      <c r="Y14" t="s">
        <v>80</v>
      </c>
      <c r="Z14" t="s">
        <v>80</v>
      </c>
      <c r="AA14" t="s">
        <v>80</v>
      </c>
      <c r="AB14" t="s">
        <v>79</v>
      </c>
      <c r="AC14" t="s">
        <v>78</v>
      </c>
      <c r="AD14" t="s">
        <v>84</v>
      </c>
      <c r="AE14" t="s">
        <v>218</v>
      </c>
      <c r="AF14" t="s">
        <v>85</v>
      </c>
      <c r="AG14" t="s">
        <v>80</v>
      </c>
      <c r="AH14" t="s">
        <v>218</v>
      </c>
      <c r="AI14" t="s">
        <v>79</v>
      </c>
      <c r="AJ14" t="s">
        <v>75</v>
      </c>
      <c r="AK14" t="s">
        <v>77</v>
      </c>
    </row>
    <row r="15" spans="1:37" x14ac:dyDescent="0.3">
      <c r="A15" s="112" t="s">
        <v>136</v>
      </c>
      <c r="B15" s="24" t="s">
        <v>127</v>
      </c>
      <c r="C15" s="24" t="s">
        <v>230</v>
      </c>
      <c r="D15" s="113" t="s">
        <v>112</v>
      </c>
      <c r="E15" s="62">
        <v>8</v>
      </c>
      <c r="F15" s="32"/>
      <c r="G15" s="57" t="str">
        <f>Table_0[[#This Row],[Driver]]</f>
        <v>Esteban OconAlpine</v>
      </c>
      <c r="H15" s="58">
        <f>IFERROR(VALUE(_xlfn.XLOOKUP(G15,Table_0[Driver],Table_0[Pos])),"R")</f>
        <v>13</v>
      </c>
      <c r="I15" s="51" t="str">
        <f>_xlfn.XLOOKUP(Table_0[[#This Row],[Driver]],DriverNameMapping!$A$2:$A$24,DriverNameMapping!$B$2:$B$24)</f>
        <v>Esteban Ocon</v>
      </c>
      <c r="J15" s="52" t="str">
        <f>_xlfn.XLOOKUP(G15,Table_0[Driver],Table_0[Time])</f>
        <v>+ 1 LAP</v>
      </c>
      <c r="K15" s="52" t="str">
        <f>_xlfn.XLOOKUP(G15,Table_0[Driver],Table_0[Stops])</f>
        <v>1</v>
      </c>
      <c r="L15" s="60" cm="1">
        <f t="array" ref="L15">_xlfn.XLOOKUP(H15,VALUE(Table_0[Pos]),$E$3:$E$22,0)</f>
        <v>8</v>
      </c>
      <c r="N15" s="4">
        <v>13</v>
      </c>
      <c r="O15" t="s">
        <v>90</v>
      </c>
      <c r="P15" t="s">
        <v>84</v>
      </c>
      <c r="Q15" t="s">
        <v>92</v>
      </c>
      <c r="R15" t="s">
        <v>90</v>
      </c>
      <c r="S15" t="s">
        <v>80</v>
      </c>
      <c r="U15" t="s">
        <v>84</v>
      </c>
      <c r="V15" t="s">
        <v>78</v>
      </c>
      <c r="W15" t="s">
        <v>86</v>
      </c>
      <c r="X15" t="s">
        <v>135</v>
      </c>
      <c r="Y15" t="s">
        <v>79</v>
      </c>
      <c r="Z15" t="s">
        <v>209</v>
      </c>
      <c r="AA15" t="s">
        <v>84</v>
      </c>
      <c r="AB15" t="s">
        <v>213</v>
      </c>
      <c r="AC15" t="s">
        <v>135</v>
      </c>
      <c r="AD15" t="s">
        <v>79</v>
      </c>
      <c r="AE15" t="s">
        <v>84</v>
      </c>
      <c r="AF15" t="s">
        <v>75</v>
      </c>
      <c r="AG15" t="s">
        <v>84</v>
      </c>
      <c r="AH15" t="s">
        <v>79</v>
      </c>
      <c r="AI15" t="s">
        <v>209</v>
      </c>
      <c r="AJ15" t="s">
        <v>90</v>
      </c>
      <c r="AK15" t="s">
        <v>85</v>
      </c>
    </row>
    <row r="16" spans="1:37" x14ac:dyDescent="0.3">
      <c r="A16" s="112" t="s">
        <v>138</v>
      </c>
      <c r="B16" s="24" t="s">
        <v>279</v>
      </c>
      <c r="C16" s="24" t="s">
        <v>230</v>
      </c>
      <c r="D16" s="113" t="s">
        <v>112</v>
      </c>
      <c r="E16" s="62">
        <v>4</v>
      </c>
      <c r="F16" s="32"/>
      <c r="G16" s="57" t="str">
        <f>Table_0[[#This Row],[Driver]]</f>
        <v>Yuki TsunodaTeam RB</v>
      </c>
      <c r="H16" s="58">
        <f>IFERROR(VALUE(_xlfn.XLOOKUP(G16,Table_0[Driver],Table_0[Pos])),"R")</f>
        <v>14</v>
      </c>
      <c r="I16" s="51" t="str">
        <f>_xlfn.XLOOKUP(Table_0[[#This Row],[Driver]],DriverNameMapping!$A$2:$A$24,DriverNameMapping!$B$2:$B$24)</f>
        <v>Yuki Tsunoda</v>
      </c>
      <c r="J16" s="52" t="str">
        <f>_xlfn.XLOOKUP(G16,Table_0[Driver],Table_0[Time])</f>
        <v>+ 1 LAP</v>
      </c>
      <c r="K16" s="52" t="str">
        <f>_xlfn.XLOOKUP(G16,Table_0[Driver],Table_0[Stops])</f>
        <v>1</v>
      </c>
      <c r="L16" s="60" cm="1">
        <f t="array" ref="L16">_xlfn.XLOOKUP(H16,VALUE(Table_0[Pos]),$E$3:$E$22,0)</f>
        <v>4</v>
      </c>
      <c r="N16" s="4">
        <v>14</v>
      </c>
      <c r="O16" t="s">
        <v>92</v>
      </c>
      <c r="P16" t="s">
        <v>92</v>
      </c>
      <c r="Q16" t="s">
        <v>85</v>
      </c>
      <c r="R16" t="s">
        <v>85</v>
      </c>
      <c r="S16" t="s">
        <v>75</v>
      </c>
      <c r="U16" t="s">
        <v>75</v>
      </c>
      <c r="V16" t="s">
        <v>92</v>
      </c>
      <c r="W16" t="s">
        <v>81</v>
      </c>
      <c r="X16" t="s">
        <v>77</v>
      </c>
      <c r="Y16" t="s">
        <v>82</v>
      </c>
      <c r="Z16" t="s">
        <v>79</v>
      </c>
      <c r="AA16" t="s">
        <v>75</v>
      </c>
      <c r="AB16" t="s">
        <v>90</v>
      </c>
      <c r="AC16" t="s">
        <v>84</v>
      </c>
      <c r="AD16" t="s">
        <v>135</v>
      </c>
      <c r="AE16" t="s">
        <v>79</v>
      </c>
      <c r="AF16" t="s">
        <v>90</v>
      </c>
      <c r="AG16" t="s">
        <v>90</v>
      </c>
      <c r="AH16" t="s">
        <v>84</v>
      </c>
      <c r="AI16" t="s">
        <v>78</v>
      </c>
      <c r="AJ16" t="s">
        <v>209</v>
      </c>
      <c r="AK16" t="s">
        <v>75</v>
      </c>
    </row>
    <row r="17" spans="1:37" x14ac:dyDescent="0.3">
      <c r="A17" s="112" t="s">
        <v>226</v>
      </c>
      <c r="B17" s="24" t="s">
        <v>143</v>
      </c>
      <c r="C17" s="24" t="s">
        <v>230</v>
      </c>
      <c r="D17" s="113" t="s">
        <v>112</v>
      </c>
      <c r="E17" s="62">
        <v>1</v>
      </c>
      <c r="F17" s="32"/>
      <c r="G17" s="57" t="str">
        <f>Table_0[[#This Row],[Driver]]</f>
        <v>Logan SargeantWilliams</v>
      </c>
      <c r="H17" s="58">
        <f>IFERROR(VALUE(_xlfn.XLOOKUP(G17,Table_0[Driver],Table_0[Pos])),"R")</f>
        <v>15</v>
      </c>
      <c r="I17" s="51" t="str">
        <f>_xlfn.XLOOKUP(Table_0[[#This Row],[Driver]],DriverNameMapping!$A$2:$A$24,DriverNameMapping!$B$2:$B$24)</f>
        <v>Logan Sargeant</v>
      </c>
      <c r="J17" s="52" t="str">
        <f>_xlfn.XLOOKUP(G17,Table_0[Driver],Table_0[Time])</f>
        <v>+ 1 LAP</v>
      </c>
      <c r="K17" s="52" t="str">
        <f>_xlfn.XLOOKUP(G17,Table_0[Driver],Table_0[Stops])</f>
        <v>1</v>
      </c>
      <c r="L17" s="60" cm="1">
        <f t="array" ref="L17">_xlfn.XLOOKUP(H17,VALUE(Table_0[Pos]),$E$3:$E$22,0)</f>
        <v>1</v>
      </c>
      <c r="N17" s="4">
        <v>15</v>
      </c>
      <c r="O17" t="s">
        <v>79</v>
      </c>
      <c r="P17" t="s">
        <v>78</v>
      </c>
      <c r="Q17" t="s">
        <v>77</v>
      </c>
      <c r="R17" t="s">
        <v>77</v>
      </c>
      <c r="S17" t="s">
        <v>79</v>
      </c>
      <c r="U17" t="s">
        <v>81</v>
      </c>
      <c r="V17" t="s">
        <v>79</v>
      </c>
      <c r="W17" t="s">
        <v>79</v>
      </c>
      <c r="X17" t="s">
        <v>80</v>
      </c>
      <c r="Y17" t="s">
        <v>84</v>
      </c>
      <c r="Z17" t="s">
        <v>81</v>
      </c>
      <c r="AA17" t="s">
        <v>90</v>
      </c>
      <c r="AB17" t="s">
        <v>80</v>
      </c>
      <c r="AC17" t="s">
        <v>85</v>
      </c>
      <c r="AD17" t="s">
        <v>88</v>
      </c>
      <c r="AE17" t="s">
        <v>90</v>
      </c>
      <c r="AF17" t="s">
        <v>218</v>
      </c>
      <c r="AG17" t="s">
        <v>209</v>
      </c>
      <c r="AH17" t="s">
        <v>135</v>
      </c>
      <c r="AI17" t="s">
        <v>93</v>
      </c>
      <c r="AJ17" t="s">
        <v>84</v>
      </c>
      <c r="AK17" t="s">
        <v>79</v>
      </c>
    </row>
    <row r="18" spans="1:37" x14ac:dyDescent="0.3">
      <c r="A18" s="112" t="s">
        <v>227</v>
      </c>
      <c r="B18" s="24" t="s">
        <v>280</v>
      </c>
      <c r="C18" s="24" t="s">
        <v>230</v>
      </c>
      <c r="D18" s="113" t="s">
        <v>112</v>
      </c>
      <c r="E18" s="61"/>
      <c r="F18" s="31"/>
      <c r="G18" s="57" t="str">
        <f>Table_0[[#This Row],[Driver]]</f>
        <v>Daniel RicciardoTeam RB</v>
      </c>
      <c r="H18" s="58">
        <f>IFERROR(VALUE(_xlfn.XLOOKUP(G18,Table_0[Driver],Table_0[Pos])),"R")</f>
        <v>16</v>
      </c>
      <c r="I18" s="51" t="str">
        <f>_xlfn.XLOOKUP(Table_0[[#This Row],[Driver]],DriverNameMapping!$A$2:$A$24,DriverNameMapping!$B$2:$B$24)</f>
        <v>Daniel Ricciardo</v>
      </c>
      <c r="J18" s="52" t="str">
        <f>_xlfn.XLOOKUP(G18,Table_0[Driver],Table_0[Time])</f>
        <v>+ 1 LAP</v>
      </c>
      <c r="K18" s="52" t="str">
        <f>_xlfn.XLOOKUP(G18,Table_0[Driver],Table_0[Stops])</f>
        <v>1</v>
      </c>
      <c r="L18" s="60" cm="1">
        <f t="array" ref="L18">_xlfn.XLOOKUP(H18,VALUE(Table_0[Pos]),$E$3:$E$22,0)</f>
        <v>0</v>
      </c>
      <c r="N18" s="4">
        <v>16</v>
      </c>
      <c r="O18" t="s">
        <v>84</v>
      </c>
      <c r="P18" t="s">
        <v>135</v>
      </c>
      <c r="Q18" t="s">
        <v>93</v>
      </c>
      <c r="R18" t="s">
        <v>135</v>
      </c>
      <c r="S18" t="s">
        <v>84</v>
      </c>
      <c r="U18" t="s">
        <v>79</v>
      </c>
      <c r="V18" t="s">
        <v>75</v>
      </c>
      <c r="W18" t="s">
        <v>84</v>
      </c>
      <c r="X18" t="s">
        <v>78</v>
      </c>
      <c r="Y18" t="s">
        <v>81</v>
      </c>
      <c r="Z18" t="s">
        <v>84</v>
      </c>
      <c r="AA18" t="s">
        <v>209</v>
      </c>
      <c r="AB18" t="s">
        <v>81</v>
      </c>
      <c r="AC18" t="s">
        <v>82</v>
      </c>
      <c r="AD18" t="s">
        <v>76</v>
      </c>
      <c r="AE18" t="s">
        <v>75</v>
      </c>
      <c r="AF18" t="s">
        <v>79</v>
      </c>
      <c r="AG18" t="s">
        <v>93</v>
      </c>
      <c r="AH18" t="s">
        <v>80</v>
      </c>
      <c r="AI18" t="s">
        <v>90</v>
      </c>
      <c r="AJ18" t="s">
        <v>135</v>
      </c>
      <c r="AK18" t="s">
        <v>135</v>
      </c>
    </row>
    <row r="19" spans="1:37" x14ac:dyDescent="0.3">
      <c r="A19" s="112" t="s">
        <v>228</v>
      </c>
      <c r="B19" s="24" t="s">
        <v>281</v>
      </c>
      <c r="C19" s="24" t="s">
        <v>230</v>
      </c>
      <c r="D19" s="113" t="s">
        <v>114</v>
      </c>
      <c r="E19" s="61"/>
      <c r="F19" s="31"/>
      <c r="G19" s="57" t="str">
        <f>Table_0[[#This Row],[Driver]]</f>
        <v>Valtteri BottasKick Sauber</v>
      </c>
      <c r="H19" s="58">
        <f>IFERROR(VALUE(_xlfn.XLOOKUP(G19,Table_0[Driver],Table_0[Pos])),"R")</f>
        <v>17</v>
      </c>
      <c r="I19" s="51" t="str">
        <f>_xlfn.XLOOKUP(Table_0[[#This Row],[Driver]],DriverNameMapping!$A$2:$A$24,DriverNameMapping!$B$2:$B$24)</f>
        <v>Valtteri Bottas</v>
      </c>
      <c r="J19" s="52" t="str">
        <f>_xlfn.XLOOKUP(G19,Table_0[Driver],Table_0[Time])</f>
        <v>+ 1 LAP</v>
      </c>
      <c r="K19" s="52" t="str">
        <f>_xlfn.XLOOKUP(G19,Table_0[Driver],Table_0[Stops])</f>
        <v>2</v>
      </c>
      <c r="L19" s="60" cm="1">
        <f t="array" ref="L19">_xlfn.XLOOKUP(H19,VALUE(Table_0[Pos]),$E$3:$E$22,0)</f>
        <v>0</v>
      </c>
      <c r="N19" s="4">
        <v>17</v>
      </c>
      <c r="O19" t="s">
        <v>86</v>
      </c>
      <c r="P19" t="s">
        <v>86</v>
      </c>
      <c r="Q19" t="s">
        <v>90</v>
      </c>
      <c r="R19" t="s">
        <v>79</v>
      </c>
      <c r="S19" t="s">
        <v>86</v>
      </c>
      <c r="U19" t="s">
        <v>91</v>
      </c>
      <c r="V19" t="s">
        <v>86</v>
      </c>
      <c r="W19" t="s">
        <v>90</v>
      </c>
      <c r="X19" t="s">
        <v>92</v>
      </c>
      <c r="Y19" t="s">
        <v>92</v>
      </c>
      <c r="Z19" t="s">
        <v>90</v>
      </c>
      <c r="AA19" t="s">
        <v>79</v>
      </c>
      <c r="AB19" t="s">
        <v>76</v>
      </c>
      <c r="AC19" t="s">
        <v>79</v>
      </c>
      <c r="AD19" t="s">
        <v>80</v>
      </c>
      <c r="AE19" t="s">
        <v>80</v>
      </c>
      <c r="AF19" t="s">
        <v>213</v>
      </c>
      <c r="AG19" t="s">
        <v>89</v>
      </c>
      <c r="AH19" t="s">
        <v>82</v>
      </c>
      <c r="AI19" t="s">
        <v>75</v>
      </c>
      <c r="AJ19" t="s">
        <v>80</v>
      </c>
      <c r="AK19" t="s">
        <v>84</v>
      </c>
    </row>
    <row r="20" spans="1:37" x14ac:dyDescent="0.3">
      <c r="A20" s="112" t="s">
        <v>282</v>
      </c>
      <c r="B20" s="24" t="s">
        <v>278</v>
      </c>
      <c r="C20" s="24" t="s">
        <v>230</v>
      </c>
      <c r="D20" s="113" t="s">
        <v>112</v>
      </c>
      <c r="E20" s="61"/>
      <c r="F20" s="31"/>
      <c r="G20" s="57" t="str">
        <f>Table_0[[#This Row],[Driver]]</f>
        <v>Guanyu ZhouKick Sauber</v>
      </c>
      <c r="H20" s="58">
        <f>IFERROR(VALUE(_xlfn.XLOOKUP(G20,Table_0[Driver],Table_0[Pos])),"R")</f>
        <v>18</v>
      </c>
      <c r="I20" s="51" t="str">
        <f>_xlfn.XLOOKUP(Table_0[[#This Row],[Driver]],DriverNameMapping!$A$2:$A$24,DriverNameMapping!$B$2:$B$24)</f>
        <v>Guanyu Zhou</v>
      </c>
      <c r="J20" s="52" t="str">
        <f>_xlfn.XLOOKUP(G20,Table_0[Driver],Table_0[Time])</f>
        <v>+ 1 LAP</v>
      </c>
      <c r="K20" s="52" t="str">
        <f>_xlfn.XLOOKUP(G20,Table_0[Driver],Table_0[Stops])</f>
        <v>1</v>
      </c>
      <c r="L20" s="60" cm="1">
        <f t="array" ref="L20">_xlfn.XLOOKUP(H20,VALUE(Table_0[Pos]),$E$3:$E$22,0)</f>
        <v>0</v>
      </c>
      <c r="N20" s="4">
        <v>18</v>
      </c>
      <c r="O20" t="s">
        <v>77</v>
      </c>
      <c r="P20" t="s">
        <v>80</v>
      </c>
      <c r="Q20" t="s">
        <v>76</v>
      </c>
      <c r="R20" t="s">
        <v>80</v>
      </c>
      <c r="S20" t="s">
        <v>92</v>
      </c>
      <c r="U20" t="s">
        <v>135</v>
      </c>
      <c r="V20" t="s">
        <v>90</v>
      </c>
      <c r="W20" t="s">
        <v>92</v>
      </c>
      <c r="X20" t="s">
        <v>90</v>
      </c>
      <c r="Y20" t="s">
        <v>85</v>
      </c>
      <c r="Z20" t="s">
        <v>77</v>
      </c>
      <c r="AA20" t="s">
        <v>135</v>
      </c>
      <c r="AB20" t="s">
        <v>93</v>
      </c>
      <c r="AC20" t="s">
        <v>90</v>
      </c>
      <c r="AD20" t="s">
        <v>77</v>
      </c>
      <c r="AE20" t="s">
        <v>82</v>
      </c>
      <c r="AF20" t="s">
        <v>89</v>
      </c>
      <c r="AG20" t="s">
        <v>77</v>
      </c>
      <c r="AH20" t="s">
        <v>88</v>
      </c>
      <c r="AI20" t="s">
        <v>80</v>
      </c>
      <c r="AJ20" t="s">
        <v>218</v>
      </c>
      <c r="AK20" t="s">
        <v>80</v>
      </c>
    </row>
    <row r="21" spans="1:37" x14ac:dyDescent="0.3">
      <c r="A21" s="112" t="s">
        <v>863</v>
      </c>
      <c r="B21" s="24" t="s">
        <v>129</v>
      </c>
      <c r="C21" s="24" t="s">
        <v>864</v>
      </c>
      <c r="D21" s="113" t="s">
        <v>865</v>
      </c>
      <c r="E21" s="61"/>
      <c r="F21" s="31"/>
      <c r="G21" s="57" t="str">
        <f>Table_0[[#This Row],[Driver]]</f>
        <v>Lance StrollAston Martin</v>
      </c>
      <c r="H21" s="58" t="str">
        <f>IFERROR(VALUE(_xlfn.XLOOKUP(G21,Table_0[Driver],Table_0[Pos])),"R")</f>
        <v>R</v>
      </c>
      <c r="I21" s="51" t="str">
        <f>_xlfn.XLOOKUP(Table_0[[#This Row],[Driver]],DriverNameMapping!$A$2:$A$24,DriverNameMapping!$B$2:$B$24)</f>
        <v>Lance Stroll</v>
      </c>
      <c r="J21" s="52" t="str">
        <f>_xlfn.XLOOKUP(G21,Table_0[Driver],Table_0[Time])</f>
        <v>+ 45 LAPS</v>
      </c>
      <c r="K21" s="52" t="str">
        <f>_xlfn.XLOOKUP(G21,Table_0[Driver],Table_0[Stops])</f>
        <v>0</v>
      </c>
      <c r="L21" s="60" cm="1">
        <f t="array" ref="L21">_xlfn.XLOOKUP(H21,VALUE(Table_0[Pos]),$E$3:$E$22,0)</f>
        <v>0</v>
      </c>
      <c r="N21" s="4">
        <v>19</v>
      </c>
      <c r="O21" t="s">
        <v>93</v>
      </c>
      <c r="P21" t="s">
        <v>75</v>
      </c>
      <c r="Q21" t="s">
        <v>75</v>
      </c>
      <c r="R21" t="s">
        <v>84</v>
      </c>
      <c r="S21" t="s">
        <v>78</v>
      </c>
      <c r="U21" t="s">
        <v>82</v>
      </c>
      <c r="V21" t="s">
        <v>80</v>
      </c>
      <c r="W21" t="s">
        <v>76</v>
      </c>
      <c r="X21" t="s">
        <v>81</v>
      </c>
      <c r="Y21" t="s">
        <v>77</v>
      </c>
      <c r="Z21" t="s">
        <v>85</v>
      </c>
      <c r="AA21" t="s">
        <v>78</v>
      </c>
      <c r="AB21" t="s">
        <v>135</v>
      </c>
      <c r="AC21" t="s">
        <v>77</v>
      </c>
      <c r="AD21" t="s">
        <v>81</v>
      </c>
      <c r="AE21" t="s">
        <v>135</v>
      </c>
      <c r="AF21" t="s">
        <v>87</v>
      </c>
      <c r="AG21" t="s">
        <v>78</v>
      </c>
      <c r="AH21" t="s">
        <v>90</v>
      </c>
      <c r="AI21" t="s">
        <v>84</v>
      </c>
      <c r="AJ21" t="s">
        <v>79</v>
      </c>
      <c r="AK21" t="s">
        <v>90</v>
      </c>
    </row>
    <row r="22" spans="1:37" x14ac:dyDescent="0.3">
      <c r="A22" s="112" t="s">
        <v>863</v>
      </c>
      <c r="B22" s="24" t="s">
        <v>134</v>
      </c>
      <c r="C22" s="24" t="s">
        <v>866</v>
      </c>
      <c r="D22" s="113" t="s">
        <v>112</v>
      </c>
      <c r="E22" s="61"/>
      <c r="F22" s="31"/>
      <c r="G22" s="57" t="str">
        <f>Table_0[[#This Row],[Driver]]</f>
        <v>Pierre GaslyAlpine</v>
      </c>
      <c r="H22" s="58" t="str">
        <f>IFERROR(VALUE(_xlfn.XLOOKUP(G22,Table_0[Driver],Table_0[Pos])),"R")</f>
        <v>R</v>
      </c>
      <c r="I22" s="51" t="str">
        <f>_xlfn.XLOOKUP(Table_0[[#This Row],[Driver]],DriverNameMapping!$A$2:$A$24,DriverNameMapping!$B$2:$B$24)</f>
        <v>Pierre Gasly</v>
      </c>
      <c r="J22" s="52" t="str">
        <f>_xlfn.XLOOKUP(G22,Table_0[Driver],Table_0[Time])</f>
        <v>+ 49 LAPS</v>
      </c>
      <c r="K22" s="52" t="str">
        <f>_xlfn.XLOOKUP(G22,Table_0[Driver],Table_0[Stops])</f>
        <v>1</v>
      </c>
      <c r="L22" s="60" cm="1">
        <f t="array" ref="L22">_xlfn.XLOOKUP(H22,VALUE(Table_0[Pos]),$E$3:$E$22,0)</f>
        <v>0</v>
      </c>
      <c r="N22" s="4">
        <v>20</v>
      </c>
      <c r="O22" t="s">
        <v>78</v>
      </c>
      <c r="P22" t="s">
        <v>82</v>
      </c>
      <c r="Q22" t="s">
        <v>135</v>
      </c>
      <c r="R22" t="s">
        <v>92</v>
      </c>
      <c r="S22" t="s">
        <v>135</v>
      </c>
      <c r="U22" t="s">
        <v>90</v>
      </c>
      <c r="V22" t="s">
        <v>135</v>
      </c>
      <c r="W22" t="s">
        <v>135</v>
      </c>
      <c r="X22" t="s">
        <v>79</v>
      </c>
      <c r="Y22" t="s">
        <v>90</v>
      </c>
      <c r="Z22" t="s">
        <v>135</v>
      </c>
      <c r="AA22" t="s">
        <v>87</v>
      </c>
      <c r="AB22" t="s">
        <v>84</v>
      </c>
      <c r="AC22" t="s">
        <v>81</v>
      </c>
      <c r="AD22" t="s">
        <v>82</v>
      </c>
      <c r="AE22" t="s">
        <v>91</v>
      </c>
      <c r="AF22" t="s">
        <v>135</v>
      </c>
      <c r="AG22" t="s">
        <v>88</v>
      </c>
      <c r="AH22" t="s">
        <v>91</v>
      </c>
      <c r="AI22" t="s">
        <v>76</v>
      </c>
      <c r="AJ22" t="s">
        <v>86</v>
      </c>
      <c r="AK22" t="s">
        <v>87</v>
      </c>
    </row>
    <row r="24" spans="1:37" ht="18" x14ac:dyDescent="0.35">
      <c r="E24" s="31"/>
      <c r="G24" s="86"/>
      <c r="J24" s="13"/>
    </row>
    <row r="25" spans="1:37" x14ac:dyDescent="0.3">
      <c r="E25" s="31"/>
      <c r="J25" s="13"/>
      <c r="O25" s="46"/>
      <c r="P25" s="46"/>
      <c r="Q25" s="46"/>
      <c r="R25" s="46"/>
    </row>
    <row r="26" spans="1:37" x14ac:dyDescent="0.3">
      <c r="E26" s="31"/>
      <c r="J26" s="13"/>
      <c r="O26" s="46"/>
      <c r="P26" s="46"/>
      <c r="Q26" s="46"/>
      <c r="R26" s="46"/>
    </row>
    <row r="27" spans="1:37" x14ac:dyDescent="0.3">
      <c r="E27" s="31"/>
      <c r="J27" s="13"/>
      <c r="O27" s="46"/>
      <c r="P27" s="46"/>
      <c r="Q27" s="46"/>
      <c r="R27" s="46"/>
    </row>
    <row r="28" spans="1:37" x14ac:dyDescent="0.3">
      <c r="E28" s="32"/>
      <c r="J28" s="13"/>
      <c r="O28" s="46"/>
      <c r="P28" s="46"/>
      <c r="Q28" s="46"/>
      <c r="R28" s="46"/>
    </row>
    <row r="29" spans="1:37" x14ac:dyDescent="0.3">
      <c r="E29" s="32"/>
      <c r="J29" s="13"/>
      <c r="O29" s="46"/>
      <c r="P29" s="46"/>
      <c r="Q29" s="46"/>
      <c r="R29" s="46"/>
    </row>
    <row r="30" spans="1:37" x14ac:dyDescent="0.3">
      <c r="E30" s="32"/>
      <c r="J30" s="13"/>
      <c r="O30" s="46"/>
      <c r="P30" s="46"/>
      <c r="Q30" s="46"/>
      <c r="R30" s="46"/>
    </row>
    <row r="31" spans="1:37" x14ac:dyDescent="0.3">
      <c r="E31" s="32"/>
      <c r="J31" s="13"/>
      <c r="O31" s="46"/>
      <c r="P31" s="46"/>
      <c r="Q31" s="46"/>
      <c r="R31" s="46"/>
    </row>
    <row r="32" spans="1:37" x14ac:dyDescent="0.3">
      <c r="E32" s="32"/>
      <c r="J32" s="13"/>
      <c r="O32" s="46"/>
      <c r="P32" s="46"/>
      <c r="Q32" s="46"/>
      <c r="R32" s="46"/>
    </row>
    <row r="33" spans="5:18" x14ac:dyDescent="0.3">
      <c r="E33" s="32"/>
      <c r="J33" s="13"/>
      <c r="O33" s="46"/>
      <c r="P33" s="46"/>
      <c r="Q33" s="46"/>
      <c r="R33" s="46"/>
    </row>
    <row r="34" spans="5:18" x14ac:dyDescent="0.3">
      <c r="E34" s="32"/>
      <c r="J34" s="13"/>
      <c r="O34" s="46"/>
      <c r="P34" s="46"/>
      <c r="Q34" s="46"/>
      <c r="R34" s="46"/>
    </row>
    <row r="35" spans="5:18" x14ac:dyDescent="0.3">
      <c r="E35" s="32"/>
      <c r="J35" s="13"/>
      <c r="O35" s="46"/>
      <c r="P35" s="46"/>
      <c r="Q35" s="46"/>
      <c r="R35" s="46"/>
    </row>
    <row r="36" spans="5:18" x14ac:dyDescent="0.3">
      <c r="E36" s="32"/>
      <c r="J36" s="13"/>
      <c r="O36" s="46"/>
      <c r="P36" s="46"/>
      <c r="Q36" s="46"/>
      <c r="R36" s="46"/>
    </row>
    <row r="37" spans="5:18" x14ac:dyDescent="0.3">
      <c r="E37" s="32"/>
      <c r="J37" s="13"/>
      <c r="O37" s="46"/>
      <c r="P37" s="46"/>
      <c r="Q37" s="46"/>
      <c r="R37" s="46"/>
    </row>
    <row r="38" spans="5:18" x14ac:dyDescent="0.3">
      <c r="E38" s="32"/>
      <c r="J38" s="13"/>
      <c r="O38" s="46"/>
      <c r="P38" s="46"/>
      <c r="Q38" s="46"/>
      <c r="R38" s="46"/>
    </row>
    <row r="39" spans="5:18" x14ac:dyDescent="0.3">
      <c r="E39" s="31"/>
      <c r="J39" s="13"/>
      <c r="O39" s="46"/>
      <c r="P39" s="46"/>
      <c r="Q39" s="46"/>
      <c r="R39" s="46"/>
    </row>
    <row r="40" spans="5:18" x14ac:dyDescent="0.3">
      <c r="E40" s="31"/>
      <c r="J40" s="13"/>
      <c r="O40" s="46"/>
      <c r="P40" s="46"/>
      <c r="Q40" s="46"/>
      <c r="R40" s="46"/>
    </row>
    <row r="41" spans="5:18" x14ac:dyDescent="0.3">
      <c r="E41" s="31"/>
      <c r="J41" s="13"/>
      <c r="O41" s="46"/>
      <c r="P41" s="46"/>
      <c r="Q41" s="46"/>
      <c r="R41" s="46"/>
    </row>
    <row r="42" spans="5:18" x14ac:dyDescent="0.3">
      <c r="E42" s="31"/>
      <c r="J42" s="13"/>
      <c r="O42" s="46"/>
      <c r="P42" s="46"/>
      <c r="Q42" s="46"/>
      <c r="R42" s="46"/>
    </row>
    <row r="43" spans="5:18" x14ac:dyDescent="0.3">
      <c r="E43" s="31"/>
      <c r="J43" s="13"/>
      <c r="O43" s="46"/>
      <c r="P43" s="46"/>
      <c r="Q43" s="46"/>
      <c r="R43" s="46"/>
    </row>
    <row r="44" spans="5:18" x14ac:dyDescent="0.3">
      <c r="J44" s="13"/>
      <c r="O44" s="46"/>
      <c r="P44" s="46"/>
      <c r="Q44" s="46"/>
      <c r="R44" s="46"/>
    </row>
  </sheetData>
  <conditionalFormatting sqref="E3:G22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{766D1F58-81A9-4123-A621-CCD43B487173}</x14:id>
        </ext>
      </extLst>
    </cfRule>
  </conditionalFormatting>
  <conditionalFormatting sqref="L3:L22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{7D095C95-A787-4C2F-ADB7-8F1D1841AD2F}</x14:id>
        </ext>
      </extLst>
    </cfRule>
  </conditionalFormatting>
  <conditionalFormatting sqref="J25:J44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{FC453E05-C02F-48BE-9573-45EB2B5CB7D8}</x14:id>
        </ext>
      </extLst>
    </cfRule>
  </conditionalFormatting>
  <conditionalFormatting sqref="E24:E43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{A905B99E-B2FB-4F20-9452-A4A634E39C8A}</x14:id>
        </ext>
      </extLst>
    </cfRule>
  </conditionalFormatting>
  <conditionalFormatting sqref="L25:L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{C4FCB392-9AE7-4F22-AE15-9BB39996A67F}</x14:id>
        </ext>
      </extLst>
    </cfRule>
  </conditionalFormatting>
  <conditionalFormatting sqref="J24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{394FD8A5-89CD-4DCD-8945-42F21E96D324}</x14:id>
        </ext>
      </extLst>
    </cfRule>
  </conditionalFormatting>
  <conditionalFormatting sqref="L24">
    <cfRule type="dataBar" priority="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{A9AF8F63-F7D8-42FA-BE0C-F15CB8D55AE0}</x14:id>
        </ext>
      </extLst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D1F58-81A9-4123-A621-CCD43B48717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E3:G22</xm:sqref>
        </x14:conditionalFormatting>
        <x14:conditionalFormatting xmlns:xm="http://schemas.microsoft.com/office/excel/2006/main">
          <x14:cfRule type="dataBar" id="{7D095C95-A787-4C2F-ADB7-8F1D1841AD2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L3:L22</xm:sqref>
        </x14:conditionalFormatting>
        <x14:conditionalFormatting xmlns:xm="http://schemas.microsoft.com/office/excel/2006/main">
          <x14:cfRule type="dataBar" id="{FC453E05-C02F-48BE-9573-45EB2B5CB7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J25:J44</xm:sqref>
        </x14:conditionalFormatting>
        <x14:conditionalFormatting xmlns:xm="http://schemas.microsoft.com/office/excel/2006/main">
          <x14:cfRule type="dataBar" id="{A905B99E-B2FB-4F20-9452-A4A634E39C8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E24:E43</xm:sqref>
        </x14:conditionalFormatting>
        <x14:conditionalFormatting xmlns:xm="http://schemas.microsoft.com/office/excel/2006/main">
          <x14:cfRule type="dataBar" id="{C4FCB392-9AE7-4F22-AE15-9BB39996A67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L25:L44</xm:sqref>
        </x14:conditionalFormatting>
        <x14:conditionalFormatting xmlns:xm="http://schemas.microsoft.com/office/excel/2006/main">
          <x14:cfRule type="dataBar" id="{394FD8A5-89CD-4DCD-8945-42F21E96D32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J24</xm:sqref>
        </x14:conditionalFormatting>
        <x14:conditionalFormatting xmlns:xm="http://schemas.microsoft.com/office/excel/2006/main">
          <x14:cfRule type="dataBar" id="{A9AF8F63-F7D8-42FA-BE0C-F15CB8D55AE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L24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C8E665-F700-4A07-A048-E54F711C3DFB}">
  <dimension ref="A1:B24"/>
  <sheetViews>
    <sheetView workbookViewId="0">
      <selection activeCell="B25" sqref="B25"/>
    </sheetView>
  </sheetViews>
  <sheetFormatPr defaultRowHeight="14.4" x14ac:dyDescent="0.3"/>
  <cols>
    <col min="1" max="3" width="29.33203125" customWidth="1"/>
    <col min="4" max="4" width="15" bestFit="1" customWidth="1"/>
  </cols>
  <sheetData>
    <row r="1" spans="1:2" x14ac:dyDescent="0.3">
      <c r="A1" s="109" t="s">
        <v>231</v>
      </c>
      <c r="B1" s="109">
        <v>2023</v>
      </c>
    </row>
    <row r="2" spans="1:2" x14ac:dyDescent="0.3">
      <c r="A2" t="s">
        <v>123</v>
      </c>
      <c r="B2" t="s">
        <v>266</v>
      </c>
    </row>
    <row r="3" spans="1:2" x14ac:dyDescent="0.3">
      <c r="A3" t="s">
        <v>113</v>
      </c>
      <c r="B3" t="s">
        <v>265</v>
      </c>
    </row>
    <row r="4" spans="1:2" x14ac:dyDescent="0.3">
      <c r="A4" t="s">
        <v>119</v>
      </c>
      <c r="B4" t="s">
        <v>267</v>
      </c>
    </row>
    <row r="5" spans="1:2" x14ac:dyDescent="0.3">
      <c r="A5" t="s">
        <v>115</v>
      </c>
      <c r="B5" t="s">
        <v>253</v>
      </c>
    </row>
    <row r="6" spans="1:2" x14ac:dyDescent="0.3">
      <c r="A6" t="s">
        <v>121</v>
      </c>
      <c r="B6" t="s">
        <v>268</v>
      </c>
    </row>
    <row r="7" spans="1:2" x14ac:dyDescent="0.3">
      <c r="A7" t="s">
        <v>117</v>
      </c>
      <c r="B7" t="s">
        <v>257</v>
      </c>
    </row>
    <row r="8" spans="1:2" x14ac:dyDescent="0.3">
      <c r="A8" t="s">
        <v>129</v>
      </c>
      <c r="B8" t="s">
        <v>234</v>
      </c>
    </row>
    <row r="9" spans="1:2" x14ac:dyDescent="0.3">
      <c r="A9" t="s">
        <v>142</v>
      </c>
      <c r="B9" t="s">
        <v>269</v>
      </c>
    </row>
    <row r="10" spans="1:2" x14ac:dyDescent="0.3">
      <c r="A10" t="s">
        <v>137</v>
      </c>
      <c r="B10" t="s">
        <v>255</v>
      </c>
    </row>
    <row r="11" spans="1:2" x14ac:dyDescent="0.3">
      <c r="A11" s="24" t="s">
        <v>279</v>
      </c>
      <c r="B11" t="s">
        <v>232</v>
      </c>
    </row>
    <row r="12" spans="1:2" x14ac:dyDescent="0.3">
      <c r="A12" t="s">
        <v>132</v>
      </c>
      <c r="B12" t="s">
        <v>249</v>
      </c>
    </row>
    <row r="13" spans="1:2" x14ac:dyDescent="0.3">
      <c r="A13" t="s">
        <v>125</v>
      </c>
      <c r="B13" t="s">
        <v>233</v>
      </c>
    </row>
    <row r="14" spans="1:2" x14ac:dyDescent="0.3">
      <c r="A14" t="s">
        <v>140</v>
      </c>
      <c r="B14" t="s">
        <v>246</v>
      </c>
    </row>
    <row r="15" spans="1:2" x14ac:dyDescent="0.3">
      <c r="A15" t="s">
        <v>134</v>
      </c>
      <c r="B15" t="s">
        <v>240</v>
      </c>
    </row>
    <row r="16" spans="1:2" x14ac:dyDescent="0.3">
      <c r="A16" t="s">
        <v>127</v>
      </c>
      <c r="B16" t="s">
        <v>247</v>
      </c>
    </row>
    <row r="17" spans="1:2" x14ac:dyDescent="0.3">
      <c r="A17" t="s">
        <v>143</v>
      </c>
      <c r="B17" t="s">
        <v>270</v>
      </c>
    </row>
    <row r="18" spans="1:2" x14ac:dyDescent="0.3">
      <c r="A18" t="s">
        <v>139</v>
      </c>
      <c r="B18" t="s">
        <v>244</v>
      </c>
    </row>
    <row r="19" spans="1:2" x14ac:dyDescent="0.3">
      <c r="A19" s="24" t="s">
        <v>281</v>
      </c>
      <c r="B19" t="s">
        <v>237</v>
      </c>
    </row>
    <row r="20" spans="1:2" x14ac:dyDescent="0.3">
      <c r="A20" s="24" t="s">
        <v>278</v>
      </c>
      <c r="B20" t="s">
        <v>271</v>
      </c>
    </row>
    <row r="21" spans="1:2" x14ac:dyDescent="0.3">
      <c r="A21" t="s">
        <v>141</v>
      </c>
      <c r="B21" t="s">
        <v>272</v>
      </c>
    </row>
    <row r="22" spans="1:2" x14ac:dyDescent="0.3">
      <c r="A22" s="24" t="s">
        <v>280</v>
      </c>
      <c r="B22" t="s">
        <v>235</v>
      </c>
    </row>
    <row r="23" spans="1:2" x14ac:dyDescent="0.3">
      <c r="A23" t="s">
        <v>212</v>
      </c>
      <c r="B23" t="s">
        <v>273</v>
      </c>
    </row>
    <row r="24" spans="1:2" x14ac:dyDescent="0.3">
      <c r="A24" t="s">
        <v>856</v>
      </c>
      <c r="B24" t="s">
        <v>867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64CE7-00E3-4643-8E37-588857539559}">
  <sheetPr codeName="Sheet5"/>
  <dimension ref="A1:AL139"/>
  <sheetViews>
    <sheetView showGridLines="0" zoomScale="72" zoomScaleNormal="100" workbookViewId="0">
      <selection activeCell="H15" sqref="H15"/>
    </sheetView>
  </sheetViews>
  <sheetFormatPr defaultRowHeight="14.4" x14ac:dyDescent="0.3"/>
  <cols>
    <col min="1" max="1" width="7.44140625" style="3" customWidth="1"/>
    <col min="2" max="5" width="13.44140625" customWidth="1"/>
    <col min="6" max="6" width="7.5546875" style="4" customWidth="1"/>
    <col min="7" max="7" width="21.21875" style="5" customWidth="1"/>
    <col min="8" max="29" width="11.21875" style="9" customWidth="1"/>
  </cols>
  <sheetData>
    <row r="1" spans="1:29" s="38" customFormat="1" ht="29.1" customHeight="1" x14ac:dyDescent="0.3">
      <c r="A1" s="65"/>
      <c r="B1" s="38" t="s">
        <v>20</v>
      </c>
      <c r="C1" s="38" t="s">
        <v>198</v>
      </c>
      <c r="D1" s="38" t="s">
        <v>199</v>
      </c>
      <c r="E1" s="38" t="s">
        <v>200</v>
      </c>
      <c r="F1" s="93" t="s">
        <v>196</v>
      </c>
      <c r="G1" s="39" t="s">
        <v>21</v>
      </c>
      <c r="H1" s="39" t="s">
        <v>22</v>
      </c>
      <c r="I1" s="39" t="s">
        <v>23</v>
      </c>
      <c r="J1" s="39" t="s">
        <v>24</v>
      </c>
      <c r="K1" s="39" t="s">
        <v>25</v>
      </c>
      <c r="L1" s="39" t="s">
        <v>26</v>
      </c>
      <c r="M1" s="39" t="s">
        <v>27</v>
      </c>
      <c r="N1" s="39" t="s">
        <v>28</v>
      </c>
      <c r="O1" s="39" t="s">
        <v>29</v>
      </c>
      <c r="P1" s="39" t="s">
        <v>30</v>
      </c>
      <c r="Q1" s="39" t="s">
        <v>31</v>
      </c>
      <c r="R1" s="39" t="s">
        <v>208</v>
      </c>
      <c r="S1" s="39" t="s">
        <v>210</v>
      </c>
      <c r="T1" s="39" t="s">
        <v>211</v>
      </c>
      <c r="U1" s="39" t="s">
        <v>214</v>
      </c>
      <c r="V1" s="39" t="s">
        <v>216</v>
      </c>
      <c r="W1" s="39" t="s">
        <v>217</v>
      </c>
      <c r="X1" s="39" t="s">
        <v>219</v>
      </c>
      <c r="Y1" s="39" t="s">
        <v>220</v>
      </c>
      <c r="Z1" s="39" t="s">
        <v>221</v>
      </c>
      <c r="AA1" s="39" t="s">
        <v>222</v>
      </c>
      <c r="AB1" s="39" t="s">
        <v>225</v>
      </c>
      <c r="AC1" s="39" t="s">
        <v>229</v>
      </c>
    </row>
    <row r="2" spans="1:29" ht="15.6" x14ac:dyDescent="0.3">
      <c r="A2" s="4">
        <v>1</v>
      </c>
      <c r="B2" t="s">
        <v>50</v>
      </c>
      <c r="C2" cm="1">
        <f t="array" ref="C2">Table15[[#This Row],[Total]]-_xlfn.XLOOKUP($G$35,$H$36:$AC$36,Table15[[#This Row],[Saudi Arabia - 19 March]:[Abu Dhabi - 26 November]])</f>
        <v>0</v>
      </c>
      <c r="D2" cm="1">
        <f t="array" ref="D2">_xlfn.XLOOKUP(B2,_xlfn.SORTBY(Table15[Name],Table15[Previous Race Total],-1),$A$2:$A$27)</f>
        <v>1</v>
      </c>
      <c r="E2" cm="1">
        <f t="array" ref="E2">_xlfn.XLOOKUP(B2,_xlfn.SORTBY(Table15[Name],Table15[Total],-1),$A$2:$A$27)</f>
        <v>1</v>
      </c>
      <c r="F2" s="94">
        <f>Table15[[#This Row],[Previous race Ranking]]-Table15[[#This Row],[Current ranking]]</f>
        <v>0</v>
      </c>
      <c r="G2" s="85">
        <f t="shared" ref="G2:G27" si="0">SUM(H2:AC2)</f>
        <v>0</v>
      </c>
      <c r="H2" s="9" cm="1">
        <f t="array" ref="H2">IFERROR(_xlfn.XLOOKUP(1,(Table15[[#This Row],[Brazil - 5 November]]=Points!$B:$B)*(Table15[[#Headers],[Saudi Arabia - 19 March]]=Points!$C:$C),Points!$J:$J,0,0,-1),0)</f>
        <v>0</v>
      </c>
      <c r="I2" s="9" cm="1">
        <f t="array" ref="I2">IFERROR(_xlfn.XLOOKUP(1,(Table15[[#This Row],[Las Vegas - 18 November]]=Points!$B:$B)*(Table15[[#Headers],[Australia - 2 April]]=Points!$C:$C),Points!$J:$J,0,0,-1),0)</f>
        <v>0</v>
      </c>
      <c r="J2" s="9" cm="1">
        <f t="array" ref="J2">IFERROR(_xlfn.XLOOKUP(1,(Table15[[#This Row],[Abu Dhabi - 26 November]]=Points!$B:$B)*(Table15[[#Headers],[Azerbaijan - 30 April]]=Points!$C:$C),Points!$J:$J,0,0,-1),0)</f>
        <v>0</v>
      </c>
      <c r="K2" s="9" cm="1">
        <f t="array" ref="K2">IFERROR(_xlfn.XLOOKUP(1,(Table15[[#This Row],[Name]]=Points!$B:$B)*(Table15[[#Headers],[Miami - 7 May]]=Points!$C:$C),Points!$J:$J,0,0,-1),0)</f>
        <v>0</v>
      </c>
      <c r="L2" s="9" cm="1">
        <f t="array" ref="L2">IFERROR(_xlfn.XLOOKUP(1,(Table15[[#This Row],[Name]]=Points!$B:$B)*(Table15[[#Headers],[Italy - 21 May]]=Points!$C:$C),Points!$J:$J,0,0,-1),0)</f>
        <v>0</v>
      </c>
      <c r="M2" s="9" cm="1">
        <f t="array" ref="M2">IFERROR(_xlfn.XLOOKUP(1,(Table15[[#This Row],[Name]]=Points!$B:$B)*(Table15[[#Headers],[Monaco - 28 May]]=Points!$C:$C),Points!$J:$J,0,0,-1),0)</f>
        <v>0</v>
      </c>
      <c r="N2" s="9" cm="1">
        <f t="array" ref="N2">IFERROR(_xlfn.XLOOKUP(1,(Table15[[#This Row],[Name]]=Points!$B:$B)*(Table15[[#Headers],[Spain - 4 June]]=Points!$C:$C),Points!$J:$J,0,0,-1),0)</f>
        <v>0</v>
      </c>
      <c r="O2" s="9" cm="1">
        <f t="array" ref="O2">IFERROR(_xlfn.XLOOKUP(1,(Table15[[#This Row],[Name]]=Points!$B:$B)*(Table15[[#Headers],[Canada - 18 June]]=Points!$C:$C),Points!$J:$J,0,0,-1),0)</f>
        <v>0</v>
      </c>
      <c r="P2" s="9" cm="1">
        <f t="array" ref="P2">IFERROR(_xlfn.XLOOKUP(1,(Table15[[#This Row],[Name]]=Points!$B:$B)*(Table15[[#Headers],[Austria - 2 July]]=Points!$C:$C),Points!$J:$J,0,0,-1),0)</f>
        <v>0</v>
      </c>
      <c r="Q2" s="9" cm="1">
        <f t="array" ref="Q2">IFERROR(_xlfn.XLOOKUP(1,(Table15[[#This Row],[Name]]=Points!$B:$B)*(Table15[[#Headers],[Great Britain - 9 July]]=Points!$C:$C),Points!$J:$J,0,0,-1),0)</f>
        <v>0</v>
      </c>
      <c r="R2" s="9" cm="1">
        <f t="array" ref="R2">IFERROR(_xlfn.XLOOKUP(1,(Table15[[#This Row],[Name]]=Points!$B:$B)*(Table15[[#Headers],[Hungary - 23 July]]=Points!$C:$C),Points!$J:$J,0,0,-1),0)</f>
        <v>0</v>
      </c>
      <c r="S2" s="9" cm="1">
        <f t="array" ref="S2">IFERROR(_xlfn.XLOOKUP(1,(Table15[[#This Row],[Name]]=Points!$B:$B)*(Table15[[#Headers],[Belgium - 30 July]]=Points!$C:$C),Points!$J:$J,0,0,-1),0)</f>
        <v>0</v>
      </c>
      <c r="T2" s="9" cm="1">
        <f t="array" ref="T2">IFERROR(_xlfn.XLOOKUP(1,(Table15[[#This Row],[Name]]=Points!$B:$B)*(Table15[[#Headers],[Netherlands - 27 August]]=Points!$C:$C),Points!$J:$J,0,0,-1),0)</f>
        <v>0</v>
      </c>
      <c r="U2" s="9" cm="1">
        <f t="array" ref="U2">IFERROR(_xlfn.XLOOKUP(1,(Table15[[#This Row],[Name]]=Points!$B:$B)*(Table15[[#Headers],[Italy - 3 September]]=Points!$C:$C),Points!$J:$J,0,0,-1),0)</f>
        <v>0</v>
      </c>
      <c r="V2" s="9" cm="1">
        <f t="array" ref="V2">IFERROR(_xlfn.XLOOKUP(1,(Table15[[#This Row],[Name]]=Points!$B:$B)*(Table15[[#Headers],[Singapore - 17 September]]=Points!$C:$C),Points!$J:$J,0,0,-1),0)</f>
        <v>0</v>
      </c>
      <c r="W2" s="9" cm="1">
        <f t="array" ref="W2">IFERROR(_xlfn.XLOOKUP(1,(Table15[[#This Row],[Name]]=Points!$B:$B)*(Table15[[#Headers],[Japan - 24 September]]=Points!$C:$C),Points!$J:$J,0,0,-1),0)</f>
        <v>0</v>
      </c>
      <c r="X2" s="9" cm="1">
        <f t="array" ref="X2">IFERROR(_xlfn.XLOOKUP(1,(Table15[[#This Row],[Name]]=Points!$B:$B)*(Table15[[#Headers],[Qatar - 8 October]]=Points!$C:$C),Points!$J:$J,0,0,-1),0)</f>
        <v>0</v>
      </c>
      <c r="Y2" s="9" cm="1">
        <f t="array" ref="Y2">IFERROR(_xlfn.XLOOKUP(1,(Table15[[#This Row],[Name]]=Points!$B:$B)*(Table15[[#Headers],[United States - 22 October]]=Points!$C:$C),Points!$J:$J,0,0,-1),0)</f>
        <v>0</v>
      </c>
      <c r="Z2" s="9" cm="1">
        <f t="array" ref="Z2">IFERROR(_xlfn.XLOOKUP(1,(Table15[[#This Row],[Name]]=Points!$B:$B)*(Table15[[#Headers],[Mexico - 29 October]]=Points!$C:$C),Points!$J:$J,0,0,-1),0)</f>
        <v>0</v>
      </c>
      <c r="AA2" s="9" cm="1">
        <f t="array" ref="AA2">IFERROR(_xlfn.XLOOKUP(1,(Table15[[#This Row],[Name]]=Points!$B:$B)*(Table15[[#Headers],[Brazil - 5 November]]=Points!$C:$C),Points!$J:$J,0,0,-1),0)</f>
        <v>0</v>
      </c>
      <c r="AB2" s="9" cm="1">
        <f t="array" ref="AB2">IFERROR(_xlfn.XLOOKUP(1,(Table15[[#This Row],[Name]]=Points!$B:$B)*(Table15[[#Headers],[Las Vegas - 18 November]]=Points!$C:$C),Points!$J:$J,0,0,-1),0)</f>
        <v>0</v>
      </c>
      <c r="AC2" s="9" cm="1">
        <f t="array" ref="AC2">IFERROR(_xlfn.XLOOKUP(1,(Table15[[#This Row],[Name]]=Points!$B:$B)*(Table15[[#Headers],[Abu Dhabi - 26 November]]=Points!$C:$C),Points!$J:$J,0,0,-1),0)</f>
        <v>0</v>
      </c>
    </row>
    <row r="3" spans="1:29" ht="15.6" x14ac:dyDescent="0.3">
      <c r="A3" s="4">
        <v>2</v>
      </c>
      <c r="B3" t="s">
        <v>48</v>
      </c>
      <c r="C3" s="90" cm="1">
        <f t="array" ref="C3">Table15[[#This Row],[Total]]-_xlfn.XLOOKUP($G$35,$H$36:$AC$36,Table15[[#This Row],[Saudi Arabia - 19 March]:[Abu Dhabi - 26 November]])</f>
        <v>0</v>
      </c>
      <c r="D3" cm="1">
        <f t="array" ref="D3">_xlfn.XLOOKUP(B3,_xlfn.SORTBY(Table15[Name],Table15[Previous Race Total],-1),$A$2:$A$27)</f>
        <v>2</v>
      </c>
      <c r="E3" cm="1">
        <f t="array" ref="E3">_xlfn.XLOOKUP(B3,_xlfn.SORTBY(Table15[Name],Table15[Total],-1),$A$2:$A$27)</f>
        <v>2</v>
      </c>
      <c r="F3" s="94">
        <f>Table15[[#This Row],[Previous race Ranking]]-Table15[[#This Row],[Current ranking]]</f>
        <v>0</v>
      </c>
      <c r="G3" s="85">
        <f t="shared" si="0"/>
        <v>0</v>
      </c>
      <c r="H3" s="9" cm="1">
        <f t="array" ref="H3">IFERROR(_xlfn.XLOOKUP(1,(Table15[[#This Row],[Brazil - 5 November]]=Points!$B:$B)*(Table15[[#Headers],[Saudi Arabia - 19 March]]=Points!$C:$C),Points!$J:$J,0,0,-1),0)</f>
        <v>0</v>
      </c>
      <c r="I3" s="9" cm="1">
        <f t="array" ref="I3">IFERROR(_xlfn.XLOOKUP(1,(Table15[[#This Row],[Las Vegas - 18 November]]=Points!$B:$B)*(Table15[[#Headers],[Australia - 2 April]]=Points!$C:$C),Points!$J:$J,0,0,-1),0)</f>
        <v>0</v>
      </c>
      <c r="J3" s="9" cm="1">
        <f t="array" ref="J3">IFERROR(_xlfn.XLOOKUP(1,(Table15[[#This Row],[Abu Dhabi - 26 November]]=Points!$B:$B)*(Table15[[#Headers],[Azerbaijan - 30 April]]=Points!$C:$C),Points!$J:$J,0,0,-1),0)</f>
        <v>0</v>
      </c>
      <c r="K3" s="9" cm="1">
        <f t="array" ref="K3">IFERROR(_xlfn.XLOOKUP(1,(Table15[[#This Row],[Name]]=Points!$B:$B)*(Table15[[#Headers],[Miami - 7 May]]=Points!$C:$C),Points!$J:$J,0,0,-1),0)</f>
        <v>0</v>
      </c>
      <c r="L3" s="9" cm="1">
        <f t="array" ref="L3">IFERROR(_xlfn.XLOOKUP(1,(Table15[[#This Row],[Name]]=Points!$B:$B)*(Table15[[#Headers],[Italy - 21 May]]=Points!$C:$C),Points!$J:$J,0,0,-1),0)</f>
        <v>0</v>
      </c>
      <c r="M3" s="9" cm="1">
        <f t="array" ref="M3">IFERROR(_xlfn.XLOOKUP(1,(Table15[[#This Row],[Name]]=Points!$B:$B)*(Table15[[#Headers],[Monaco - 28 May]]=Points!$C:$C),Points!$J:$J,0,0,-1),0)</f>
        <v>0</v>
      </c>
      <c r="N3" s="9" cm="1">
        <f t="array" ref="N3">IFERROR(_xlfn.XLOOKUP(1,(Table15[[#This Row],[Name]]=Points!$B:$B)*(Table15[[#Headers],[Spain - 4 June]]=Points!$C:$C),Points!$J:$J,0,0,-1),0)</f>
        <v>0</v>
      </c>
      <c r="O3" s="9" cm="1">
        <f t="array" ref="O3">IFERROR(_xlfn.XLOOKUP(1,(Table15[[#This Row],[Name]]=Points!$B:$B)*(Table15[[#Headers],[Canada - 18 June]]=Points!$C:$C),Points!$J:$J,0,0,-1),0)</f>
        <v>0</v>
      </c>
      <c r="P3" s="9" cm="1">
        <f t="array" ref="P3">IFERROR(_xlfn.XLOOKUP(1,(Table15[[#This Row],[Name]]=Points!$B:$B)*(Table15[[#Headers],[Austria - 2 July]]=Points!$C:$C),Points!$J:$J,0,0,-1),0)</f>
        <v>0</v>
      </c>
      <c r="Q3" s="9" cm="1">
        <f t="array" ref="Q3">IFERROR(_xlfn.XLOOKUP(1,(Table15[[#This Row],[Name]]=Points!$B:$B)*(Table15[[#Headers],[Great Britain - 9 July]]=Points!$C:$C),Points!$J:$J,0,0,-1),0)</f>
        <v>0</v>
      </c>
      <c r="R3" s="9" cm="1">
        <f t="array" ref="R3">IFERROR(_xlfn.XLOOKUP(1,(Table15[[#This Row],[Name]]=Points!$B:$B)*(Table15[[#Headers],[Hungary - 23 July]]=Points!$C:$C),Points!$J:$J,0,0,-1),0)</f>
        <v>0</v>
      </c>
      <c r="S3" s="9" cm="1">
        <f t="array" ref="S3">IFERROR(_xlfn.XLOOKUP(1,(Table15[[#This Row],[Name]]=Points!$B:$B)*(Table15[[#Headers],[Belgium - 30 July]]=Points!$C:$C),Points!$J:$J,0,0,-1),0)</f>
        <v>0</v>
      </c>
      <c r="T3" s="9" cm="1">
        <f t="array" ref="T3">IFERROR(_xlfn.XLOOKUP(1,(Table15[[#This Row],[Name]]=Points!$B:$B)*(Table15[[#Headers],[Netherlands - 27 August]]=Points!$C:$C),Points!$J:$J,0,0,-1),0)</f>
        <v>0</v>
      </c>
      <c r="U3" s="9" cm="1">
        <f t="array" ref="U3">IFERROR(_xlfn.XLOOKUP(1,(Table15[[#This Row],[Name]]=Points!$B:$B)*(Table15[[#Headers],[Italy - 3 September]]=Points!$C:$C),Points!$J:$J,0,0,-1),0)</f>
        <v>0</v>
      </c>
      <c r="V3" s="9" cm="1">
        <f t="array" ref="V3">IFERROR(_xlfn.XLOOKUP(1,(Table15[[#This Row],[Name]]=Points!$B:$B)*(Table15[[#Headers],[Singapore - 17 September]]=Points!$C:$C),Points!$J:$J,0,0,-1),0)</f>
        <v>0</v>
      </c>
      <c r="W3" s="9" cm="1">
        <f t="array" ref="W3">IFERROR(_xlfn.XLOOKUP(1,(Table15[[#This Row],[Name]]=Points!$B:$B)*(Table15[[#Headers],[Japan - 24 September]]=Points!$C:$C),Points!$J:$J,0,0,-1),0)</f>
        <v>0</v>
      </c>
      <c r="X3" s="9" cm="1">
        <f t="array" ref="X3">IFERROR(_xlfn.XLOOKUP(1,(Table15[[#This Row],[Name]]=Points!$B:$B)*(Table15[[#Headers],[Qatar - 8 October]]=Points!$C:$C),Points!$J:$J,0,0,-1),0)</f>
        <v>0</v>
      </c>
      <c r="Y3" s="9" cm="1">
        <f t="array" ref="Y3">IFERROR(_xlfn.XLOOKUP(1,(Table15[[#This Row],[Name]]=Points!$B:$B)*(Table15[[#Headers],[United States - 22 October]]=Points!$C:$C),Points!$J:$J,0,0,-1),0)</f>
        <v>0</v>
      </c>
      <c r="Z3" s="9" cm="1">
        <f t="array" ref="Z3">IFERROR(_xlfn.XLOOKUP(1,(Table15[[#This Row],[Name]]=Points!$B:$B)*(Table15[[#Headers],[Mexico - 29 October]]=Points!$C:$C),Points!$J:$J,0,0,-1),0)</f>
        <v>0</v>
      </c>
      <c r="AA3" s="9" cm="1">
        <f t="array" ref="AA3">IFERROR(_xlfn.XLOOKUP(1,(Table15[[#This Row],[Name]]=Points!$B:$B)*(Table15[[#Headers],[Brazil - 5 November]]=Points!$C:$C),Points!$J:$J,0,0,-1),0)</f>
        <v>0</v>
      </c>
      <c r="AB3" s="9" cm="1">
        <f t="array" ref="AB3">IFERROR(_xlfn.XLOOKUP(1,(Table15[[#This Row],[Name]]=Points!$B:$B)*(Table15[[#Headers],[Las Vegas - 18 November]]=Points!$C:$C),Points!$J:$J,0,0,-1),0)</f>
        <v>0</v>
      </c>
      <c r="AC3" s="9" cm="1">
        <f t="array" ref="AC3">IFERROR(_xlfn.XLOOKUP(1,(Table15[[#This Row],[Name]]=Points!$B:$B)*(Table15[[#Headers],[Abu Dhabi - 26 November]]=Points!$C:$C),Points!$J:$J,0,0,-1),0)</f>
        <v>0</v>
      </c>
    </row>
    <row r="4" spans="1:29" ht="15.6" x14ac:dyDescent="0.3">
      <c r="A4" s="4">
        <v>3</v>
      </c>
      <c r="B4" t="s">
        <v>44</v>
      </c>
      <c r="C4" cm="1">
        <f t="array" ref="C4">Table15[[#This Row],[Total]]-_xlfn.XLOOKUP($G$35,$H$36:$AC$36,Table15[[#This Row],[Saudi Arabia - 19 March]:[Abu Dhabi - 26 November]])</f>
        <v>0</v>
      </c>
      <c r="D4" cm="1">
        <f t="array" ref="D4">_xlfn.XLOOKUP(B4,_xlfn.SORTBY(Table15[Name],Table15[Previous Race Total],-1),$A$2:$A$27)</f>
        <v>3</v>
      </c>
      <c r="E4" cm="1">
        <f t="array" ref="E4">_xlfn.XLOOKUP(B4,_xlfn.SORTBY(Table15[Name],Table15[Total],-1),$A$2:$A$27)</f>
        <v>3</v>
      </c>
      <c r="F4" s="94">
        <f>Table15[[#This Row],[Previous race Ranking]]-Table15[[#This Row],[Current ranking]]</f>
        <v>0</v>
      </c>
      <c r="G4" s="85">
        <f t="shared" si="0"/>
        <v>0</v>
      </c>
      <c r="H4" s="9" cm="1">
        <f t="array" ref="H4">IFERROR(_xlfn.XLOOKUP(1,(Table15[[#This Row],[Brazil - 5 November]]=Points!$B:$B)*(Table15[[#Headers],[Saudi Arabia - 19 March]]=Points!$C:$C),Points!$J:$J,0,0,-1),0)</f>
        <v>0</v>
      </c>
      <c r="I4" s="9" cm="1">
        <f t="array" ref="I4">IFERROR(_xlfn.XLOOKUP(1,(Table15[[#This Row],[Las Vegas - 18 November]]=Points!$B:$B)*(Table15[[#Headers],[Australia - 2 April]]=Points!$C:$C),Points!$J:$J,0,0,-1),0)</f>
        <v>0</v>
      </c>
      <c r="J4" s="9" cm="1">
        <f t="array" ref="J4">IFERROR(_xlfn.XLOOKUP(1,(Table15[[#This Row],[Abu Dhabi - 26 November]]=Points!$B:$B)*(Table15[[#Headers],[Azerbaijan - 30 April]]=Points!$C:$C),Points!$J:$J,0,0,-1),0)</f>
        <v>0</v>
      </c>
      <c r="K4" s="9" cm="1">
        <f t="array" ref="K4">IFERROR(_xlfn.XLOOKUP(1,(Table15[[#This Row],[Name]]=Points!$B:$B)*(Table15[[#Headers],[Miami - 7 May]]=Points!$C:$C),Points!$J:$J,0,0,-1),0)</f>
        <v>0</v>
      </c>
      <c r="L4" s="9" cm="1">
        <f t="array" ref="L4">IFERROR(_xlfn.XLOOKUP(1,(Table15[[#This Row],[Name]]=Points!$B:$B)*(Table15[[#Headers],[Italy - 21 May]]=Points!$C:$C),Points!$J:$J,0,0,-1),0)</f>
        <v>0</v>
      </c>
      <c r="M4" s="9" cm="1">
        <f t="array" ref="M4">IFERROR(_xlfn.XLOOKUP(1,(Table15[[#This Row],[Name]]=Points!$B:$B)*(Table15[[#Headers],[Monaco - 28 May]]=Points!$C:$C),Points!$J:$J,0,0,-1),0)</f>
        <v>0</v>
      </c>
      <c r="N4" s="9" cm="1">
        <f t="array" ref="N4">IFERROR(_xlfn.XLOOKUP(1,(Table15[[#This Row],[Name]]=Points!$B:$B)*(Table15[[#Headers],[Spain - 4 June]]=Points!$C:$C),Points!$J:$J,0,0,-1),0)</f>
        <v>0</v>
      </c>
      <c r="O4" s="9" cm="1">
        <f t="array" ref="O4">IFERROR(_xlfn.XLOOKUP(1,(Table15[[#This Row],[Name]]=Points!$B:$B)*(Table15[[#Headers],[Canada - 18 June]]=Points!$C:$C),Points!$J:$J,0,0,-1),0)</f>
        <v>0</v>
      </c>
      <c r="P4" s="9" cm="1">
        <f t="array" ref="P4">IFERROR(_xlfn.XLOOKUP(1,(Table15[[#This Row],[Name]]=Points!$B:$B)*(Table15[[#Headers],[Austria - 2 July]]=Points!$C:$C),Points!$J:$J,0,0,-1),0)</f>
        <v>0</v>
      </c>
      <c r="Q4" s="9" cm="1">
        <f t="array" ref="Q4">IFERROR(_xlfn.XLOOKUP(1,(Table15[[#This Row],[Name]]=Points!$B:$B)*(Table15[[#Headers],[Great Britain - 9 July]]=Points!$C:$C),Points!$J:$J,0,0,-1),0)</f>
        <v>0</v>
      </c>
      <c r="R4" s="9" cm="1">
        <f t="array" ref="R4">IFERROR(_xlfn.XLOOKUP(1,(Table15[[#This Row],[Name]]=Points!$B:$B)*(Table15[[#Headers],[Hungary - 23 July]]=Points!$C:$C),Points!$J:$J,0,0,-1),0)</f>
        <v>0</v>
      </c>
      <c r="S4" s="9" cm="1">
        <f t="array" ref="S4">IFERROR(_xlfn.XLOOKUP(1,(Table15[[#This Row],[Name]]=Points!$B:$B)*(Table15[[#Headers],[Belgium - 30 July]]=Points!$C:$C),Points!$J:$J,0,0,-1),0)</f>
        <v>0</v>
      </c>
      <c r="T4" s="9" cm="1">
        <f t="array" ref="T4">IFERROR(_xlfn.XLOOKUP(1,(Table15[[#This Row],[Name]]=Points!$B:$B)*(Table15[[#Headers],[Netherlands - 27 August]]=Points!$C:$C),Points!$J:$J,0,0,-1),0)</f>
        <v>0</v>
      </c>
      <c r="U4" s="9" cm="1">
        <f t="array" ref="U4">IFERROR(_xlfn.XLOOKUP(1,(Table15[[#This Row],[Name]]=Points!$B:$B)*(Table15[[#Headers],[Italy - 3 September]]=Points!$C:$C),Points!$J:$J,0,0,-1),0)</f>
        <v>0</v>
      </c>
      <c r="V4" s="9" cm="1">
        <f t="array" ref="V4">IFERROR(_xlfn.XLOOKUP(1,(Table15[[#This Row],[Name]]=Points!$B:$B)*(Table15[[#Headers],[Singapore - 17 September]]=Points!$C:$C),Points!$J:$J,0,0,-1),0)</f>
        <v>0</v>
      </c>
      <c r="W4" s="9" cm="1">
        <f t="array" ref="W4">IFERROR(_xlfn.XLOOKUP(1,(Table15[[#This Row],[Name]]=Points!$B:$B)*(Table15[[#Headers],[Japan - 24 September]]=Points!$C:$C),Points!$J:$J,0,0,-1),0)</f>
        <v>0</v>
      </c>
      <c r="X4" s="9" cm="1">
        <f t="array" ref="X4">IFERROR(_xlfn.XLOOKUP(1,(Table15[[#This Row],[Name]]=Points!$B:$B)*(Table15[[#Headers],[Qatar - 8 October]]=Points!$C:$C),Points!$J:$J,0,0,-1),0)</f>
        <v>0</v>
      </c>
      <c r="Y4" s="9" cm="1">
        <f t="array" ref="Y4">IFERROR(_xlfn.XLOOKUP(1,(Table15[[#This Row],[Name]]=Points!$B:$B)*(Table15[[#Headers],[United States - 22 October]]=Points!$C:$C),Points!$J:$J,0,0,-1),0)</f>
        <v>0</v>
      </c>
      <c r="Z4" s="9" cm="1">
        <f t="array" ref="Z4">IFERROR(_xlfn.XLOOKUP(1,(Table15[[#This Row],[Name]]=Points!$B:$B)*(Table15[[#Headers],[Mexico - 29 October]]=Points!$C:$C),Points!$J:$J,0,0,-1),0)</f>
        <v>0</v>
      </c>
      <c r="AA4" s="9" cm="1">
        <f t="array" ref="AA4">IFERROR(_xlfn.XLOOKUP(1,(Table15[[#This Row],[Name]]=Points!$B:$B)*(Table15[[#Headers],[Brazil - 5 November]]=Points!$C:$C),Points!$J:$J,0,0,-1),0)</f>
        <v>0</v>
      </c>
      <c r="AB4" s="9" cm="1">
        <f t="array" ref="AB4">IFERROR(_xlfn.XLOOKUP(1,(Table15[[#This Row],[Name]]=Points!$B:$B)*(Table15[[#Headers],[Las Vegas - 18 November]]=Points!$C:$C),Points!$J:$J,0,0,-1),0)</f>
        <v>0</v>
      </c>
      <c r="AC4" s="9" cm="1">
        <f t="array" ref="AC4">IFERROR(_xlfn.XLOOKUP(1,(Table15[[#This Row],[Name]]=Points!$B:$B)*(Table15[[#Headers],[Abu Dhabi - 26 November]]=Points!$C:$C),Points!$J:$J,0,0,-1),0)</f>
        <v>0</v>
      </c>
    </row>
    <row r="5" spans="1:29" ht="15.6" x14ac:dyDescent="0.3">
      <c r="A5" s="4">
        <v>4</v>
      </c>
      <c r="B5" t="s">
        <v>45</v>
      </c>
      <c r="C5" cm="1">
        <f t="array" ref="C5">Table15[[#This Row],[Total]]-_xlfn.XLOOKUP($G$35,$H$36:$AC$36,Table15[[#This Row],[Saudi Arabia - 19 March]:[Abu Dhabi - 26 November]])</f>
        <v>0</v>
      </c>
      <c r="D5" cm="1">
        <f t="array" ref="D5">_xlfn.XLOOKUP(B5,_xlfn.SORTBY(Table15[Name],Table15[Previous Race Total],-1),$A$2:$A$27)</f>
        <v>4</v>
      </c>
      <c r="E5" cm="1">
        <f t="array" ref="E5">_xlfn.XLOOKUP(B5,_xlfn.SORTBY(Table15[Name],Table15[Total],-1),$A$2:$A$27)</f>
        <v>4</v>
      </c>
      <c r="F5" s="94">
        <f>Table15[[#This Row],[Previous race Ranking]]-Table15[[#This Row],[Current ranking]]</f>
        <v>0</v>
      </c>
      <c r="G5" s="85">
        <f t="shared" si="0"/>
        <v>0</v>
      </c>
      <c r="H5" s="9" cm="1">
        <f t="array" ref="H5">IFERROR(_xlfn.XLOOKUP(1,(Table15[[#This Row],[Brazil - 5 November]]=Points!$B:$B)*(Table15[[#Headers],[Saudi Arabia - 19 March]]=Points!$C:$C),Points!$J:$J,0,0,-1),0)</f>
        <v>0</v>
      </c>
      <c r="I5" s="9" cm="1">
        <f t="array" ref="I5">IFERROR(_xlfn.XLOOKUP(1,(Table15[[#This Row],[Las Vegas - 18 November]]=Points!$B:$B)*(Table15[[#Headers],[Australia - 2 April]]=Points!$C:$C),Points!$J:$J,0,0,-1),0)</f>
        <v>0</v>
      </c>
      <c r="J5" s="9" cm="1">
        <f t="array" ref="J5">IFERROR(_xlfn.XLOOKUP(1,(Table15[[#This Row],[Abu Dhabi - 26 November]]=Points!$B:$B)*(Table15[[#Headers],[Azerbaijan - 30 April]]=Points!$C:$C),Points!$J:$J,0,0,-1),0)</f>
        <v>0</v>
      </c>
      <c r="K5" s="9" cm="1">
        <f t="array" ref="K5">IFERROR(_xlfn.XLOOKUP(1,(Table15[[#This Row],[Name]]=Points!$B:$B)*(Table15[[#Headers],[Miami - 7 May]]=Points!$C:$C),Points!$J:$J,0,0,-1),0)</f>
        <v>0</v>
      </c>
      <c r="L5" s="9" cm="1">
        <f t="array" ref="L5">IFERROR(_xlfn.XLOOKUP(1,(Table15[[#This Row],[Name]]=Points!$B:$B)*(Table15[[#Headers],[Italy - 21 May]]=Points!$C:$C),Points!$J:$J,0,0,-1),0)</f>
        <v>0</v>
      </c>
      <c r="M5" s="9" cm="1">
        <f t="array" ref="M5">IFERROR(_xlfn.XLOOKUP(1,(Table15[[#This Row],[Name]]=Points!$B:$B)*(Table15[[#Headers],[Monaco - 28 May]]=Points!$C:$C),Points!$J:$J,0,0,-1),0)</f>
        <v>0</v>
      </c>
      <c r="N5" s="9" cm="1">
        <f t="array" ref="N5">IFERROR(_xlfn.XLOOKUP(1,(Table15[[#This Row],[Name]]=Points!$B:$B)*(Table15[[#Headers],[Spain - 4 June]]=Points!$C:$C),Points!$J:$J,0,0,-1),0)</f>
        <v>0</v>
      </c>
      <c r="O5" s="9" cm="1">
        <f t="array" ref="O5">IFERROR(_xlfn.XLOOKUP(1,(Table15[[#This Row],[Name]]=Points!$B:$B)*(Table15[[#Headers],[Canada - 18 June]]=Points!$C:$C),Points!$J:$J,0,0,-1),0)</f>
        <v>0</v>
      </c>
      <c r="P5" s="9" cm="1">
        <f t="array" ref="P5">IFERROR(_xlfn.XLOOKUP(1,(Table15[[#This Row],[Name]]=Points!$B:$B)*(Table15[[#Headers],[Austria - 2 July]]=Points!$C:$C),Points!$J:$J,0,0,-1),0)</f>
        <v>0</v>
      </c>
      <c r="Q5" s="9" cm="1">
        <f t="array" ref="Q5">IFERROR(_xlfn.XLOOKUP(1,(Table15[[#This Row],[Name]]=Points!$B:$B)*(Table15[[#Headers],[Great Britain - 9 July]]=Points!$C:$C),Points!$J:$J,0,0,-1),0)</f>
        <v>0</v>
      </c>
      <c r="R5" s="9" cm="1">
        <f t="array" ref="R5">IFERROR(_xlfn.XLOOKUP(1,(Table15[[#This Row],[Name]]=Points!$B:$B)*(Table15[[#Headers],[Hungary - 23 July]]=Points!$C:$C),Points!$J:$J,0,0,-1),0)</f>
        <v>0</v>
      </c>
      <c r="S5" s="9" cm="1">
        <f t="array" ref="S5">IFERROR(_xlfn.XLOOKUP(1,(Table15[[#This Row],[Name]]=Points!$B:$B)*(Table15[[#Headers],[Belgium - 30 July]]=Points!$C:$C),Points!$J:$J,0,0,-1),0)</f>
        <v>0</v>
      </c>
      <c r="T5" s="9" cm="1">
        <f t="array" ref="T5">IFERROR(_xlfn.XLOOKUP(1,(Table15[[#This Row],[Name]]=Points!$B:$B)*(Table15[[#Headers],[Netherlands - 27 August]]=Points!$C:$C),Points!$J:$J,0,0,-1),0)</f>
        <v>0</v>
      </c>
      <c r="U5" s="9" cm="1">
        <f t="array" ref="U5">IFERROR(_xlfn.XLOOKUP(1,(Table15[[#This Row],[Name]]=Points!$B:$B)*(Table15[[#Headers],[Italy - 3 September]]=Points!$C:$C),Points!$J:$J,0,0,-1),0)</f>
        <v>0</v>
      </c>
      <c r="V5" s="9" cm="1">
        <f t="array" ref="V5">IFERROR(_xlfn.XLOOKUP(1,(Table15[[#This Row],[Name]]=Points!$B:$B)*(Table15[[#Headers],[Singapore - 17 September]]=Points!$C:$C),Points!$J:$J,0,0,-1),0)</f>
        <v>0</v>
      </c>
      <c r="W5" s="9" cm="1">
        <f t="array" ref="W5">IFERROR(_xlfn.XLOOKUP(1,(Table15[[#This Row],[Name]]=Points!$B:$B)*(Table15[[#Headers],[Japan - 24 September]]=Points!$C:$C),Points!$J:$J,0,0,-1),0)</f>
        <v>0</v>
      </c>
      <c r="X5" s="9" cm="1">
        <f t="array" ref="X5">IFERROR(_xlfn.XLOOKUP(1,(Table15[[#This Row],[Name]]=Points!$B:$B)*(Table15[[#Headers],[Qatar - 8 October]]=Points!$C:$C),Points!$J:$J,0,0,-1),0)</f>
        <v>0</v>
      </c>
      <c r="Y5" s="9" cm="1">
        <f t="array" ref="Y5">IFERROR(_xlfn.XLOOKUP(1,(Table15[[#This Row],[Name]]=Points!$B:$B)*(Table15[[#Headers],[United States - 22 October]]=Points!$C:$C),Points!$J:$J,0,0,-1),0)</f>
        <v>0</v>
      </c>
      <c r="Z5" s="9" cm="1">
        <f t="array" ref="Z5">IFERROR(_xlfn.XLOOKUP(1,(Table15[[#This Row],[Name]]=Points!$B:$B)*(Table15[[#Headers],[Mexico - 29 October]]=Points!$C:$C),Points!$J:$J,0,0,-1),0)</f>
        <v>0</v>
      </c>
      <c r="AA5" s="9" cm="1">
        <f t="array" ref="AA5">IFERROR(_xlfn.XLOOKUP(1,(Table15[[#This Row],[Name]]=Points!$B:$B)*(Table15[[#Headers],[Brazil - 5 November]]=Points!$C:$C),Points!$J:$J,0,0,-1),0)</f>
        <v>0</v>
      </c>
      <c r="AB5" s="9" cm="1">
        <f t="array" ref="AB5">IFERROR(_xlfn.XLOOKUP(1,(Table15[[#This Row],[Name]]=Points!$B:$B)*(Table15[[#Headers],[Las Vegas - 18 November]]=Points!$C:$C),Points!$J:$J,0,0,-1),0)</f>
        <v>0</v>
      </c>
      <c r="AC5" s="9" cm="1">
        <f t="array" ref="AC5">IFERROR(_xlfn.XLOOKUP(1,(Table15[[#This Row],[Name]]=Points!$B:$B)*(Table15[[#Headers],[Abu Dhabi - 26 November]]=Points!$C:$C),Points!$J:$J,0,0,-1),0)</f>
        <v>0</v>
      </c>
    </row>
    <row r="6" spans="1:29" ht="15.6" x14ac:dyDescent="0.3">
      <c r="A6" s="4">
        <v>5</v>
      </c>
      <c r="B6" t="s">
        <v>52</v>
      </c>
      <c r="C6" cm="1">
        <f t="array" ref="C6">Table15[[#This Row],[Total]]-_xlfn.XLOOKUP($G$35,$H$36:$AC$36,Table15[[#This Row],[Saudi Arabia - 19 March]:[Abu Dhabi - 26 November]])</f>
        <v>0</v>
      </c>
      <c r="D6" cm="1">
        <f t="array" ref="D6">_xlfn.XLOOKUP(B6,_xlfn.SORTBY(Table15[Name],Table15[Previous Race Total],-1),$A$2:$A$27)</f>
        <v>5</v>
      </c>
      <c r="E6" cm="1">
        <f t="array" ref="E6">_xlfn.XLOOKUP(B6,_xlfn.SORTBY(Table15[Name],Table15[Total],-1),$A$2:$A$27)</f>
        <v>5</v>
      </c>
      <c r="F6" s="94">
        <f>Table15[[#This Row],[Previous race Ranking]]-Table15[[#This Row],[Current ranking]]</f>
        <v>0</v>
      </c>
      <c r="G6" s="85">
        <f t="shared" si="0"/>
        <v>0</v>
      </c>
      <c r="H6" s="9" cm="1">
        <f t="array" ref="H6">IFERROR(_xlfn.XLOOKUP(1,(Table15[[#This Row],[Brazil - 5 November]]=Points!$B:$B)*(Table15[[#Headers],[Saudi Arabia - 19 March]]=Points!$C:$C),Points!$J:$J,0,0,-1),0)</f>
        <v>0</v>
      </c>
      <c r="I6" s="9" cm="1">
        <f t="array" ref="I6">IFERROR(_xlfn.XLOOKUP(1,(Table15[[#This Row],[Las Vegas - 18 November]]=Points!$B:$B)*(Table15[[#Headers],[Australia - 2 April]]=Points!$C:$C),Points!$J:$J,0,0,-1),0)</f>
        <v>0</v>
      </c>
      <c r="J6" s="9" cm="1">
        <f t="array" ref="J6">IFERROR(_xlfn.XLOOKUP(1,(Table15[[#This Row],[Abu Dhabi - 26 November]]=Points!$B:$B)*(Table15[[#Headers],[Azerbaijan - 30 April]]=Points!$C:$C),Points!$J:$J,0,0,-1),0)</f>
        <v>0</v>
      </c>
      <c r="K6" s="9" cm="1">
        <f t="array" ref="K6">IFERROR(_xlfn.XLOOKUP(1,(Table15[[#This Row],[Name]]=Points!$B:$B)*(Table15[[#Headers],[Miami - 7 May]]=Points!$C:$C),Points!$J:$J,0,0,-1),0)</f>
        <v>0</v>
      </c>
      <c r="L6" s="9" cm="1">
        <f t="array" ref="L6">IFERROR(_xlfn.XLOOKUP(1,(Table15[[#This Row],[Name]]=Points!$B:$B)*(Table15[[#Headers],[Italy - 21 May]]=Points!$C:$C),Points!$J:$J,0,0,-1),0)</f>
        <v>0</v>
      </c>
      <c r="M6" s="9" cm="1">
        <f t="array" ref="M6">IFERROR(_xlfn.XLOOKUP(1,(Table15[[#This Row],[Name]]=Points!$B:$B)*(Table15[[#Headers],[Monaco - 28 May]]=Points!$C:$C),Points!$J:$J,0,0,-1),0)</f>
        <v>0</v>
      </c>
      <c r="N6" s="9" cm="1">
        <f t="array" ref="N6">IFERROR(_xlfn.XLOOKUP(1,(Table15[[#This Row],[Name]]=Points!$B:$B)*(Table15[[#Headers],[Spain - 4 June]]=Points!$C:$C),Points!$J:$J,0,0,-1),0)</f>
        <v>0</v>
      </c>
      <c r="O6" s="9" cm="1">
        <f t="array" ref="O6">IFERROR(_xlfn.XLOOKUP(1,(Table15[[#This Row],[Name]]=Points!$B:$B)*(Table15[[#Headers],[Canada - 18 June]]=Points!$C:$C),Points!$J:$J,0,0,-1),0)</f>
        <v>0</v>
      </c>
      <c r="P6" s="9" cm="1">
        <f t="array" ref="P6">IFERROR(_xlfn.XLOOKUP(1,(Table15[[#This Row],[Name]]=Points!$B:$B)*(Table15[[#Headers],[Austria - 2 July]]=Points!$C:$C),Points!$J:$J,0,0,-1),0)</f>
        <v>0</v>
      </c>
      <c r="Q6" s="9" cm="1">
        <f t="array" ref="Q6">IFERROR(_xlfn.XLOOKUP(1,(Table15[[#This Row],[Name]]=Points!$B:$B)*(Table15[[#Headers],[Great Britain - 9 July]]=Points!$C:$C),Points!$J:$J,0,0,-1),0)</f>
        <v>0</v>
      </c>
      <c r="R6" s="9" cm="1">
        <f t="array" ref="R6">IFERROR(_xlfn.XLOOKUP(1,(Table15[[#This Row],[Name]]=Points!$B:$B)*(Table15[[#Headers],[Hungary - 23 July]]=Points!$C:$C),Points!$J:$J,0,0,-1),0)</f>
        <v>0</v>
      </c>
      <c r="S6" s="9" cm="1">
        <f t="array" ref="S6">IFERROR(_xlfn.XLOOKUP(1,(Table15[[#This Row],[Name]]=Points!$B:$B)*(Table15[[#Headers],[Belgium - 30 July]]=Points!$C:$C),Points!$J:$J,0,0,-1),0)</f>
        <v>0</v>
      </c>
      <c r="T6" s="9" cm="1">
        <f t="array" ref="T6">IFERROR(_xlfn.XLOOKUP(1,(Table15[[#This Row],[Name]]=Points!$B:$B)*(Table15[[#Headers],[Netherlands - 27 August]]=Points!$C:$C),Points!$J:$J,0,0,-1),0)</f>
        <v>0</v>
      </c>
      <c r="U6" s="9" cm="1">
        <f t="array" ref="U6">IFERROR(_xlfn.XLOOKUP(1,(Table15[[#This Row],[Name]]=Points!$B:$B)*(Table15[[#Headers],[Italy - 3 September]]=Points!$C:$C),Points!$J:$J,0,0,-1),0)</f>
        <v>0</v>
      </c>
      <c r="V6" s="9" cm="1">
        <f t="array" ref="V6">IFERROR(_xlfn.XLOOKUP(1,(Table15[[#This Row],[Name]]=Points!$B:$B)*(Table15[[#Headers],[Singapore - 17 September]]=Points!$C:$C),Points!$J:$J,0,0,-1),0)</f>
        <v>0</v>
      </c>
      <c r="W6" s="9" cm="1">
        <f t="array" ref="W6">IFERROR(_xlfn.XLOOKUP(1,(Table15[[#This Row],[Name]]=Points!$B:$B)*(Table15[[#Headers],[Japan - 24 September]]=Points!$C:$C),Points!$J:$J,0,0,-1),0)</f>
        <v>0</v>
      </c>
      <c r="X6" s="9" cm="1">
        <f t="array" ref="X6">IFERROR(_xlfn.XLOOKUP(1,(Table15[[#This Row],[Name]]=Points!$B:$B)*(Table15[[#Headers],[Qatar - 8 October]]=Points!$C:$C),Points!$J:$J,0,0,-1),0)</f>
        <v>0</v>
      </c>
      <c r="Y6" s="9" cm="1">
        <f t="array" ref="Y6">IFERROR(_xlfn.XLOOKUP(1,(Table15[[#This Row],[Name]]=Points!$B:$B)*(Table15[[#Headers],[United States - 22 October]]=Points!$C:$C),Points!$J:$J,0,0,-1),0)</f>
        <v>0</v>
      </c>
      <c r="Z6" s="9" cm="1">
        <f t="array" ref="Z6">IFERROR(_xlfn.XLOOKUP(1,(Table15[[#This Row],[Name]]=Points!$B:$B)*(Table15[[#Headers],[Mexico - 29 October]]=Points!$C:$C),Points!$J:$J,0,0,-1),0)</f>
        <v>0</v>
      </c>
      <c r="AA6" s="9" cm="1">
        <f t="array" ref="AA6">IFERROR(_xlfn.XLOOKUP(1,(Table15[[#This Row],[Name]]=Points!$B:$B)*(Table15[[#Headers],[Brazil - 5 November]]=Points!$C:$C),Points!$J:$J,0,0,-1),0)</f>
        <v>0</v>
      </c>
      <c r="AB6" s="9" cm="1">
        <f t="array" ref="AB6">IFERROR(_xlfn.XLOOKUP(1,(Table15[[#This Row],[Name]]=Points!$B:$B)*(Table15[[#Headers],[Las Vegas - 18 November]]=Points!$C:$C),Points!$J:$J,0,0,-1),0)</f>
        <v>0</v>
      </c>
      <c r="AC6" s="9" cm="1">
        <f t="array" ref="AC6">IFERROR(_xlfn.XLOOKUP(1,(Table15[[#This Row],[Name]]=Points!$B:$B)*(Table15[[#Headers],[Abu Dhabi - 26 November]]=Points!$C:$C),Points!$J:$J,0,0,-1),0)</f>
        <v>0</v>
      </c>
    </row>
    <row r="7" spans="1:29" ht="15.6" x14ac:dyDescent="0.3">
      <c r="A7" s="4">
        <v>6</v>
      </c>
      <c r="B7" t="s">
        <v>53</v>
      </c>
      <c r="C7" cm="1">
        <f t="array" ref="C7">Table15[[#This Row],[Total]]-_xlfn.XLOOKUP($G$35,$H$36:$AC$36,Table15[[#This Row],[Saudi Arabia - 19 March]:[Abu Dhabi - 26 November]])</f>
        <v>0</v>
      </c>
      <c r="D7" cm="1">
        <f t="array" ref="D7">_xlfn.XLOOKUP(B7,_xlfn.SORTBY(Table15[Name],Table15[Previous Race Total],-1),$A$2:$A$27)</f>
        <v>6</v>
      </c>
      <c r="E7" cm="1">
        <f t="array" ref="E7">_xlfn.XLOOKUP(B7,_xlfn.SORTBY(Table15[Name],Table15[Total],-1),$A$2:$A$27)</f>
        <v>6</v>
      </c>
      <c r="F7" s="94">
        <f>Table15[[#This Row],[Previous race Ranking]]-Table15[[#This Row],[Current ranking]]</f>
        <v>0</v>
      </c>
      <c r="G7" s="85">
        <f t="shared" si="0"/>
        <v>0</v>
      </c>
      <c r="H7" s="9" cm="1">
        <f t="array" ref="H7">IFERROR(_xlfn.XLOOKUP(1,(Table15[[#This Row],[Brazil - 5 November]]=Points!$B:$B)*(Table15[[#Headers],[Saudi Arabia - 19 March]]=Points!$C:$C),Points!$J:$J,0,0,-1),0)</f>
        <v>0</v>
      </c>
      <c r="I7" s="9" cm="1">
        <f t="array" ref="I7">IFERROR(_xlfn.XLOOKUP(1,(Table15[[#This Row],[Las Vegas - 18 November]]=Points!$B:$B)*(Table15[[#Headers],[Australia - 2 April]]=Points!$C:$C),Points!$J:$J,0,0,-1),0)</f>
        <v>0</v>
      </c>
      <c r="J7" s="9" cm="1">
        <f t="array" ref="J7">IFERROR(_xlfn.XLOOKUP(1,(Table15[[#This Row],[Abu Dhabi - 26 November]]=Points!$B:$B)*(Table15[[#Headers],[Azerbaijan - 30 April]]=Points!$C:$C),Points!$J:$J,0,0,-1),0)</f>
        <v>0</v>
      </c>
      <c r="K7" s="9" cm="1">
        <f t="array" ref="K7">IFERROR(_xlfn.XLOOKUP(1,(Table15[[#This Row],[Name]]=Points!$B:$B)*(Table15[[#Headers],[Miami - 7 May]]=Points!$C:$C),Points!$J:$J,0,0,-1),0)</f>
        <v>0</v>
      </c>
      <c r="L7" s="9" cm="1">
        <f t="array" ref="L7">IFERROR(_xlfn.XLOOKUP(1,(Table15[[#This Row],[Name]]=Points!$B:$B)*(Table15[[#Headers],[Italy - 21 May]]=Points!$C:$C),Points!$J:$J,0,0,-1),0)</f>
        <v>0</v>
      </c>
      <c r="M7" s="9" cm="1">
        <f t="array" ref="M7">IFERROR(_xlfn.XLOOKUP(1,(Table15[[#This Row],[Name]]=Points!$B:$B)*(Table15[[#Headers],[Monaco - 28 May]]=Points!$C:$C),Points!$J:$J,0,0,-1),0)</f>
        <v>0</v>
      </c>
      <c r="N7" s="9" cm="1">
        <f t="array" ref="N7">IFERROR(_xlfn.XLOOKUP(1,(Table15[[#This Row],[Name]]=Points!$B:$B)*(Table15[[#Headers],[Spain - 4 June]]=Points!$C:$C),Points!$J:$J,0,0,-1),0)</f>
        <v>0</v>
      </c>
      <c r="O7" s="9" cm="1">
        <f t="array" ref="O7">IFERROR(_xlfn.XLOOKUP(1,(Table15[[#This Row],[Name]]=Points!$B:$B)*(Table15[[#Headers],[Canada - 18 June]]=Points!$C:$C),Points!$J:$J,0,0,-1),0)</f>
        <v>0</v>
      </c>
      <c r="P7" s="9" cm="1">
        <f t="array" ref="P7">IFERROR(_xlfn.XLOOKUP(1,(Table15[[#This Row],[Name]]=Points!$B:$B)*(Table15[[#Headers],[Austria - 2 July]]=Points!$C:$C),Points!$J:$J,0,0,-1),0)</f>
        <v>0</v>
      </c>
      <c r="Q7" s="9" cm="1">
        <f t="array" ref="Q7">IFERROR(_xlfn.XLOOKUP(1,(Table15[[#This Row],[Name]]=Points!$B:$B)*(Table15[[#Headers],[Great Britain - 9 July]]=Points!$C:$C),Points!$J:$J,0,0,-1),0)</f>
        <v>0</v>
      </c>
      <c r="R7" s="9" cm="1">
        <f t="array" ref="R7">IFERROR(_xlfn.XLOOKUP(1,(Table15[[#This Row],[Name]]=Points!$B:$B)*(Table15[[#Headers],[Hungary - 23 July]]=Points!$C:$C),Points!$J:$J,0,0,-1),0)</f>
        <v>0</v>
      </c>
      <c r="S7" s="9" cm="1">
        <f t="array" ref="S7">IFERROR(_xlfn.XLOOKUP(1,(Table15[[#This Row],[Name]]=Points!$B:$B)*(Table15[[#Headers],[Belgium - 30 July]]=Points!$C:$C),Points!$J:$J,0,0,-1),0)</f>
        <v>0</v>
      </c>
      <c r="T7" s="9" cm="1">
        <f t="array" ref="T7">IFERROR(_xlfn.XLOOKUP(1,(Table15[[#This Row],[Name]]=Points!$B:$B)*(Table15[[#Headers],[Netherlands - 27 August]]=Points!$C:$C),Points!$J:$J,0,0,-1),0)</f>
        <v>0</v>
      </c>
      <c r="U7" s="9" cm="1">
        <f t="array" ref="U7">IFERROR(_xlfn.XLOOKUP(1,(Table15[[#This Row],[Name]]=Points!$B:$B)*(Table15[[#Headers],[Italy - 3 September]]=Points!$C:$C),Points!$J:$J,0,0,-1),0)</f>
        <v>0</v>
      </c>
      <c r="V7" s="9" cm="1">
        <f t="array" ref="V7">IFERROR(_xlfn.XLOOKUP(1,(Table15[[#This Row],[Name]]=Points!$B:$B)*(Table15[[#Headers],[Singapore - 17 September]]=Points!$C:$C),Points!$J:$J,0,0,-1),0)</f>
        <v>0</v>
      </c>
      <c r="W7" s="9" cm="1">
        <f t="array" ref="W7">IFERROR(_xlfn.XLOOKUP(1,(Table15[[#This Row],[Name]]=Points!$B:$B)*(Table15[[#Headers],[Japan - 24 September]]=Points!$C:$C),Points!$J:$J,0,0,-1),0)</f>
        <v>0</v>
      </c>
      <c r="X7" s="9" cm="1">
        <f t="array" ref="X7">IFERROR(_xlfn.XLOOKUP(1,(Table15[[#This Row],[Name]]=Points!$B:$B)*(Table15[[#Headers],[Qatar - 8 October]]=Points!$C:$C),Points!$J:$J,0,0,-1),0)</f>
        <v>0</v>
      </c>
      <c r="Y7" s="9" cm="1">
        <f t="array" ref="Y7">IFERROR(_xlfn.XLOOKUP(1,(Table15[[#This Row],[Name]]=Points!$B:$B)*(Table15[[#Headers],[United States - 22 October]]=Points!$C:$C),Points!$J:$J,0,0,-1),0)</f>
        <v>0</v>
      </c>
      <c r="Z7" s="9" cm="1">
        <f t="array" ref="Z7">IFERROR(_xlfn.XLOOKUP(1,(Table15[[#This Row],[Name]]=Points!$B:$B)*(Table15[[#Headers],[Mexico - 29 October]]=Points!$C:$C),Points!$J:$J,0,0,-1),0)</f>
        <v>0</v>
      </c>
      <c r="AA7" s="9" cm="1">
        <f t="array" ref="AA7">IFERROR(_xlfn.XLOOKUP(1,(Table15[[#This Row],[Name]]=Points!$B:$B)*(Table15[[#Headers],[Brazil - 5 November]]=Points!$C:$C),Points!$J:$J,0,0,-1),0)</f>
        <v>0</v>
      </c>
      <c r="AB7" s="9" cm="1">
        <f t="array" ref="AB7">IFERROR(_xlfn.XLOOKUP(1,(Table15[[#This Row],[Name]]=Points!$B:$B)*(Table15[[#Headers],[Las Vegas - 18 November]]=Points!$C:$C),Points!$J:$J,0,0,-1),0)</f>
        <v>0</v>
      </c>
      <c r="AC7" s="9" cm="1">
        <f t="array" ref="AC7">IFERROR(_xlfn.XLOOKUP(1,(Table15[[#This Row],[Name]]=Points!$B:$B)*(Table15[[#Headers],[Abu Dhabi - 26 November]]=Points!$C:$C),Points!$J:$J,0,0,-1),0)</f>
        <v>0</v>
      </c>
    </row>
    <row r="8" spans="1:29" ht="15.6" x14ac:dyDescent="0.3">
      <c r="A8" s="4">
        <v>7</v>
      </c>
      <c r="B8" t="s">
        <v>51</v>
      </c>
      <c r="C8" cm="1">
        <f t="array" ref="C8">Table15[[#This Row],[Total]]-_xlfn.XLOOKUP($G$35,$H$36:$AC$36,Table15[[#This Row],[Saudi Arabia - 19 March]:[Abu Dhabi - 26 November]])</f>
        <v>0</v>
      </c>
      <c r="D8" cm="1">
        <f t="array" ref="D8">_xlfn.XLOOKUP(B8,_xlfn.SORTBY(Table15[Name],Table15[Previous Race Total],-1),$A$2:$A$27)</f>
        <v>7</v>
      </c>
      <c r="E8" cm="1">
        <f t="array" ref="E8">_xlfn.XLOOKUP(B8,_xlfn.SORTBY(Table15[Name],Table15[Total],-1),$A$2:$A$27)</f>
        <v>7</v>
      </c>
      <c r="F8" s="94">
        <f>Table15[[#This Row],[Previous race Ranking]]-Table15[[#This Row],[Current ranking]]</f>
        <v>0</v>
      </c>
      <c r="G8" s="85">
        <f t="shared" si="0"/>
        <v>0</v>
      </c>
      <c r="H8" s="9" cm="1">
        <f t="array" ref="H8">IFERROR(_xlfn.XLOOKUP(1,(Table15[[#This Row],[Brazil - 5 November]]=Points!$B:$B)*(Table15[[#Headers],[Saudi Arabia - 19 March]]=Points!$C:$C),Points!$J:$J,0,0,-1),0)</f>
        <v>0</v>
      </c>
      <c r="I8" s="9" cm="1">
        <f t="array" ref="I8">IFERROR(_xlfn.XLOOKUP(1,(Table15[[#This Row],[Las Vegas - 18 November]]=Points!$B:$B)*(Table15[[#Headers],[Australia - 2 April]]=Points!$C:$C),Points!$J:$J,0,0,-1),0)</f>
        <v>0</v>
      </c>
      <c r="J8" s="9" cm="1">
        <f t="array" ref="J8">IFERROR(_xlfn.XLOOKUP(1,(Table15[[#This Row],[Abu Dhabi - 26 November]]=Points!$B:$B)*(Table15[[#Headers],[Azerbaijan - 30 April]]=Points!$C:$C),Points!$J:$J,0,0,-1),0)</f>
        <v>0</v>
      </c>
      <c r="K8" s="9" cm="1">
        <f t="array" ref="K8">IFERROR(_xlfn.XLOOKUP(1,(Table15[[#This Row],[Name]]=Points!$B:$B)*(Table15[[#Headers],[Miami - 7 May]]=Points!$C:$C),Points!$J:$J,0,0,-1),0)</f>
        <v>0</v>
      </c>
      <c r="L8" s="9" cm="1">
        <f t="array" ref="L8">IFERROR(_xlfn.XLOOKUP(1,(Table15[[#This Row],[Name]]=Points!$B:$B)*(Table15[[#Headers],[Italy - 21 May]]=Points!$C:$C),Points!$J:$J,0,0,-1),0)</f>
        <v>0</v>
      </c>
      <c r="M8" s="9" cm="1">
        <f t="array" ref="M8">IFERROR(_xlfn.XLOOKUP(1,(Table15[[#This Row],[Name]]=Points!$B:$B)*(Table15[[#Headers],[Monaco - 28 May]]=Points!$C:$C),Points!$J:$J,0,0,-1),0)</f>
        <v>0</v>
      </c>
      <c r="N8" s="9" cm="1">
        <f t="array" ref="N8">IFERROR(_xlfn.XLOOKUP(1,(Table15[[#This Row],[Name]]=Points!$B:$B)*(Table15[[#Headers],[Spain - 4 June]]=Points!$C:$C),Points!$J:$J,0,0,-1),0)</f>
        <v>0</v>
      </c>
      <c r="O8" s="9" cm="1">
        <f t="array" ref="O8">IFERROR(_xlfn.XLOOKUP(1,(Table15[[#This Row],[Name]]=Points!$B:$B)*(Table15[[#Headers],[Canada - 18 June]]=Points!$C:$C),Points!$J:$J,0,0,-1),0)</f>
        <v>0</v>
      </c>
      <c r="P8" s="9" cm="1">
        <f t="array" ref="P8">IFERROR(_xlfn.XLOOKUP(1,(Table15[[#This Row],[Name]]=Points!$B:$B)*(Table15[[#Headers],[Austria - 2 July]]=Points!$C:$C),Points!$J:$J,0,0,-1),0)</f>
        <v>0</v>
      </c>
      <c r="Q8" s="9" cm="1">
        <f t="array" ref="Q8">IFERROR(_xlfn.XLOOKUP(1,(Table15[[#This Row],[Name]]=Points!$B:$B)*(Table15[[#Headers],[Great Britain - 9 July]]=Points!$C:$C),Points!$J:$J,0,0,-1),0)</f>
        <v>0</v>
      </c>
      <c r="R8" s="9" cm="1">
        <f t="array" ref="R8">IFERROR(_xlfn.XLOOKUP(1,(Table15[[#This Row],[Name]]=Points!$B:$B)*(Table15[[#Headers],[Hungary - 23 July]]=Points!$C:$C),Points!$J:$J,0,0,-1),0)</f>
        <v>0</v>
      </c>
      <c r="S8" s="9" cm="1">
        <f t="array" ref="S8">IFERROR(_xlfn.XLOOKUP(1,(Table15[[#This Row],[Name]]=Points!$B:$B)*(Table15[[#Headers],[Belgium - 30 July]]=Points!$C:$C),Points!$J:$J,0,0,-1),0)</f>
        <v>0</v>
      </c>
      <c r="T8" s="9" cm="1">
        <f t="array" ref="T8">IFERROR(_xlfn.XLOOKUP(1,(Table15[[#This Row],[Name]]=Points!$B:$B)*(Table15[[#Headers],[Netherlands - 27 August]]=Points!$C:$C),Points!$J:$J,0,0,-1),0)</f>
        <v>0</v>
      </c>
      <c r="U8" s="9" cm="1">
        <f t="array" ref="U8">IFERROR(_xlfn.XLOOKUP(1,(Table15[[#This Row],[Name]]=Points!$B:$B)*(Table15[[#Headers],[Italy - 3 September]]=Points!$C:$C),Points!$J:$J,0,0,-1),0)</f>
        <v>0</v>
      </c>
      <c r="V8" s="9" cm="1">
        <f t="array" ref="V8">IFERROR(_xlfn.XLOOKUP(1,(Table15[[#This Row],[Name]]=Points!$B:$B)*(Table15[[#Headers],[Singapore - 17 September]]=Points!$C:$C),Points!$J:$J,0,0,-1),0)</f>
        <v>0</v>
      </c>
      <c r="W8" s="9" cm="1">
        <f t="array" ref="W8">IFERROR(_xlfn.XLOOKUP(1,(Table15[[#This Row],[Name]]=Points!$B:$B)*(Table15[[#Headers],[Japan - 24 September]]=Points!$C:$C),Points!$J:$J,0,0,-1),0)</f>
        <v>0</v>
      </c>
      <c r="X8" s="9" cm="1">
        <f t="array" ref="X8">IFERROR(_xlfn.XLOOKUP(1,(Table15[[#This Row],[Name]]=Points!$B:$B)*(Table15[[#Headers],[Qatar - 8 October]]=Points!$C:$C),Points!$J:$J,0,0,-1),0)</f>
        <v>0</v>
      </c>
      <c r="Y8" s="9" cm="1">
        <f t="array" ref="Y8">IFERROR(_xlfn.XLOOKUP(1,(Table15[[#This Row],[Name]]=Points!$B:$B)*(Table15[[#Headers],[United States - 22 October]]=Points!$C:$C),Points!$J:$J,0,0,-1),0)</f>
        <v>0</v>
      </c>
      <c r="Z8" s="9" cm="1">
        <f t="array" ref="Z8">IFERROR(_xlfn.XLOOKUP(1,(Table15[[#This Row],[Name]]=Points!$B:$B)*(Table15[[#Headers],[Mexico - 29 October]]=Points!$C:$C),Points!$J:$J,0,0,-1),0)</f>
        <v>0</v>
      </c>
      <c r="AA8" s="9" cm="1">
        <f t="array" ref="AA8">IFERROR(_xlfn.XLOOKUP(1,(Table15[[#This Row],[Name]]=Points!$B:$B)*(Table15[[#Headers],[Brazil - 5 November]]=Points!$C:$C),Points!$J:$J,0,0,-1),0)</f>
        <v>0</v>
      </c>
      <c r="AB8" s="9" cm="1">
        <f t="array" ref="AB8">IFERROR(_xlfn.XLOOKUP(1,(Table15[[#This Row],[Name]]=Points!$B:$B)*(Table15[[#Headers],[Las Vegas - 18 November]]=Points!$C:$C),Points!$J:$J,0,0,-1),0)</f>
        <v>0</v>
      </c>
      <c r="AC8" s="9" cm="1">
        <f t="array" ref="AC8">IFERROR(_xlfn.XLOOKUP(1,(Table15[[#This Row],[Name]]=Points!$B:$B)*(Table15[[#Headers],[Abu Dhabi - 26 November]]=Points!$C:$C),Points!$J:$J,0,0,-1),0)</f>
        <v>0</v>
      </c>
    </row>
    <row r="9" spans="1:29" ht="15.6" x14ac:dyDescent="0.3">
      <c r="A9" s="4">
        <v>8</v>
      </c>
      <c r="B9" t="s">
        <v>49</v>
      </c>
      <c r="C9" cm="1">
        <f t="array" ref="C9">Table15[[#This Row],[Total]]-_xlfn.XLOOKUP($G$35,$H$36:$AC$36,Table15[[#This Row],[Saudi Arabia - 19 March]:[Abu Dhabi - 26 November]])</f>
        <v>0</v>
      </c>
      <c r="D9" cm="1">
        <f t="array" ref="D9">_xlfn.XLOOKUP(B9,_xlfn.SORTBY(Table15[Name],Table15[Previous Race Total],-1),$A$2:$A$27)</f>
        <v>8</v>
      </c>
      <c r="E9" cm="1">
        <f t="array" ref="E9">_xlfn.XLOOKUP(B9,_xlfn.SORTBY(Table15[Name],Table15[Total],-1),$A$2:$A$27)</f>
        <v>8</v>
      </c>
      <c r="F9" s="94">
        <f>Table15[[#This Row],[Previous race Ranking]]-Table15[[#This Row],[Current ranking]]</f>
        <v>0</v>
      </c>
      <c r="G9" s="85">
        <f t="shared" si="0"/>
        <v>0</v>
      </c>
      <c r="H9" s="9" cm="1">
        <f t="array" ref="H9">IFERROR(_xlfn.XLOOKUP(1,(Table15[[#This Row],[Brazil - 5 November]]=Points!$B:$B)*(Table15[[#Headers],[Saudi Arabia - 19 March]]=Points!$C:$C),Points!$J:$J,0,0,-1),0)</f>
        <v>0</v>
      </c>
      <c r="I9" s="9" cm="1">
        <f t="array" ref="I9">IFERROR(_xlfn.XLOOKUP(1,(Table15[[#This Row],[Las Vegas - 18 November]]=Points!$B:$B)*(Table15[[#Headers],[Australia - 2 April]]=Points!$C:$C),Points!$J:$J,0,0,-1),0)</f>
        <v>0</v>
      </c>
      <c r="J9" s="9" cm="1">
        <f t="array" ref="J9">IFERROR(_xlfn.XLOOKUP(1,(Table15[[#This Row],[Abu Dhabi - 26 November]]=Points!$B:$B)*(Table15[[#Headers],[Azerbaijan - 30 April]]=Points!$C:$C),Points!$J:$J,0,0,-1),0)</f>
        <v>0</v>
      </c>
      <c r="K9" s="9" cm="1">
        <f t="array" ref="K9">IFERROR(_xlfn.XLOOKUP(1,(Table15[[#This Row],[Name]]=Points!$B:$B)*(Table15[[#Headers],[Miami - 7 May]]=Points!$C:$C),Points!$J:$J,0,0,-1),0)</f>
        <v>0</v>
      </c>
      <c r="L9" s="9" cm="1">
        <f t="array" ref="L9">IFERROR(_xlfn.XLOOKUP(1,(Table15[[#This Row],[Name]]=Points!$B:$B)*(Table15[[#Headers],[Italy - 21 May]]=Points!$C:$C),Points!$J:$J,0,0,-1),0)</f>
        <v>0</v>
      </c>
      <c r="M9" s="9" cm="1">
        <f t="array" ref="M9">IFERROR(_xlfn.XLOOKUP(1,(Table15[[#This Row],[Name]]=Points!$B:$B)*(Table15[[#Headers],[Monaco - 28 May]]=Points!$C:$C),Points!$J:$J,0,0,-1),0)</f>
        <v>0</v>
      </c>
      <c r="N9" s="9" cm="1">
        <f t="array" ref="N9">IFERROR(_xlfn.XLOOKUP(1,(Table15[[#This Row],[Name]]=Points!$B:$B)*(Table15[[#Headers],[Spain - 4 June]]=Points!$C:$C),Points!$J:$J,0,0,-1),0)</f>
        <v>0</v>
      </c>
      <c r="O9" s="9" cm="1">
        <f t="array" ref="O9">IFERROR(_xlfn.XLOOKUP(1,(Table15[[#This Row],[Name]]=Points!$B:$B)*(Table15[[#Headers],[Canada - 18 June]]=Points!$C:$C),Points!$J:$J,0,0,-1),0)</f>
        <v>0</v>
      </c>
      <c r="P9" s="9" cm="1">
        <f t="array" ref="P9">IFERROR(_xlfn.XLOOKUP(1,(Table15[[#This Row],[Name]]=Points!$B:$B)*(Table15[[#Headers],[Austria - 2 July]]=Points!$C:$C),Points!$J:$J,0,0,-1),0)</f>
        <v>0</v>
      </c>
      <c r="Q9" s="9" cm="1">
        <f t="array" ref="Q9">IFERROR(_xlfn.XLOOKUP(1,(Table15[[#This Row],[Name]]=Points!$B:$B)*(Table15[[#Headers],[Great Britain - 9 July]]=Points!$C:$C),Points!$J:$J,0,0,-1),0)</f>
        <v>0</v>
      </c>
      <c r="R9" s="9" cm="1">
        <f t="array" ref="R9">IFERROR(_xlfn.XLOOKUP(1,(Table15[[#This Row],[Name]]=Points!$B:$B)*(Table15[[#Headers],[Hungary - 23 July]]=Points!$C:$C),Points!$J:$J,0,0,-1),0)</f>
        <v>0</v>
      </c>
      <c r="S9" s="9" cm="1">
        <f t="array" ref="S9">IFERROR(_xlfn.XLOOKUP(1,(Table15[[#This Row],[Name]]=Points!$B:$B)*(Table15[[#Headers],[Belgium - 30 July]]=Points!$C:$C),Points!$J:$J,0,0,-1),0)</f>
        <v>0</v>
      </c>
      <c r="T9" s="9" cm="1">
        <f t="array" ref="T9">IFERROR(_xlfn.XLOOKUP(1,(Table15[[#This Row],[Name]]=Points!$B:$B)*(Table15[[#Headers],[Netherlands - 27 August]]=Points!$C:$C),Points!$J:$J,0,0,-1),0)</f>
        <v>0</v>
      </c>
      <c r="U9" s="9" cm="1">
        <f t="array" ref="U9">IFERROR(_xlfn.XLOOKUP(1,(Table15[[#This Row],[Name]]=Points!$B:$B)*(Table15[[#Headers],[Italy - 3 September]]=Points!$C:$C),Points!$J:$J,0,0,-1),0)</f>
        <v>0</v>
      </c>
      <c r="V9" s="9" cm="1">
        <f t="array" ref="V9">IFERROR(_xlfn.XLOOKUP(1,(Table15[[#This Row],[Name]]=Points!$B:$B)*(Table15[[#Headers],[Singapore - 17 September]]=Points!$C:$C),Points!$J:$J,0,0,-1),0)</f>
        <v>0</v>
      </c>
      <c r="W9" s="9" cm="1">
        <f t="array" ref="W9">IFERROR(_xlfn.XLOOKUP(1,(Table15[[#This Row],[Name]]=Points!$B:$B)*(Table15[[#Headers],[Japan - 24 September]]=Points!$C:$C),Points!$J:$J,0,0,-1),0)</f>
        <v>0</v>
      </c>
      <c r="X9" s="9" cm="1">
        <f t="array" ref="X9">IFERROR(_xlfn.XLOOKUP(1,(Table15[[#This Row],[Name]]=Points!$B:$B)*(Table15[[#Headers],[Qatar - 8 October]]=Points!$C:$C),Points!$J:$J,0,0,-1),0)</f>
        <v>0</v>
      </c>
      <c r="Y9" s="9" cm="1">
        <f t="array" ref="Y9">IFERROR(_xlfn.XLOOKUP(1,(Table15[[#This Row],[Name]]=Points!$B:$B)*(Table15[[#Headers],[United States - 22 October]]=Points!$C:$C),Points!$J:$J,0,0,-1),0)</f>
        <v>0</v>
      </c>
      <c r="Z9" s="9" cm="1">
        <f t="array" ref="Z9">IFERROR(_xlfn.XLOOKUP(1,(Table15[[#This Row],[Name]]=Points!$B:$B)*(Table15[[#Headers],[Mexico - 29 October]]=Points!$C:$C),Points!$J:$J,0,0,-1),0)</f>
        <v>0</v>
      </c>
      <c r="AA9" s="9" cm="1">
        <f t="array" ref="AA9">IFERROR(_xlfn.XLOOKUP(1,(Table15[[#This Row],[Name]]=Points!$B:$B)*(Table15[[#Headers],[Brazil - 5 November]]=Points!$C:$C),Points!$J:$J,0,0,-1),0)</f>
        <v>0</v>
      </c>
      <c r="AB9" s="9" cm="1">
        <f t="array" ref="AB9">IFERROR(_xlfn.XLOOKUP(1,(Table15[[#This Row],[Name]]=Points!$B:$B)*(Table15[[#Headers],[Las Vegas - 18 November]]=Points!$C:$C),Points!$J:$J,0,0,-1),0)</f>
        <v>0</v>
      </c>
      <c r="AC9" s="9" cm="1">
        <f t="array" ref="AC9">IFERROR(_xlfn.XLOOKUP(1,(Table15[[#This Row],[Name]]=Points!$B:$B)*(Table15[[#Headers],[Abu Dhabi - 26 November]]=Points!$C:$C),Points!$J:$J,0,0,-1),0)</f>
        <v>0</v>
      </c>
    </row>
    <row r="10" spans="1:29" ht="15.6" x14ac:dyDescent="0.3">
      <c r="A10" s="4">
        <v>9</v>
      </c>
      <c r="B10" t="s">
        <v>65</v>
      </c>
      <c r="C10" cm="1">
        <f t="array" ref="C10">Table15[[#This Row],[Total]]-_xlfn.XLOOKUP($G$35,$H$36:$AC$36,Table15[[#This Row],[Saudi Arabia - 19 March]:[Abu Dhabi - 26 November]])</f>
        <v>0</v>
      </c>
      <c r="D10" cm="1">
        <f t="array" ref="D10">_xlfn.XLOOKUP(B10,_xlfn.SORTBY(Table15[Name],Table15[Previous Race Total],-1),$A$2:$A$27)</f>
        <v>9</v>
      </c>
      <c r="E10" cm="1">
        <f t="array" ref="E10">_xlfn.XLOOKUP(B10,_xlfn.SORTBY(Table15[Name],Table15[Total],-1),$A$2:$A$27)</f>
        <v>9</v>
      </c>
      <c r="F10" s="94">
        <f>Table15[[#This Row],[Previous race Ranking]]-Table15[[#This Row],[Current ranking]]</f>
        <v>0</v>
      </c>
      <c r="G10" s="85">
        <f t="shared" si="0"/>
        <v>0</v>
      </c>
      <c r="H10" s="9" cm="1">
        <f t="array" ref="H10">IFERROR(_xlfn.XLOOKUP(1,(Table15[[#This Row],[Brazil - 5 November]]=Points!$B:$B)*(Table15[[#Headers],[Saudi Arabia - 19 March]]=Points!$C:$C),Points!$J:$J,0,0,-1),0)</f>
        <v>0</v>
      </c>
      <c r="I10" s="9" cm="1">
        <f t="array" ref="I10">IFERROR(_xlfn.XLOOKUP(1,(Table15[[#This Row],[Las Vegas - 18 November]]=Points!$B:$B)*(Table15[[#Headers],[Australia - 2 April]]=Points!$C:$C),Points!$J:$J,0,0,-1),0)</f>
        <v>0</v>
      </c>
      <c r="J10" s="9" cm="1">
        <f t="array" ref="J10">IFERROR(_xlfn.XLOOKUP(1,(Table15[[#This Row],[Abu Dhabi - 26 November]]=Points!$B:$B)*(Table15[[#Headers],[Azerbaijan - 30 April]]=Points!$C:$C),Points!$J:$J,0,0,-1),0)</f>
        <v>0</v>
      </c>
      <c r="K10" s="9" cm="1">
        <f t="array" ref="K10">IFERROR(_xlfn.XLOOKUP(1,(Table15[[#This Row],[Name]]=Points!$B:$B)*(Table15[[#Headers],[Miami - 7 May]]=Points!$C:$C),Points!$J:$J,0,0,-1),0)</f>
        <v>0</v>
      </c>
      <c r="L10" s="9" cm="1">
        <f t="array" ref="L10">IFERROR(_xlfn.XLOOKUP(1,(Table15[[#This Row],[Name]]=Points!$B:$B)*(Table15[[#Headers],[Italy - 21 May]]=Points!$C:$C),Points!$J:$J,0,0,-1),0)</f>
        <v>0</v>
      </c>
      <c r="M10" s="9" cm="1">
        <f t="array" ref="M10">IFERROR(_xlfn.XLOOKUP(1,(Table15[[#This Row],[Name]]=Points!$B:$B)*(Table15[[#Headers],[Monaco - 28 May]]=Points!$C:$C),Points!$J:$J,0,0,-1),0)</f>
        <v>0</v>
      </c>
      <c r="N10" s="9" cm="1">
        <f t="array" ref="N10">IFERROR(_xlfn.XLOOKUP(1,(Table15[[#This Row],[Name]]=Points!$B:$B)*(Table15[[#Headers],[Spain - 4 June]]=Points!$C:$C),Points!$J:$J,0,0,-1),0)</f>
        <v>0</v>
      </c>
      <c r="O10" s="9" cm="1">
        <f t="array" ref="O10">IFERROR(_xlfn.XLOOKUP(1,(Table15[[#This Row],[Name]]=Points!$B:$B)*(Table15[[#Headers],[Canada - 18 June]]=Points!$C:$C),Points!$J:$J,0,0,-1),0)</f>
        <v>0</v>
      </c>
      <c r="P10" s="9" cm="1">
        <f t="array" ref="P10">IFERROR(_xlfn.XLOOKUP(1,(Table15[[#This Row],[Name]]=Points!$B:$B)*(Table15[[#Headers],[Austria - 2 July]]=Points!$C:$C),Points!$J:$J,0,0,-1),0)</f>
        <v>0</v>
      </c>
      <c r="Q10" s="9" cm="1">
        <f t="array" ref="Q10">IFERROR(_xlfn.XLOOKUP(1,(Table15[[#This Row],[Name]]=Points!$B:$B)*(Table15[[#Headers],[Great Britain - 9 July]]=Points!$C:$C),Points!$J:$J,0,0,-1),0)</f>
        <v>0</v>
      </c>
      <c r="R10" s="9" cm="1">
        <f t="array" ref="R10">IFERROR(_xlfn.XLOOKUP(1,(Table15[[#This Row],[Name]]=Points!$B:$B)*(Table15[[#Headers],[Hungary - 23 July]]=Points!$C:$C),Points!$J:$J,0,0,-1),0)</f>
        <v>0</v>
      </c>
      <c r="S10" s="9" cm="1">
        <f t="array" ref="S10">IFERROR(_xlfn.XLOOKUP(1,(Table15[[#This Row],[Name]]=Points!$B:$B)*(Table15[[#Headers],[Belgium - 30 July]]=Points!$C:$C),Points!$J:$J,0,0,-1),0)</f>
        <v>0</v>
      </c>
      <c r="T10" s="9" cm="1">
        <f t="array" ref="T10">IFERROR(_xlfn.XLOOKUP(1,(Table15[[#This Row],[Name]]=Points!$B:$B)*(Table15[[#Headers],[Netherlands - 27 August]]=Points!$C:$C),Points!$J:$J,0,0,-1),0)</f>
        <v>0</v>
      </c>
      <c r="U10" s="9" cm="1">
        <f t="array" ref="U10">IFERROR(_xlfn.XLOOKUP(1,(Table15[[#This Row],[Name]]=Points!$B:$B)*(Table15[[#Headers],[Italy - 3 September]]=Points!$C:$C),Points!$J:$J,0,0,-1),0)</f>
        <v>0</v>
      </c>
      <c r="V10" s="9" cm="1">
        <f t="array" ref="V10">IFERROR(_xlfn.XLOOKUP(1,(Table15[[#This Row],[Name]]=Points!$B:$B)*(Table15[[#Headers],[Singapore - 17 September]]=Points!$C:$C),Points!$J:$J,0,0,-1),0)</f>
        <v>0</v>
      </c>
      <c r="W10" s="9" cm="1">
        <f t="array" ref="W10">IFERROR(_xlfn.XLOOKUP(1,(Table15[[#This Row],[Name]]=Points!$B:$B)*(Table15[[#Headers],[Japan - 24 September]]=Points!$C:$C),Points!$J:$J,0,0,-1),0)</f>
        <v>0</v>
      </c>
      <c r="X10" s="9" cm="1">
        <f t="array" ref="X10">IFERROR(_xlfn.XLOOKUP(1,(Table15[[#This Row],[Name]]=Points!$B:$B)*(Table15[[#Headers],[Qatar - 8 October]]=Points!$C:$C),Points!$J:$J,0,0,-1),0)</f>
        <v>0</v>
      </c>
      <c r="Y10" s="9" cm="1">
        <f t="array" ref="Y10">IFERROR(_xlfn.XLOOKUP(1,(Table15[[#This Row],[Name]]=Points!$B:$B)*(Table15[[#Headers],[United States - 22 October]]=Points!$C:$C),Points!$J:$J,0,0,-1),0)</f>
        <v>0</v>
      </c>
      <c r="Z10" s="9" cm="1">
        <f t="array" ref="Z10">IFERROR(_xlfn.XLOOKUP(1,(Table15[[#This Row],[Name]]=Points!$B:$B)*(Table15[[#Headers],[Mexico - 29 October]]=Points!$C:$C),Points!$J:$J,0,0,-1),0)</f>
        <v>0</v>
      </c>
      <c r="AA10" s="9" cm="1">
        <f t="array" ref="AA10">IFERROR(_xlfn.XLOOKUP(1,(Table15[[#This Row],[Name]]=Points!$B:$B)*(Table15[[#Headers],[Brazil - 5 November]]=Points!$C:$C),Points!$J:$J,0,0,-1),0)</f>
        <v>0</v>
      </c>
      <c r="AB10" s="9" cm="1">
        <f t="array" ref="AB10">IFERROR(_xlfn.XLOOKUP(1,(Table15[[#This Row],[Name]]=Points!$B:$B)*(Table15[[#Headers],[Las Vegas - 18 November]]=Points!$C:$C),Points!$J:$J,0,0,-1),0)</f>
        <v>0</v>
      </c>
      <c r="AC10" s="9" cm="1">
        <f t="array" ref="AC10">IFERROR(_xlfn.XLOOKUP(1,(Table15[[#This Row],[Name]]=Points!$B:$B)*(Table15[[#Headers],[Abu Dhabi - 26 November]]=Points!$C:$C),Points!$J:$J,0,0,-1),0)</f>
        <v>0</v>
      </c>
    </row>
    <row r="11" spans="1:29" ht="15.6" x14ac:dyDescent="0.3">
      <c r="A11" s="107">
        <v>10</v>
      </c>
      <c r="B11" t="s">
        <v>56</v>
      </c>
      <c r="C11" cm="1">
        <f t="array" ref="C11">Table15[[#This Row],[Total]]-_xlfn.XLOOKUP($G$35,$H$36:$AC$36,Table15[[#This Row],[Saudi Arabia - 19 March]:[Abu Dhabi - 26 November]])</f>
        <v>0</v>
      </c>
      <c r="D11" cm="1">
        <f t="array" ref="D11">_xlfn.XLOOKUP(B11,_xlfn.SORTBY(Table15[Name],Table15[Previous Race Total],-1),$A$2:$A$27)</f>
        <v>10</v>
      </c>
      <c r="E11" cm="1">
        <f t="array" ref="E11">_xlfn.XLOOKUP(B11,_xlfn.SORTBY(Table15[Name],Table15[Total],-1),$A$2:$A$27)</f>
        <v>10</v>
      </c>
      <c r="F11" s="94">
        <f>Table15[[#This Row],[Previous race Ranking]]-Table15[[#This Row],[Current ranking]]</f>
        <v>0</v>
      </c>
      <c r="G11" s="85">
        <f t="shared" si="0"/>
        <v>0</v>
      </c>
      <c r="H11" s="9" cm="1">
        <f t="array" ref="H11">IFERROR(_xlfn.XLOOKUP(1,(Table15[[#This Row],[Brazil - 5 November]]=Points!$B:$B)*(Table15[[#Headers],[Saudi Arabia - 19 March]]=Points!$C:$C),Points!$J:$J,0,0,-1),0)</f>
        <v>0</v>
      </c>
      <c r="I11" s="9" cm="1">
        <f t="array" ref="I11">IFERROR(_xlfn.XLOOKUP(1,(Table15[[#This Row],[Las Vegas - 18 November]]=Points!$B:$B)*(Table15[[#Headers],[Australia - 2 April]]=Points!$C:$C),Points!$J:$J,0,0,-1),0)</f>
        <v>0</v>
      </c>
      <c r="J11" s="9" cm="1">
        <f t="array" ref="J11">IFERROR(_xlfn.XLOOKUP(1,(Table15[[#This Row],[Abu Dhabi - 26 November]]=Points!$B:$B)*(Table15[[#Headers],[Azerbaijan - 30 April]]=Points!$C:$C),Points!$J:$J,0,0,-1),0)</f>
        <v>0</v>
      </c>
      <c r="K11" s="9" cm="1">
        <f t="array" ref="K11">IFERROR(_xlfn.XLOOKUP(1,(Table15[[#This Row],[Name]]=Points!$B:$B)*(Table15[[#Headers],[Miami - 7 May]]=Points!$C:$C),Points!$J:$J,0,0,-1),0)</f>
        <v>0</v>
      </c>
      <c r="L11" s="9" cm="1">
        <f t="array" ref="L11">IFERROR(_xlfn.XLOOKUP(1,(Table15[[#This Row],[Name]]=Points!$B:$B)*(Table15[[#Headers],[Italy - 21 May]]=Points!$C:$C),Points!$J:$J,0,0,-1),0)</f>
        <v>0</v>
      </c>
      <c r="M11" s="9" cm="1">
        <f t="array" ref="M11">IFERROR(_xlfn.XLOOKUP(1,(Table15[[#This Row],[Name]]=Points!$B:$B)*(Table15[[#Headers],[Monaco - 28 May]]=Points!$C:$C),Points!$J:$J,0,0,-1),0)</f>
        <v>0</v>
      </c>
      <c r="N11" s="9" cm="1">
        <f t="array" ref="N11">IFERROR(_xlfn.XLOOKUP(1,(Table15[[#This Row],[Name]]=Points!$B:$B)*(Table15[[#Headers],[Spain - 4 June]]=Points!$C:$C),Points!$J:$J,0,0,-1),0)</f>
        <v>0</v>
      </c>
      <c r="O11" s="9" cm="1">
        <f t="array" ref="O11">IFERROR(_xlfn.XLOOKUP(1,(Table15[[#This Row],[Name]]=Points!$B:$B)*(Table15[[#Headers],[Canada - 18 June]]=Points!$C:$C),Points!$J:$J,0,0,-1),0)</f>
        <v>0</v>
      </c>
      <c r="P11" s="9" cm="1">
        <f t="array" ref="P11">IFERROR(_xlfn.XLOOKUP(1,(Table15[[#This Row],[Name]]=Points!$B:$B)*(Table15[[#Headers],[Austria - 2 July]]=Points!$C:$C),Points!$J:$J,0,0,-1),0)</f>
        <v>0</v>
      </c>
      <c r="Q11" s="9" cm="1">
        <f t="array" ref="Q11">IFERROR(_xlfn.XLOOKUP(1,(Table15[[#This Row],[Name]]=Points!$B:$B)*(Table15[[#Headers],[Great Britain - 9 July]]=Points!$C:$C),Points!$J:$J,0,0,-1),0)</f>
        <v>0</v>
      </c>
      <c r="R11" s="9" cm="1">
        <f t="array" ref="R11">IFERROR(_xlfn.XLOOKUP(1,(Table15[[#This Row],[Name]]=Points!$B:$B)*(Table15[[#Headers],[Hungary - 23 July]]=Points!$C:$C),Points!$J:$J,0,0,-1),0)</f>
        <v>0</v>
      </c>
      <c r="S11" s="9" cm="1">
        <f t="array" ref="S11">IFERROR(_xlfn.XLOOKUP(1,(Table15[[#This Row],[Name]]=Points!$B:$B)*(Table15[[#Headers],[Belgium - 30 July]]=Points!$C:$C),Points!$J:$J,0,0,-1),0)</f>
        <v>0</v>
      </c>
      <c r="T11" s="9" cm="1">
        <f t="array" ref="T11">IFERROR(_xlfn.XLOOKUP(1,(Table15[[#This Row],[Name]]=Points!$B:$B)*(Table15[[#Headers],[Netherlands - 27 August]]=Points!$C:$C),Points!$J:$J,0,0,-1),0)</f>
        <v>0</v>
      </c>
      <c r="U11" s="9" cm="1">
        <f t="array" ref="U11">IFERROR(_xlfn.XLOOKUP(1,(Table15[[#This Row],[Name]]=Points!$B:$B)*(Table15[[#Headers],[Italy - 3 September]]=Points!$C:$C),Points!$J:$J,0,0,-1),0)</f>
        <v>0</v>
      </c>
      <c r="V11" s="9" cm="1">
        <f t="array" ref="V11">IFERROR(_xlfn.XLOOKUP(1,(Table15[[#This Row],[Name]]=Points!$B:$B)*(Table15[[#Headers],[Singapore - 17 September]]=Points!$C:$C),Points!$J:$J,0,0,-1),0)</f>
        <v>0</v>
      </c>
      <c r="W11" s="9" cm="1">
        <f t="array" ref="W11">IFERROR(_xlfn.XLOOKUP(1,(Table15[[#This Row],[Name]]=Points!$B:$B)*(Table15[[#Headers],[Japan - 24 September]]=Points!$C:$C),Points!$J:$J,0,0,-1),0)</f>
        <v>0</v>
      </c>
      <c r="X11" s="9" cm="1">
        <f t="array" ref="X11">IFERROR(_xlfn.XLOOKUP(1,(Table15[[#This Row],[Name]]=Points!$B:$B)*(Table15[[#Headers],[Qatar - 8 October]]=Points!$C:$C),Points!$J:$J,0,0,-1),0)</f>
        <v>0</v>
      </c>
      <c r="Y11" s="9" cm="1">
        <f t="array" ref="Y11">IFERROR(_xlfn.XLOOKUP(1,(Table15[[#This Row],[Name]]=Points!$B:$B)*(Table15[[#Headers],[United States - 22 October]]=Points!$C:$C),Points!$J:$J,0,0,-1),0)</f>
        <v>0</v>
      </c>
      <c r="Z11" s="9" cm="1">
        <f t="array" ref="Z11">IFERROR(_xlfn.XLOOKUP(1,(Table15[[#This Row],[Name]]=Points!$B:$B)*(Table15[[#Headers],[Mexico - 29 October]]=Points!$C:$C),Points!$J:$J,0,0,-1),0)</f>
        <v>0</v>
      </c>
      <c r="AA11" s="9" cm="1">
        <f t="array" ref="AA11">IFERROR(_xlfn.XLOOKUP(1,(Table15[[#This Row],[Name]]=Points!$B:$B)*(Table15[[#Headers],[Brazil - 5 November]]=Points!$C:$C),Points!$J:$J,0,0,-1),0)</f>
        <v>0</v>
      </c>
      <c r="AB11" s="9" cm="1">
        <f t="array" ref="AB11">IFERROR(_xlfn.XLOOKUP(1,(Table15[[#This Row],[Name]]=Points!$B:$B)*(Table15[[#Headers],[Las Vegas - 18 November]]=Points!$C:$C),Points!$J:$J,0,0,-1),0)</f>
        <v>0</v>
      </c>
      <c r="AC11" s="9" cm="1">
        <f t="array" ref="AC11">IFERROR(_xlfn.XLOOKUP(1,(Table15[[#This Row],[Name]]=Points!$B:$B)*(Table15[[#Headers],[Abu Dhabi - 26 November]]=Points!$C:$C),Points!$J:$J,0,0,-1),0)</f>
        <v>0</v>
      </c>
    </row>
    <row r="12" spans="1:29" ht="15.6" x14ac:dyDescent="0.3">
      <c r="A12" s="4">
        <v>11</v>
      </c>
      <c r="B12" t="s">
        <v>57</v>
      </c>
      <c r="C12" cm="1">
        <f t="array" ref="C12">Table15[[#This Row],[Total]]-_xlfn.XLOOKUP($G$35,$H$36:$AC$36,Table15[[#This Row],[Saudi Arabia - 19 March]:[Abu Dhabi - 26 November]])</f>
        <v>0</v>
      </c>
      <c r="D12" cm="1">
        <f t="array" ref="D12">_xlfn.XLOOKUP(B12,_xlfn.SORTBY(Table15[Name],Table15[Previous Race Total],-1),$A$2:$A$27)</f>
        <v>11</v>
      </c>
      <c r="E12" cm="1">
        <f t="array" ref="E12">_xlfn.XLOOKUP(B12,_xlfn.SORTBY(Table15[Name],Table15[Total],-1),$A$2:$A$27)</f>
        <v>11</v>
      </c>
      <c r="F12" s="94">
        <f>Table15[[#This Row],[Previous race Ranking]]-Table15[[#This Row],[Current ranking]]</f>
        <v>0</v>
      </c>
      <c r="G12" s="85">
        <f t="shared" si="0"/>
        <v>0</v>
      </c>
      <c r="H12" s="9" cm="1">
        <f t="array" ref="H12">IFERROR(_xlfn.XLOOKUP(1,(Table15[[#This Row],[Brazil - 5 November]]=Points!$B:$B)*(Table15[[#Headers],[Saudi Arabia - 19 March]]=Points!$C:$C),Points!$J:$J,0,0,-1),0)</f>
        <v>0</v>
      </c>
      <c r="I12" s="9" cm="1">
        <f t="array" ref="I12">IFERROR(_xlfn.XLOOKUP(1,(Table15[[#This Row],[Las Vegas - 18 November]]=Points!$B:$B)*(Table15[[#Headers],[Australia - 2 April]]=Points!$C:$C),Points!$J:$J,0,0,-1),0)</f>
        <v>0</v>
      </c>
      <c r="J12" s="9" cm="1">
        <f t="array" ref="J12">IFERROR(_xlfn.XLOOKUP(1,(Table15[[#This Row],[Abu Dhabi - 26 November]]=Points!$B:$B)*(Table15[[#Headers],[Azerbaijan - 30 April]]=Points!$C:$C),Points!$J:$J,0,0,-1),0)</f>
        <v>0</v>
      </c>
      <c r="K12" s="9" cm="1">
        <f t="array" ref="K12">IFERROR(_xlfn.XLOOKUP(1,(Table15[[#This Row],[Name]]=Points!$B:$B)*(Table15[[#Headers],[Miami - 7 May]]=Points!$C:$C),Points!$J:$J,0,0,-1),0)</f>
        <v>0</v>
      </c>
      <c r="L12" s="9" cm="1">
        <f t="array" ref="L12">IFERROR(_xlfn.XLOOKUP(1,(Table15[[#This Row],[Name]]=Points!$B:$B)*(Table15[[#Headers],[Italy - 21 May]]=Points!$C:$C),Points!$J:$J,0,0,-1),0)</f>
        <v>0</v>
      </c>
      <c r="M12" s="9" cm="1">
        <f t="array" ref="M12">IFERROR(_xlfn.XLOOKUP(1,(Table15[[#This Row],[Name]]=Points!$B:$B)*(Table15[[#Headers],[Monaco - 28 May]]=Points!$C:$C),Points!$J:$J,0,0,-1),0)</f>
        <v>0</v>
      </c>
      <c r="N12" s="9" cm="1">
        <f t="array" ref="N12">IFERROR(_xlfn.XLOOKUP(1,(Table15[[#This Row],[Name]]=Points!$B:$B)*(Table15[[#Headers],[Spain - 4 June]]=Points!$C:$C),Points!$J:$J,0,0,-1),0)</f>
        <v>0</v>
      </c>
      <c r="O12" s="9" cm="1">
        <f t="array" ref="O12">IFERROR(_xlfn.XLOOKUP(1,(Table15[[#This Row],[Name]]=Points!$B:$B)*(Table15[[#Headers],[Canada - 18 June]]=Points!$C:$C),Points!$J:$J,0,0,-1),0)</f>
        <v>0</v>
      </c>
      <c r="P12" s="9" cm="1">
        <f t="array" ref="P12">IFERROR(_xlfn.XLOOKUP(1,(Table15[[#This Row],[Name]]=Points!$B:$B)*(Table15[[#Headers],[Austria - 2 July]]=Points!$C:$C),Points!$J:$J,0,0,-1),0)</f>
        <v>0</v>
      </c>
      <c r="Q12" s="9" cm="1">
        <f t="array" ref="Q12">IFERROR(_xlfn.XLOOKUP(1,(Table15[[#This Row],[Name]]=Points!$B:$B)*(Table15[[#Headers],[Great Britain - 9 July]]=Points!$C:$C),Points!$J:$J,0,0,-1),0)</f>
        <v>0</v>
      </c>
      <c r="R12" s="9" cm="1">
        <f t="array" ref="R12">IFERROR(_xlfn.XLOOKUP(1,(Table15[[#This Row],[Name]]=Points!$B:$B)*(Table15[[#Headers],[Hungary - 23 July]]=Points!$C:$C),Points!$J:$J,0,0,-1),0)</f>
        <v>0</v>
      </c>
      <c r="S12" s="9" cm="1">
        <f t="array" ref="S12">IFERROR(_xlfn.XLOOKUP(1,(Table15[[#This Row],[Name]]=Points!$B:$B)*(Table15[[#Headers],[Belgium - 30 July]]=Points!$C:$C),Points!$J:$J,0,0,-1),0)</f>
        <v>0</v>
      </c>
      <c r="T12" s="9" cm="1">
        <f t="array" ref="T12">IFERROR(_xlfn.XLOOKUP(1,(Table15[[#This Row],[Name]]=Points!$B:$B)*(Table15[[#Headers],[Netherlands - 27 August]]=Points!$C:$C),Points!$J:$J,0,0,-1),0)</f>
        <v>0</v>
      </c>
      <c r="U12" s="9" cm="1">
        <f t="array" ref="U12">IFERROR(_xlfn.XLOOKUP(1,(Table15[[#This Row],[Name]]=Points!$B:$B)*(Table15[[#Headers],[Italy - 3 September]]=Points!$C:$C),Points!$J:$J,0,0,-1),0)</f>
        <v>0</v>
      </c>
      <c r="V12" s="9" cm="1">
        <f t="array" ref="V12">IFERROR(_xlfn.XLOOKUP(1,(Table15[[#This Row],[Name]]=Points!$B:$B)*(Table15[[#Headers],[Singapore - 17 September]]=Points!$C:$C),Points!$J:$J,0,0,-1),0)</f>
        <v>0</v>
      </c>
      <c r="W12" s="9" cm="1">
        <f t="array" ref="W12">IFERROR(_xlfn.XLOOKUP(1,(Table15[[#This Row],[Name]]=Points!$B:$B)*(Table15[[#Headers],[Japan - 24 September]]=Points!$C:$C),Points!$J:$J,0,0,-1),0)</f>
        <v>0</v>
      </c>
      <c r="X12" s="9" cm="1">
        <f t="array" ref="X12">IFERROR(_xlfn.XLOOKUP(1,(Table15[[#This Row],[Name]]=Points!$B:$B)*(Table15[[#Headers],[Qatar - 8 October]]=Points!$C:$C),Points!$J:$J,0,0,-1),0)</f>
        <v>0</v>
      </c>
      <c r="Y12" s="9" cm="1">
        <f t="array" ref="Y12">IFERROR(_xlfn.XLOOKUP(1,(Table15[[#This Row],[Name]]=Points!$B:$B)*(Table15[[#Headers],[United States - 22 October]]=Points!$C:$C),Points!$J:$J,0,0,-1),0)</f>
        <v>0</v>
      </c>
      <c r="Z12" s="9" cm="1">
        <f t="array" ref="Z12">IFERROR(_xlfn.XLOOKUP(1,(Table15[[#This Row],[Name]]=Points!$B:$B)*(Table15[[#Headers],[Mexico - 29 October]]=Points!$C:$C),Points!$J:$J,0,0,-1),0)</f>
        <v>0</v>
      </c>
      <c r="AA12" s="9" cm="1">
        <f t="array" ref="AA12">IFERROR(_xlfn.XLOOKUP(1,(Table15[[#This Row],[Name]]=Points!$B:$B)*(Table15[[#Headers],[Brazil - 5 November]]=Points!$C:$C),Points!$J:$J,0,0,-1),0)</f>
        <v>0</v>
      </c>
      <c r="AB12" s="9" cm="1">
        <f t="array" ref="AB12">IFERROR(_xlfn.XLOOKUP(1,(Table15[[#This Row],[Name]]=Points!$B:$B)*(Table15[[#Headers],[Las Vegas - 18 November]]=Points!$C:$C),Points!$J:$J,0,0,-1),0)</f>
        <v>0</v>
      </c>
      <c r="AC12" s="9" cm="1">
        <f t="array" ref="AC12">IFERROR(_xlfn.XLOOKUP(1,(Table15[[#This Row],[Name]]=Points!$B:$B)*(Table15[[#Headers],[Abu Dhabi - 26 November]]=Points!$C:$C),Points!$J:$J,0,0,-1),0)</f>
        <v>0</v>
      </c>
    </row>
    <row r="13" spans="1:29" ht="15.6" x14ac:dyDescent="0.3">
      <c r="A13" s="4">
        <v>12</v>
      </c>
      <c r="B13" t="s">
        <v>46</v>
      </c>
      <c r="C13" s="90" cm="1">
        <f t="array" ref="C13">Table15[[#This Row],[Total]]-_xlfn.XLOOKUP($G$35,$H$36:$AC$36,Table15[[#This Row],[Saudi Arabia - 19 March]:[Abu Dhabi - 26 November]])</f>
        <v>0</v>
      </c>
      <c r="D13" s="90" cm="1">
        <f t="array" ref="D13">_xlfn.XLOOKUP(B13,_xlfn.SORTBY(Table15[Name],Table15[Previous Race Total],-1),$A$2:$A$27)</f>
        <v>12</v>
      </c>
      <c r="E13" s="90" cm="1">
        <f t="array" ref="E13">_xlfn.XLOOKUP(B13,_xlfn.SORTBY(Table15[Name],Table15[Total],-1),$A$2:$A$27)</f>
        <v>12</v>
      </c>
      <c r="F13" s="94">
        <f>Table15[[#This Row],[Previous race Ranking]]-Table15[[#This Row],[Current ranking]]</f>
        <v>0</v>
      </c>
      <c r="G13" s="85">
        <f t="shared" si="0"/>
        <v>0</v>
      </c>
      <c r="H13" s="9" cm="1">
        <f t="array" ref="H13">IFERROR(_xlfn.XLOOKUP(1,(Table15[[#This Row],[Brazil - 5 November]]=Points!$B:$B)*(Table15[[#Headers],[Saudi Arabia - 19 March]]=Points!$C:$C),Points!$J:$J,0,0,-1),0)</f>
        <v>0</v>
      </c>
      <c r="I13" s="9" cm="1">
        <f t="array" ref="I13">IFERROR(_xlfn.XLOOKUP(1,(Table15[[#This Row],[Las Vegas - 18 November]]=Points!$B:$B)*(Table15[[#Headers],[Australia - 2 April]]=Points!$C:$C),Points!$J:$J,0,0,-1),0)</f>
        <v>0</v>
      </c>
      <c r="J13" s="9" cm="1">
        <f t="array" ref="J13">IFERROR(_xlfn.XLOOKUP(1,(Table15[[#This Row],[Abu Dhabi - 26 November]]=Points!$B:$B)*(Table15[[#Headers],[Azerbaijan - 30 April]]=Points!$C:$C),Points!$J:$J,0,0,-1),0)</f>
        <v>0</v>
      </c>
      <c r="K13" s="9" cm="1">
        <f t="array" ref="K13">IFERROR(_xlfn.XLOOKUP(1,(Table15[[#This Row],[Name]]=Points!$B:$B)*(Table15[[#Headers],[Miami - 7 May]]=Points!$C:$C),Points!$J:$J,0,0,-1),0)</f>
        <v>0</v>
      </c>
      <c r="L13" s="9" cm="1">
        <f t="array" ref="L13">IFERROR(_xlfn.XLOOKUP(1,(Table15[[#This Row],[Name]]=Points!$B:$B)*(Table15[[#Headers],[Italy - 21 May]]=Points!$C:$C),Points!$J:$J,0,0,-1),0)</f>
        <v>0</v>
      </c>
      <c r="M13" s="9" cm="1">
        <f t="array" ref="M13">IFERROR(_xlfn.XLOOKUP(1,(Table15[[#This Row],[Name]]=Points!$B:$B)*(Table15[[#Headers],[Monaco - 28 May]]=Points!$C:$C),Points!$J:$J,0,0,-1),0)</f>
        <v>0</v>
      </c>
      <c r="N13" s="9" cm="1">
        <f t="array" ref="N13">IFERROR(_xlfn.XLOOKUP(1,(Table15[[#This Row],[Name]]=Points!$B:$B)*(Table15[[#Headers],[Spain - 4 June]]=Points!$C:$C),Points!$J:$J,0,0,-1),0)</f>
        <v>0</v>
      </c>
      <c r="O13" s="9" cm="1">
        <f t="array" ref="O13">IFERROR(_xlfn.XLOOKUP(1,(Table15[[#This Row],[Name]]=Points!$B:$B)*(Table15[[#Headers],[Canada - 18 June]]=Points!$C:$C),Points!$J:$J,0,0,-1),0)</f>
        <v>0</v>
      </c>
      <c r="P13" s="9" cm="1">
        <f t="array" ref="P13">IFERROR(_xlfn.XLOOKUP(1,(Table15[[#This Row],[Name]]=Points!$B:$B)*(Table15[[#Headers],[Austria - 2 July]]=Points!$C:$C),Points!$J:$J,0,0,-1),0)</f>
        <v>0</v>
      </c>
      <c r="Q13" s="9" cm="1">
        <f t="array" ref="Q13">IFERROR(_xlfn.XLOOKUP(1,(Table15[[#This Row],[Name]]=Points!$B:$B)*(Table15[[#Headers],[Great Britain - 9 July]]=Points!$C:$C),Points!$J:$J,0,0,-1),0)</f>
        <v>0</v>
      </c>
      <c r="R13" s="9" cm="1">
        <f t="array" ref="R13">IFERROR(_xlfn.XLOOKUP(1,(Table15[[#This Row],[Name]]=Points!$B:$B)*(Table15[[#Headers],[Hungary - 23 July]]=Points!$C:$C),Points!$J:$J,0,0,-1),0)</f>
        <v>0</v>
      </c>
      <c r="S13" s="9" cm="1">
        <f t="array" ref="S13">IFERROR(_xlfn.XLOOKUP(1,(Table15[[#This Row],[Name]]=Points!$B:$B)*(Table15[[#Headers],[Belgium - 30 July]]=Points!$C:$C),Points!$J:$J,0,0,-1),0)</f>
        <v>0</v>
      </c>
      <c r="T13" s="9" cm="1">
        <f t="array" ref="T13">IFERROR(_xlfn.XLOOKUP(1,(Table15[[#This Row],[Name]]=Points!$B:$B)*(Table15[[#Headers],[Netherlands - 27 August]]=Points!$C:$C),Points!$J:$J,0,0,-1),0)</f>
        <v>0</v>
      </c>
      <c r="U13" s="9" cm="1">
        <f t="array" ref="U13">IFERROR(_xlfn.XLOOKUP(1,(Table15[[#This Row],[Name]]=Points!$B:$B)*(Table15[[#Headers],[Italy - 3 September]]=Points!$C:$C),Points!$J:$J,0,0,-1),0)</f>
        <v>0</v>
      </c>
      <c r="V13" s="9" cm="1">
        <f t="array" ref="V13">IFERROR(_xlfn.XLOOKUP(1,(Table15[[#This Row],[Name]]=Points!$B:$B)*(Table15[[#Headers],[Singapore - 17 September]]=Points!$C:$C),Points!$J:$J,0,0,-1),0)</f>
        <v>0</v>
      </c>
      <c r="W13" s="9" cm="1">
        <f t="array" ref="W13">IFERROR(_xlfn.XLOOKUP(1,(Table15[[#This Row],[Name]]=Points!$B:$B)*(Table15[[#Headers],[Japan - 24 September]]=Points!$C:$C),Points!$J:$J,0,0,-1),0)</f>
        <v>0</v>
      </c>
      <c r="X13" s="9" cm="1">
        <f t="array" ref="X13">IFERROR(_xlfn.XLOOKUP(1,(Table15[[#This Row],[Name]]=Points!$B:$B)*(Table15[[#Headers],[Qatar - 8 October]]=Points!$C:$C),Points!$J:$J,0,0,-1),0)</f>
        <v>0</v>
      </c>
      <c r="Y13" s="9" cm="1">
        <f t="array" ref="Y13">IFERROR(_xlfn.XLOOKUP(1,(Table15[[#This Row],[Name]]=Points!$B:$B)*(Table15[[#Headers],[United States - 22 October]]=Points!$C:$C),Points!$J:$J,0,0,-1),0)</f>
        <v>0</v>
      </c>
      <c r="Z13" s="9" cm="1">
        <f t="array" ref="Z13">IFERROR(_xlfn.XLOOKUP(1,(Table15[[#This Row],[Name]]=Points!$B:$B)*(Table15[[#Headers],[Mexico - 29 October]]=Points!$C:$C),Points!$J:$J,0,0,-1),0)</f>
        <v>0</v>
      </c>
      <c r="AA13" s="9" cm="1">
        <f t="array" ref="AA13">IFERROR(_xlfn.XLOOKUP(1,(Table15[[#This Row],[Name]]=Points!$B:$B)*(Table15[[#Headers],[Brazil - 5 November]]=Points!$C:$C),Points!$J:$J,0,0,-1),0)</f>
        <v>0</v>
      </c>
      <c r="AB13" s="9" cm="1">
        <f t="array" ref="AB13">IFERROR(_xlfn.XLOOKUP(1,(Table15[[#This Row],[Name]]=Points!$B:$B)*(Table15[[#Headers],[Las Vegas - 18 November]]=Points!$C:$C),Points!$J:$J,0,0,-1),0)</f>
        <v>0</v>
      </c>
      <c r="AC13" s="9" cm="1">
        <f t="array" ref="AC13">IFERROR(_xlfn.XLOOKUP(1,(Table15[[#This Row],[Name]]=Points!$B:$B)*(Table15[[#Headers],[Abu Dhabi - 26 November]]=Points!$C:$C),Points!$J:$J,0,0,-1),0)</f>
        <v>0</v>
      </c>
    </row>
    <row r="14" spans="1:29" ht="15.6" x14ac:dyDescent="0.3">
      <c r="A14" s="4">
        <v>13</v>
      </c>
      <c r="B14" t="s">
        <v>47</v>
      </c>
      <c r="C14" cm="1">
        <f t="array" ref="C14">Table15[[#This Row],[Total]]-_xlfn.XLOOKUP($G$35,$H$36:$AC$36,Table15[[#This Row],[Saudi Arabia - 19 March]:[Abu Dhabi - 26 November]])</f>
        <v>0</v>
      </c>
      <c r="D14" cm="1">
        <f t="array" ref="D14">_xlfn.XLOOKUP(B14,_xlfn.SORTBY(Table15[Name],Table15[Previous Race Total],-1),$A$2:$A$27)</f>
        <v>13</v>
      </c>
      <c r="E14" cm="1">
        <f t="array" ref="E14">_xlfn.XLOOKUP(B14,_xlfn.SORTBY(Table15[Name],Table15[Total],-1),$A$2:$A$27)</f>
        <v>13</v>
      </c>
      <c r="F14" s="94">
        <f>Table15[[#This Row],[Previous race Ranking]]-Table15[[#This Row],[Current ranking]]</f>
        <v>0</v>
      </c>
      <c r="G14" s="85">
        <f t="shared" si="0"/>
        <v>0</v>
      </c>
      <c r="H14" s="9" cm="1">
        <f t="array" ref="H14">IFERROR(_xlfn.XLOOKUP(1,(Table15[[#This Row],[Brazil - 5 November]]=Points!$B:$B)*(Table15[[#Headers],[Saudi Arabia - 19 March]]=Points!$C:$C),Points!$J:$J,0,0,-1),0)</f>
        <v>0</v>
      </c>
      <c r="I14" s="9" cm="1">
        <f t="array" ref="I14">IFERROR(_xlfn.XLOOKUP(1,(Table15[[#This Row],[Las Vegas - 18 November]]=Points!$B:$B)*(Table15[[#Headers],[Australia - 2 April]]=Points!$C:$C),Points!$J:$J,0,0,-1),0)</f>
        <v>0</v>
      </c>
      <c r="J14" s="9" cm="1">
        <f t="array" ref="J14">IFERROR(_xlfn.XLOOKUP(1,(Table15[[#This Row],[Abu Dhabi - 26 November]]=Points!$B:$B)*(Table15[[#Headers],[Azerbaijan - 30 April]]=Points!$C:$C),Points!$J:$J,0,0,-1),0)</f>
        <v>0</v>
      </c>
      <c r="K14" s="9" cm="1">
        <f t="array" ref="K14">IFERROR(_xlfn.XLOOKUP(1,(Table15[[#This Row],[Name]]=Points!$B:$B)*(Table15[[#Headers],[Miami - 7 May]]=Points!$C:$C),Points!$J:$J,0,0,-1),0)</f>
        <v>0</v>
      </c>
      <c r="L14" s="9" cm="1">
        <f t="array" ref="L14">IFERROR(_xlfn.XLOOKUP(1,(Table15[[#This Row],[Name]]=Points!$B:$B)*(Table15[[#Headers],[Italy - 21 May]]=Points!$C:$C),Points!$J:$J,0,0,-1),0)</f>
        <v>0</v>
      </c>
      <c r="M14" s="9" cm="1">
        <f t="array" ref="M14">IFERROR(_xlfn.XLOOKUP(1,(Table15[[#This Row],[Name]]=Points!$B:$B)*(Table15[[#Headers],[Monaco - 28 May]]=Points!$C:$C),Points!$J:$J,0,0,-1),0)</f>
        <v>0</v>
      </c>
      <c r="N14" s="9" cm="1">
        <f t="array" ref="N14">IFERROR(_xlfn.XLOOKUP(1,(Table15[[#This Row],[Name]]=Points!$B:$B)*(Table15[[#Headers],[Spain - 4 June]]=Points!$C:$C),Points!$J:$J,0,0,-1),0)</f>
        <v>0</v>
      </c>
      <c r="O14" s="9" cm="1">
        <f t="array" ref="O14">IFERROR(_xlfn.XLOOKUP(1,(Table15[[#This Row],[Name]]=Points!$B:$B)*(Table15[[#Headers],[Canada - 18 June]]=Points!$C:$C),Points!$J:$J,0,0,-1),0)</f>
        <v>0</v>
      </c>
      <c r="P14" s="9" cm="1">
        <f t="array" ref="P14">IFERROR(_xlfn.XLOOKUP(1,(Table15[[#This Row],[Name]]=Points!$B:$B)*(Table15[[#Headers],[Austria - 2 July]]=Points!$C:$C),Points!$J:$J,0,0,-1),0)</f>
        <v>0</v>
      </c>
      <c r="Q14" s="9" cm="1">
        <f t="array" ref="Q14">IFERROR(_xlfn.XLOOKUP(1,(Table15[[#This Row],[Name]]=Points!$B:$B)*(Table15[[#Headers],[Great Britain - 9 July]]=Points!$C:$C),Points!$J:$J,0,0,-1),0)</f>
        <v>0</v>
      </c>
      <c r="R14" s="9" cm="1">
        <f t="array" ref="R14">IFERROR(_xlfn.XLOOKUP(1,(Table15[[#This Row],[Name]]=Points!$B:$B)*(Table15[[#Headers],[Hungary - 23 July]]=Points!$C:$C),Points!$J:$J,0,0,-1),0)</f>
        <v>0</v>
      </c>
      <c r="S14" s="66" cm="1">
        <f t="array" ref="S14">IFERROR(_xlfn.XLOOKUP(1,(Table15[[#This Row],[Name]]=Points!$B:$B)*(Table15[[#Headers],[Belgium - 30 July]]=Points!$C:$C),Points!$J:$J,0,0,-1),0)</f>
        <v>0</v>
      </c>
      <c r="T14" s="9" cm="1">
        <f t="array" ref="T14">IFERROR(_xlfn.XLOOKUP(1,(Table15[[#This Row],[Name]]=Points!$B:$B)*(Table15[[#Headers],[Netherlands - 27 August]]=Points!$C:$C),Points!$J:$J,0,0,-1),0)</f>
        <v>0</v>
      </c>
      <c r="U14" s="9" cm="1">
        <f t="array" ref="U14">IFERROR(_xlfn.XLOOKUP(1,(Table15[[#This Row],[Name]]=Points!$B:$B)*(Table15[[#Headers],[Italy - 3 September]]=Points!$C:$C),Points!$J:$J,0,0,-1),0)</f>
        <v>0</v>
      </c>
      <c r="V14" s="9" cm="1">
        <f t="array" ref="V14">IFERROR(_xlfn.XLOOKUP(1,(Table15[[#This Row],[Name]]=Points!$B:$B)*(Table15[[#Headers],[Singapore - 17 September]]=Points!$C:$C),Points!$J:$J,0,0,-1),0)</f>
        <v>0</v>
      </c>
      <c r="W14" s="9" cm="1">
        <f t="array" ref="W14">IFERROR(_xlfn.XLOOKUP(1,(Table15[[#This Row],[Name]]=Points!$B:$B)*(Table15[[#Headers],[Japan - 24 September]]=Points!$C:$C),Points!$J:$J,0,0,-1),0)</f>
        <v>0</v>
      </c>
      <c r="X14" s="9" cm="1">
        <f t="array" ref="X14">IFERROR(_xlfn.XLOOKUP(1,(Table15[[#This Row],[Name]]=Points!$B:$B)*(Table15[[#Headers],[Qatar - 8 October]]=Points!$C:$C),Points!$J:$J,0,0,-1),0)</f>
        <v>0</v>
      </c>
      <c r="Y14" s="9" cm="1">
        <f t="array" ref="Y14">IFERROR(_xlfn.XLOOKUP(1,(Table15[[#This Row],[Name]]=Points!$B:$B)*(Table15[[#Headers],[United States - 22 October]]=Points!$C:$C),Points!$J:$J,0,0,-1),0)</f>
        <v>0</v>
      </c>
      <c r="Z14" s="9" cm="1">
        <f t="array" ref="Z14">IFERROR(_xlfn.XLOOKUP(1,(Table15[[#This Row],[Name]]=Points!$B:$B)*(Table15[[#Headers],[Mexico - 29 October]]=Points!$C:$C),Points!$J:$J,0,0,-1),0)</f>
        <v>0</v>
      </c>
      <c r="AA14" s="9" cm="1">
        <f t="array" ref="AA14">IFERROR(_xlfn.XLOOKUP(1,(Table15[[#This Row],[Name]]=Points!$B:$B)*(Table15[[#Headers],[Brazil - 5 November]]=Points!$C:$C),Points!$J:$J,0,0,-1),0)</f>
        <v>0</v>
      </c>
      <c r="AB14" s="9" cm="1">
        <f t="array" ref="AB14">IFERROR(_xlfn.XLOOKUP(1,(Table15[[#This Row],[Name]]=Points!$B:$B)*(Table15[[#Headers],[Las Vegas - 18 November]]=Points!$C:$C),Points!$J:$J,0,0,-1),0)</f>
        <v>0</v>
      </c>
      <c r="AC14" s="9" cm="1">
        <f t="array" ref="AC14">IFERROR(_xlfn.XLOOKUP(1,(Table15[[#This Row],[Name]]=Points!$B:$B)*(Table15[[#Headers],[Abu Dhabi - 26 November]]=Points!$C:$C),Points!$J:$J,0,0,-1),0)</f>
        <v>0</v>
      </c>
    </row>
    <row r="15" spans="1:29" ht="15.6" x14ac:dyDescent="0.3">
      <c r="A15" s="4">
        <v>14</v>
      </c>
      <c r="B15" t="s">
        <v>60</v>
      </c>
      <c r="C15" cm="1">
        <f t="array" ref="C15">Table15[[#This Row],[Total]]-_xlfn.XLOOKUP($G$35,$H$36:$AC$36,Table15[[#This Row],[Saudi Arabia - 19 March]:[Abu Dhabi - 26 November]])</f>
        <v>0</v>
      </c>
      <c r="D15" cm="1">
        <f t="array" ref="D15">_xlfn.XLOOKUP(B15,_xlfn.SORTBY(Table15[Name],Table15[Previous Race Total],-1),$A$2:$A$27)</f>
        <v>14</v>
      </c>
      <c r="E15" cm="1">
        <f t="array" ref="E15">_xlfn.XLOOKUP(B15,_xlfn.SORTBY(Table15[Name],Table15[Total],-1),$A$2:$A$27)</f>
        <v>14</v>
      </c>
      <c r="F15" s="94">
        <f>Table15[[#This Row],[Previous race Ranking]]-Table15[[#This Row],[Current ranking]]</f>
        <v>0</v>
      </c>
      <c r="G15" s="85">
        <f t="shared" si="0"/>
        <v>0</v>
      </c>
      <c r="H15" s="9" cm="1">
        <f t="array" ref="H15">IFERROR(_xlfn.XLOOKUP(1,(Table15[[#This Row],[Brazil - 5 November]]=Points!$B:$B)*(Table15[[#Headers],[Saudi Arabia - 19 March]]=Points!$C:$C),Points!$J:$J,0,0,-1),0)</f>
        <v>0</v>
      </c>
      <c r="I15" s="9" cm="1">
        <f t="array" ref="I15">IFERROR(_xlfn.XLOOKUP(1,(Table15[[#This Row],[Las Vegas - 18 November]]=Points!$B:$B)*(Table15[[#Headers],[Australia - 2 April]]=Points!$C:$C),Points!$J:$J,0,0,-1),0)</f>
        <v>0</v>
      </c>
      <c r="J15" s="9" cm="1">
        <f t="array" ref="J15">IFERROR(_xlfn.XLOOKUP(1,(Table15[[#This Row],[Abu Dhabi - 26 November]]=Points!$B:$B)*(Table15[[#Headers],[Azerbaijan - 30 April]]=Points!$C:$C),Points!$J:$J,0,0,-1),0)</f>
        <v>0</v>
      </c>
      <c r="K15" s="9" cm="1">
        <f t="array" ref="K15">IFERROR(_xlfn.XLOOKUP(1,(Table15[[#This Row],[Name]]=Points!$B:$B)*(Table15[[#Headers],[Miami - 7 May]]=Points!$C:$C),Points!$J:$J,0,0,-1),0)</f>
        <v>0</v>
      </c>
      <c r="L15" s="9" cm="1">
        <f t="array" ref="L15">IFERROR(_xlfn.XLOOKUP(1,(Table15[[#This Row],[Name]]=Points!$B:$B)*(Table15[[#Headers],[Italy - 21 May]]=Points!$C:$C),Points!$J:$J,0,0,-1),0)</f>
        <v>0</v>
      </c>
      <c r="M15" s="9" cm="1">
        <f t="array" ref="M15">IFERROR(_xlfn.XLOOKUP(1,(Table15[[#This Row],[Name]]=Points!$B:$B)*(Table15[[#Headers],[Monaco - 28 May]]=Points!$C:$C),Points!$J:$J,0,0,-1),0)</f>
        <v>0</v>
      </c>
      <c r="N15" s="9" cm="1">
        <f t="array" ref="N15">IFERROR(_xlfn.XLOOKUP(1,(Table15[[#This Row],[Name]]=Points!$B:$B)*(Table15[[#Headers],[Spain - 4 June]]=Points!$C:$C),Points!$J:$J,0,0,-1),0)</f>
        <v>0</v>
      </c>
      <c r="O15" s="9" cm="1">
        <f t="array" ref="O15">IFERROR(_xlfn.XLOOKUP(1,(Table15[[#This Row],[Name]]=Points!$B:$B)*(Table15[[#Headers],[Canada - 18 June]]=Points!$C:$C),Points!$J:$J,0,0,-1),0)</f>
        <v>0</v>
      </c>
      <c r="P15" s="9" cm="1">
        <f t="array" ref="P15">IFERROR(_xlfn.XLOOKUP(1,(Table15[[#This Row],[Name]]=Points!$B:$B)*(Table15[[#Headers],[Austria - 2 July]]=Points!$C:$C),Points!$J:$J,0,0,-1),0)</f>
        <v>0</v>
      </c>
      <c r="Q15" s="9" cm="1">
        <f t="array" ref="Q15">IFERROR(_xlfn.XLOOKUP(1,(Table15[[#This Row],[Name]]=Points!$B:$B)*(Table15[[#Headers],[Great Britain - 9 July]]=Points!$C:$C),Points!$J:$J,0,0,-1),0)</f>
        <v>0</v>
      </c>
      <c r="R15" s="9" cm="1">
        <f t="array" ref="R15">IFERROR(_xlfn.XLOOKUP(1,(Table15[[#This Row],[Name]]=Points!$B:$B)*(Table15[[#Headers],[Hungary - 23 July]]=Points!$C:$C),Points!$J:$J,0,0,-1),0)</f>
        <v>0</v>
      </c>
      <c r="S15" s="9" cm="1">
        <f t="array" ref="S15">IFERROR(_xlfn.XLOOKUP(1,(Table15[[#This Row],[Name]]=Points!$B:$B)*(Table15[[#Headers],[Belgium - 30 July]]=Points!$C:$C),Points!$J:$J,0,0,-1),0)</f>
        <v>0</v>
      </c>
      <c r="T15" s="9" cm="1">
        <f t="array" ref="T15">IFERROR(_xlfn.XLOOKUP(1,(Table15[[#This Row],[Name]]=Points!$B:$B)*(Table15[[#Headers],[Netherlands - 27 August]]=Points!$C:$C),Points!$J:$J,0,0,-1),0)</f>
        <v>0</v>
      </c>
      <c r="U15" s="9" cm="1">
        <f t="array" ref="U15">IFERROR(_xlfn.XLOOKUP(1,(Table15[[#This Row],[Name]]=Points!$B:$B)*(Table15[[#Headers],[Italy - 3 September]]=Points!$C:$C),Points!$J:$J,0,0,-1),0)</f>
        <v>0</v>
      </c>
      <c r="V15" s="9" cm="1">
        <f t="array" ref="V15">IFERROR(_xlfn.XLOOKUP(1,(Table15[[#This Row],[Name]]=Points!$B:$B)*(Table15[[#Headers],[Singapore - 17 September]]=Points!$C:$C),Points!$J:$J,0,0,-1),0)</f>
        <v>0</v>
      </c>
      <c r="W15" s="9" cm="1">
        <f t="array" ref="W15">IFERROR(_xlfn.XLOOKUP(1,(Table15[[#This Row],[Name]]=Points!$B:$B)*(Table15[[#Headers],[Japan - 24 September]]=Points!$C:$C),Points!$J:$J,0,0,-1),0)</f>
        <v>0</v>
      </c>
      <c r="X15" s="9" cm="1">
        <f t="array" ref="X15">IFERROR(_xlfn.XLOOKUP(1,(Table15[[#This Row],[Name]]=Points!$B:$B)*(Table15[[#Headers],[Qatar - 8 October]]=Points!$C:$C),Points!$J:$J,0,0,-1),0)</f>
        <v>0</v>
      </c>
      <c r="Y15" s="9" cm="1">
        <f t="array" ref="Y15">IFERROR(_xlfn.XLOOKUP(1,(Table15[[#This Row],[Name]]=Points!$B:$B)*(Table15[[#Headers],[United States - 22 October]]=Points!$C:$C),Points!$J:$J,0,0,-1),0)</f>
        <v>0</v>
      </c>
      <c r="Z15" s="9" cm="1">
        <f t="array" ref="Z15">IFERROR(_xlfn.XLOOKUP(1,(Table15[[#This Row],[Name]]=Points!$B:$B)*(Table15[[#Headers],[Mexico - 29 October]]=Points!$C:$C),Points!$J:$J,0,0,-1),0)</f>
        <v>0</v>
      </c>
      <c r="AA15" s="9" cm="1">
        <f t="array" ref="AA15">IFERROR(_xlfn.XLOOKUP(1,(Table15[[#This Row],[Name]]=Points!$B:$B)*(Table15[[#Headers],[Brazil - 5 November]]=Points!$C:$C),Points!$J:$J,0,0,-1),0)</f>
        <v>0</v>
      </c>
      <c r="AB15" s="9" cm="1">
        <f t="array" ref="AB15">IFERROR(_xlfn.XLOOKUP(1,(Table15[[#This Row],[Name]]=Points!$B:$B)*(Table15[[#Headers],[Las Vegas - 18 November]]=Points!$C:$C),Points!$J:$J,0,0,-1),0)</f>
        <v>0</v>
      </c>
      <c r="AC15" s="9" cm="1">
        <f t="array" ref="AC15">IFERROR(_xlfn.XLOOKUP(1,(Table15[[#This Row],[Name]]=Points!$B:$B)*(Table15[[#Headers],[Abu Dhabi - 26 November]]=Points!$C:$C),Points!$J:$J,0,0,-1),0)</f>
        <v>0</v>
      </c>
    </row>
    <row r="16" spans="1:29" ht="15.6" x14ac:dyDescent="0.3">
      <c r="A16" s="4">
        <v>15</v>
      </c>
      <c r="B16" t="s">
        <v>54</v>
      </c>
      <c r="C16" cm="1">
        <f t="array" ref="C16">Table15[[#This Row],[Total]]-_xlfn.XLOOKUP($G$35,$H$36:$AC$36,Table15[[#This Row],[Saudi Arabia - 19 March]:[Abu Dhabi - 26 November]])</f>
        <v>0</v>
      </c>
      <c r="D16" cm="1">
        <f t="array" ref="D16">_xlfn.XLOOKUP(B16,_xlfn.SORTBY(Table15[Name],Table15[Previous Race Total],-1),$A$2:$A$27)</f>
        <v>15</v>
      </c>
      <c r="E16" cm="1">
        <f t="array" ref="E16">_xlfn.XLOOKUP(B16,_xlfn.SORTBY(Table15[Name],Table15[Total],-1),$A$2:$A$27)</f>
        <v>15</v>
      </c>
      <c r="F16" s="94">
        <f>Table15[[#This Row],[Previous race Ranking]]-Table15[[#This Row],[Current ranking]]</f>
        <v>0</v>
      </c>
      <c r="G16" s="85">
        <f t="shared" si="0"/>
        <v>0</v>
      </c>
      <c r="H16" s="9" cm="1">
        <f t="array" ref="H16">IFERROR(_xlfn.XLOOKUP(1,(Table15[[#This Row],[Brazil - 5 November]]=Points!$B:$B)*(Table15[[#Headers],[Saudi Arabia - 19 March]]=Points!$C:$C),Points!$J:$J,0,0,-1),0)</f>
        <v>0</v>
      </c>
      <c r="I16" s="9" cm="1">
        <f t="array" ref="I16">IFERROR(_xlfn.XLOOKUP(1,(Table15[[#This Row],[Las Vegas - 18 November]]=Points!$B:$B)*(Table15[[#Headers],[Australia - 2 April]]=Points!$C:$C),Points!$J:$J,0,0,-1),0)</f>
        <v>0</v>
      </c>
      <c r="J16" s="9" cm="1">
        <f t="array" ref="J16">IFERROR(_xlfn.XLOOKUP(1,(Table15[[#This Row],[Abu Dhabi - 26 November]]=Points!$B:$B)*(Table15[[#Headers],[Azerbaijan - 30 April]]=Points!$C:$C),Points!$J:$J,0,0,-1),0)</f>
        <v>0</v>
      </c>
      <c r="K16" s="9" cm="1">
        <f t="array" ref="K16">IFERROR(_xlfn.XLOOKUP(1,(Table15[[#This Row],[Name]]=Points!$B:$B)*(Table15[[#Headers],[Miami - 7 May]]=Points!$C:$C),Points!$J:$J,0,0,-1),0)</f>
        <v>0</v>
      </c>
      <c r="L16" s="9" cm="1">
        <f t="array" ref="L16">IFERROR(_xlfn.XLOOKUP(1,(Table15[[#This Row],[Name]]=Points!$B:$B)*(Table15[[#Headers],[Italy - 21 May]]=Points!$C:$C),Points!$J:$J,0,0,-1),0)</f>
        <v>0</v>
      </c>
      <c r="M16" s="9" cm="1">
        <f t="array" ref="M16">IFERROR(_xlfn.XLOOKUP(1,(Table15[[#This Row],[Name]]=Points!$B:$B)*(Table15[[#Headers],[Monaco - 28 May]]=Points!$C:$C),Points!$J:$J,0,0,-1),0)</f>
        <v>0</v>
      </c>
      <c r="N16" s="9" cm="1">
        <f t="array" ref="N16">IFERROR(_xlfn.XLOOKUP(1,(Table15[[#This Row],[Name]]=Points!$B:$B)*(Table15[[#Headers],[Spain - 4 June]]=Points!$C:$C),Points!$J:$J,0,0,-1),0)</f>
        <v>0</v>
      </c>
      <c r="O16" s="9" cm="1">
        <f t="array" ref="O16">IFERROR(_xlfn.XLOOKUP(1,(Table15[[#This Row],[Name]]=Points!$B:$B)*(Table15[[#Headers],[Canada - 18 June]]=Points!$C:$C),Points!$J:$J,0,0,-1),0)</f>
        <v>0</v>
      </c>
      <c r="P16" s="9" cm="1">
        <f t="array" ref="P16">IFERROR(_xlfn.XLOOKUP(1,(Table15[[#This Row],[Name]]=Points!$B:$B)*(Table15[[#Headers],[Austria - 2 July]]=Points!$C:$C),Points!$J:$J,0,0,-1),0)</f>
        <v>0</v>
      </c>
      <c r="Q16" s="9" cm="1">
        <f t="array" ref="Q16">IFERROR(_xlfn.XLOOKUP(1,(Table15[[#This Row],[Name]]=Points!$B:$B)*(Table15[[#Headers],[Great Britain - 9 July]]=Points!$C:$C),Points!$J:$J,0,0,-1),0)</f>
        <v>0</v>
      </c>
      <c r="R16" s="9" cm="1">
        <f t="array" ref="R16">IFERROR(_xlfn.XLOOKUP(1,(Table15[[#This Row],[Name]]=Points!$B:$B)*(Table15[[#Headers],[Hungary - 23 July]]=Points!$C:$C),Points!$J:$J,0,0,-1),0)</f>
        <v>0</v>
      </c>
      <c r="S16" s="66" cm="1">
        <f t="array" ref="S16">IFERROR(_xlfn.XLOOKUP(1,(Table15[[#This Row],[Name]]=Points!$B:$B)*(Table15[[#Headers],[Belgium - 30 July]]=Points!$C:$C),Points!$J:$J,0,0,-1),0)</f>
        <v>0</v>
      </c>
      <c r="T16" s="9" cm="1">
        <f t="array" ref="T16">IFERROR(_xlfn.XLOOKUP(1,(Table15[[#This Row],[Name]]=Points!$B:$B)*(Table15[[#Headers],[Netherlands - 27 August]]=Points!$C:$C),Points!$J:$J,0,0,-1),0)</f>
        <v>0</v>
      </c>
      <c r="U16" s="9" cm="1">
        <f t="array" ref="U16">IFERROR(_xlfn.XLOOKUP(1,(Table15[[#This Row],[Name]]=Points!$B:$B)*(Table15[[#Headers],[Italy - 3 September]]=Points!$C:$C),Points!$J:$J,0,0,-1),0)</f>
        <v>0</v>
      </c>
      <c r="V16" s="9" cm="1">
        <f t="array" ref="V16">IFERROR(_xlfn.XLOOKUP(1,(Table15[[#This Row],[Name]]=Points!$B:$B)*(Table15[[#Headers],[Singapore - 17 September]]=Points!$C:$C),Points!$J:$J,0,0,-1),0)</f>
        <v>0</v>
      </c>
      <c r="W16" s="9" cm="1">
        <f t="array" ref="W16">IFERROR(_xlfn.XLOOKUP(1,(Table15[[#This Row],[Name]]=Points!$B:$B)*(Table15[[#Headers],[Japan - 24 September]]=Points!$C:$C),Points!$J:$J,0,0,-1),0)</f>
        <v>0</v>
      </c>
      <c r="X16" s="9" cm="1">
        <f t="array" ref="X16">IFERROR(_xlfn.XLOOKUP(1,(Table15[[#This Row],[Name]]=Points!$B:$B)*(Table15[[#Headers],[Qatar - 8 October]]=Points!$C:$C),Points!$J:$J,0,0,-1),0)</f>
        <v>0</v>
      </c>
      <c r="Y16" s="9" cm="1">
        <f t="array" ref="Y16">IFERROR(_xlfn.XLOOKUP(1,(Table15[[#This Row],[Name]]=Points!$B:$B)*(Table15[[#Headers],[United States - 22 October]]=Points!$C:$C),Points!$J:$J,0,0,-1),0)</f>
        <v>0</v>
      </c>
      <c r="Z16" s="9" cm="1">
        <f t="array" ref="Z16">IFERROR(_xlfn.XLOOKUP(1,(Table15[[#This Row],[Name]]=Points!$B:$B)*(Table15[[#Headers],[Mexico - 29 October]]=Points!$C:$C),Points!$J:$J,0,0,-1),0)</f>
        <v>0</v>
      </c>
      <c r="AA16" s="9" cm="1">
        <f t="array" ref="AA16">IFERROR(_xlfn.XLOOKUP(1,(Table15[[#This Row],[Name]]=Points!$B:$B)*(Table15[[#Headers],[Brazil - 5 November]]=Points!$C:$C),Points!$J:$J,0,0,-1),0)</f>
        <v>0</v>
      </c>
      <c r="AB16" s="9" cm="1">
        <f t="array" ref="AB16">IFERROR(_xlfn.XLOOKUP(1,(Table15[[#This Row],[Name]]=Points!$B:$B)*(Table15[[#Headers],[Las Vegas - 18 November]]=Points!$C:$C),Points!$J:$J,0,0,-1),0)</f>
        <v>0</v>
      </c>
      <c r="AC16" s="9" cm="1">
        <f t="array" ref="AC16">IFERROR(_xlfn.XLOOKUP(1,(Table15[[#This Row],[Name]]=Points!$B:$B)*(Table15[[#Headers],[Abu Dhabi - 26 November]]=Points!$C:$C),Points!$J:$J,0,0,-1),0)</f>
        <v>0</v>
      </c>
    </row>
    <row r="17" spans="1:29" ht="15.6" x14ac:dyDescent="0.3">
      <c r="A17" s="4">
        <v>16</v>
      </c>
      <c r="B17" t="s">
        <v>61</v>
      </c>
      <c r="C17" cm="1">
        <f t="array" ref="C17">Table15[[#This Row],[Total]]-_xlfn.XLOOKUP($G$35,$H$36:$AC$36,Table15[[#This Row],[Saudi Arabia - 19 March]:[Abu Dhabi - 26 November]])</f>
        <v>0</v>
      </c>
      <c r="D17" cm="1">
        <f t="array" ref="D17">_xlfn.XLOOKUP(B17,_xlfn.SORTBY(Table15[Name],Table15[Previous Race Total],-1),$A$2:$A$27)</f>
        <v>16</v>
      </c>
      <c r="E17" cm="1">
        <f t="array" ref="E17">_xlfn.XLOOKUP(B17,_xlfn.SORTBY(Table15[Name],Table15[Total],-1),$A$2:$A$27)</f>
        <v>16</v>
      </c>
      <c r="F17" s="94">
        <f>Table15[[#This Row],[Previous race Ranking]]-Table15[[#This Row],[Current ranking]]</f>
        <v>0</v>
      </c>
      <c r="G17" s="85">
        <f t="shared" si="0"/>
        <v>0</v>
      </c>
      <c r="H17" s="9" cm="1">
        <f t="array" ref="H17">IFERROR(_xlfn.XLOOKUP(1,(Table15[[#This Row],[Brazil - 5 November]]=Points!$B:$B)*(Table15[[#Headers],[Saudi Arabia - 19 March]]=Points!$C:$C),Points!$J:$J,0,0,-1),0)</f>
        <v>0</v>
      </c>
      <c r="I17" s="9" cm="1">
        <f t="array" ref="I17">IFERROR(_xlfn.XLOOKUP(1,(Table15[[#This Row],[Las Vegas - 18 November]]=Points!$B:$B)*(Table15[[#Headers],[Australia - 2 April]]=Points!$C:$C),Points!$J:$J,0,0,-1),0)</f>
        <v>0</v>
      </c>
      <c r="J17" s="9" cm="1">
        <f t="array" ref="J17">IFERROR(_xlfn.XLOOKUP(1,(Table15[[#This Row],[Abu Dhabi - 26 November]]=Points!$B:$B)*(Table15[[#Headers],[Azerbaijan - 30 April]]=Points!$C:$C),Points!$J:$J,0,0,-1),0)</f>
        <v>0</v>
      </c>
      <c r="K17" s="9" cm="1">
        <f t="array" ref="K17">IFERROR(_xlfn.XLOOKUP(1,(Table15[[#This Row],[Name]]=Points!$B:$B)*(Table15[[#Headers],[Miami - 7 May]]=Points!$C:$C),Points!$J:$J,0,0,-1),0)</f>
        <v>0</v>
      </c>
      <c r="L17" s="9" cm="1">
        <f t="array" ref="L17">IFERROR(_xlfn.XLOOKUP(1,(Table15[[#This Row],[Name]]=Points!$B:$B)*(Table15[[#Headers],[Italy - 21 May]]=Points!$C:$C),Points!$J:$J,0,0,-1),0)</f>
        <v>0</v>
      </c>
      <c r="M17" s="9" cm="1">
        <f t="array" ref="M17">IFERROR(_xlfn.XLOOKUP(1,(Table15[[#This Row],[Name]]=Points!$B:$B)*(Table15[[#Headers],[Monaco - 28 May]]=Points!$C:$C),Points!$J:$J,0,0,-1),0)</f>
        <v>0</v>
      </c>
      <c r="N17" s="9" cm="1">
        <f t="array" ref="N17">IFERROR(_xlfn.XLOOKUP(1,(Table15[[#This Row],[Name]]=Points!$B:$B)*(Table15[[#Headers],[Spain - 4 June]]=Points!$C:$C),Points!$J:$J,0,0,-1),0)</f>
        <v>0</v>
      </c>
      <c r="O17" s="9" cm="1">
        <f t="array" ref="O17">IFERROR(_xlfn.XLOOKUP(1,(Table15[[#This Row],[Name]]=Points!$B:$B)*(Table15[[#Headers],[Canada - 18 June]]=Points!$C:$C),Points!$J:$J,0,0,-1),0)</f>
        <v>0</v>
      </c>
      <c r="P17" s="9" cm="1">
        <f t="array" ref="P17">IFERROR(_xlfn.XLOOKUP(1,(Table15[[#This Row],[Name]]=Points!$B:$B)*(Table15[[#Headers],[Austria - 2 July]]=Points!$C:$C),Points!$J:$J,0,0,-1),0)</f>
        <v>0</v>
      </c>
      <c r="Q17" s="9" cm="1">
        <f t="array" ref="Q17">IFERROR(_xlfn.XLOOKUP(1,(Table15[[#This Row],[Name]]=Points!$B:$B)*(Table15[[#Headers],[Great Britain - 9 July]]=Points!$C:$C),Points!$J:$J,0,0,-1),0)</f>
        <v>0</v>
      </c>
      <c r="R17" s="9" cm="1">
        <f t="array" ref="R17">IFERROR(_xlfn.XLOOKUP(1,(Table15[[#This Row],[Name]]=Points!$B:$B)*(Table15[[#Headers],[Hungary - 23 July]]=Points!$C:$C),Points!$J:$J,0,0,-1),0)</f>
        <v>0</v>
      </c>
      <c r="S17" s="9" cm="1">
        <f t="array" ref="S17">IFERROR(_xlfn.XLOOKUP(1,(Table15[[#This Row],[Name]]=Points!$B:$B)*(Table15[[#Headers],[Belgium - 30 July]]=Points!$C:$C),Points!$J:$J,0,0,-1),0)</f>
        <v>0</v>
      </c>
      <c r="T17" s="9" cm="1">
        <f t="array" ref="T17">IFERROR(_xlfn.XLOOKUP(1,(Table15[[#This Row],[Name]]=Points!$B:$B)*(Table15[[#Headers],[Netherlands - 27 August]]=Points!$C:$C),Points!$J:$J,0,0,-1),0)</f>
        <v>0</v>
      </c>
      <c r="U17" s="9" cm="1">
        <f t="array" ref="U17">IFERROR(_xlfn.XLOOKUP(1,(Table15[[#This Row],[Name]]=Points!$B:$B)*(Table15[[#Headers],[Italy - 3 September]]=Points!$C:$C),Points!$J:$J,0,0,-1),0)</f>
        <v>0</v>
      </c>
      <c r="V17" s="9" cm="1">
        <f t="array" ref="V17">IFERROR(_xlfn.XLOOKUP(1,(Table15[[#This Row],[Name]]=Points!$B:$B)*(Table15[[#Headers],[Singapore - 17 September]]=Points!$C:$C),Points!$J:$J,0,0,-1),0)</f>
        <v>0</v>
      </c>
      <c r="W17" s="9" cm="1">
        <f t="array" ref="W17">IFERROR(_xlfn.XLOOKUP(1,(Table15[[#This Row],[Name]]=Points!$B:$B)*(Table15[[#Headers],[Japan - 24 September]]=Points!$C:$C),Points!$J:$J,0,0,-1),0)</f>
        <v>0</v>
      </c>
      <c r="X17" s="9" cm="1">
        <f t="array" ref="X17">IFERROR(_xlfn.XLOOKUP(1,(Table15[[#This Row],[Name]]=Points!$B:$B)*(Table15[[#Headers],[Qatar - 8 October]]=Points!$C:$C),Points!$J:$J,0,0,-1),0)</f>
        <v>0</v>
      </c>
      <c r="Y17" s="9" cm="1">
        <f t="array" ref="Y17">IFERROR(_xlfn.XLOOKUP(1,(Table15[[#This Row],[Name]]=Points!$B:$B)*(Table15[[#Headers],[United States - 22 October]]=Points!$C:$C),Points!$J:$J,0,0,-1),0)</f>
        <v>0</v>
      </c>
      <c r="Z17" s="9" cm="1">
        <f t="array" ref="Z17">IFERROR(_xlfn.XLOOKUP(1,(Table15[[#This Row],[Name]]=Points!$B:$B)*(Table15[[#Headers],[Mexico - 29 October]]=Points!$C:$C),Points!$J:$J,0,0,-1),0)</f>
        <v>0</v>
      </c>
      <c r="AA17" s="9" cm="1">
        <f t="array" ref="AA17">IFERROR(_xlfn.XLOOKUP(1,(Table15[[#This Row],[Name]]=Points!$B:$B)*(Table15[[#Headers],[Brazil - 5 November]]=Points!$C:$C),Points!$J:$J,0,0,-1),0)</f>
        <v>0</v>
      </c>
      <c r="AB17" s="9" cm="1">
        <f t="array" ref="AB17">IFERROR(_xlfn.XLOOKUP(1,(Table15[[#This Row],[Name]]=Points!$B:$B)*(Table15[[#Headers],[Las Vegas - 18 November]]=Points!$C:$C),Points!$J:$J,0,0,-1),0)</f>
        <v>0</v>
      </c>
      <c r="AC17" s="9" cm="1">
        <f t="array" ref="AC17">IFERROR(_xlfn.XLOOKUP(1,(Table15[[#This Row],[Name]]=Points!$B:$B)*(Table15[[#Headers],[Abu Dhabi - 26 November]]=Points!$C:$C),Points!$J:$J,0,0,-1),0)</f>
        <v>0</v>
      </c>
    </row>
    <row r="18" spans="1:29" ht="15.6" x14ac:dyDescent="0.3">
      <c r="A18" s="4">
        <v>17</v>
      </c>
      <c r="B18" t="s">
        <v>59</v>
      </c>
      <c r="C18" cm="1">
        <f t="array" ref="C18">Table15[[#This Row],[Total]]-_xlfn.XLOOKUP($G$35,$H$36:$AC$36,Table15[[#This Row],[Saudi Arabia - 19 March]:[Abu Dhabi - 26 November]])</f>
        <v>0</v>
      </c>
      <c r="D18" cm="1">
        <f t="array" ref="D18">_xlfn.XLOOKUP(B18,_xlfn.SORTBY(Table15[Name],Table15[Previous Race Total],-1),$A$2:$A$27)</f>
        <v>17</v>
      </c>
      <c r="E18" cm="1">
        <f t="array" ref="E18">_xlfn.XLOOKUP(B18,_xlfn.SORTBY(Table15[Name],Table15[Total],-1),$A$2:$A$27)</f>
        <v>17</v>
      </c>
      <c r="F18" s="94">
        <f>Table15[[#This Row],[Previous race Ranking]]-Table15[[#This Row],[Current ranking]]</f>
        <v>0</v>
      </c>
      <c r="G18" s="85">
        <f t="shared" si="0"/>
        <v>0</v>
      </c>
      <c r="H18" s="9" cm="1">
        <f t="array" ref="H18">IFERROR(_xlfn.XLOOKUP(1,(Table15[[#This Row],[Brazil - 5 November]]=Points!$B:$B)*(Table15[[#Headers],[Saudi Arabia - 19 March]]=Points!$C:$C),Points!$J:$J,0,0,-1),0)</f>
        <v>0</v>
      </c>
      <c r="I18" s="9" cm="1">
        <f t="array" ref="I18">IFERROR(_xlfn.XLOOKUP(1,(Table15[[#This Row],[Las Vegas - 18 November]]=Points!$B:$B)*(Table15[[#Headers],[Australia - 2 April]]=Points!$C:$C),Points!$J:$J,0,0,-1),0)</f>
        <v>0</v>
      </c>
      <c r="J18" s="9" cm="1">
        <f t="array" ref="J18">IFERROR(_xlfn.XLOOKUP(1,(Table15[[#This Row],[Abu Dhabi - 26 November]]=Points!$B:$B)*(Table15[[#Headers],[Azerbaijan - 30 April]]=Points!$C:$C),Points!$J:$J,0,0,-1),0)</f>
        <v>0</v>
      </c>
      <c r="K18" s="9" cm="1">
        <f t="array" ref="K18">IFERROR(_xlfn.XLOOKUP(1,(Table15[[#This Row],[Name]]=Points!$B:$B)*(Table15[[#Headers],[Miami - 7 May]]=Points!$C:$C),Points!$J:$J,0,0,-1),0)</f>
        <v>0</v>
      </c>
      <c r="L18" s="9" cm="1">
        <f t="array" ref="L18">IFERROR(_xlfn.XLOOKUP(1,(Table15[[#This Row],[Name]]=Points!$B:$B)*(Table15[[#Headers],[Italy - 21 May]]=Points!$C:$C),Points!$J:$J,0,0,-1),0)</f>
        <v>0</v>
      </c>
      <c r="M18" s="9" cm="1">
        <f t="array" ref="M18">IFERROR(_xlfn.XLOOKUP(1,(Table15[[#This Row],[Name]]=Points!$B:$B)*(Table15[[#Headers],[Monaco - 28 May]]=Points!$C:$C),Points!$J:$J,0,0,-1),0)</f>
        <v>0</v>
      </c>
      <c r="N18" s="9" cm="1">
        <f t="array" ref="N18">IFERROR(_xlfn.XLOOKUP(1,(Table15[[#This Row],[Name]]=Points!$B:$B)*(Table15[[#Headers],[Spain - 4 June]]=Points!$C:$C),Points!$J:$J,0,0,-1),0)</f>
        <v>0</v>
      </c>
      <c r="O18" s="9" cm="1">
        <f t="array" ref="O18">IFERROR(_xlfn.XLOOKUP(1,(Table15[[#This Row],[Name]]=Points!$B:$B)*(Table15[[#Headers],[Canada - 18 June]]=Points!$C:$C),Points!$J:$J,0,0,-1),0)</f>
        <v>0</v>
      </c>
      <c r="P18" s="9" cm="1">
        <f t="array" ref="P18">IFERROR(_xlfn.XLOOKUP(1,(Table15[[#This Row],[Name]]=Points!$B:$B)*(Table15[[#Headers],[Austria - 2 July]]=Points!$C:$C),Points!$J:$J,0,0,-1),0)</f>
        <v>0</v>
      </c>
      <c r="Q18" s="9" cm="1">
        <f t="array" ref="Q18">IFERROR(_xlfn.XLOOKUP(1,(Table15[[#This Row],[Name]]=Points!$B:$B)*(Table15[[#Headers],[Great Britain - 9 July]]=Points!$C:$C),Points!$J:$J,0,0,-1),0)</f>
        <v>0</v>
      </c>
      <c r="R18" s="9" cm="1">
        <f t="array" ref="R18">IFERROR(_xlfn.XLOOKUP(1,(Table15[[#This Row],[Name]]=Points!$B:$B)*(Table15[[#Headers],[Hungary - 23 July]]=Points!$C:$C),Points!$J:$J,0,0,-1),0)</f>
        <v>0</v>
      </c>
      <c r="S18" s="9" cm="1">
        <f t="array" ref="S18">IFERROR(_xlfn.XLOOKUP(1,(Table15[[#This Row],[Name]]=Points!$B:$B)*(Table15[[#Headers],[Belgium - 30 July]]=Points!$C:$C),Points!$J:$J,0,0,-1),0)</f>
        <v>0</v>
      </c>
      <c r="T18" s="9" cm="1">
        <f t="array" ref="T18">IFERROR(_xlfn.XLOOKUP(1,(Table15[[#This Row],[Name]]=Points!$B:$B)*(Table15[[#Headers],[Netherlands - 27 August]]=Points!$C:$C),Points!$J:$J,0,0,-1),0)</f>
        <v>0</v>
      </c>
      <c r="U18" s="9" cm="1">
        <f t="array" ref="U18">IFERROR(_xlfn.XLOOKUP(1,(Table15[[#This Row],[Name]]=Points!$B:$B)*(Table15[[#Headers],[Italy - 3 September]]=Points!$C:$C),Points!$J:$J,0,0,-1),0)</f>
        <v>0</v>
      </c>
      <c r="V18" s="9" cm="1">
        <f t="array" ref="V18">IFERROR(_xlfn.XLOOKUP(1,(Table15[[#This Row],[Name]]=Points!$B:$B)*(Table15[[#Headers],[Singapore - 17 September]]=Points!$C:$C),Points!$J:$J,0,0,-1),0)</f>
        <v>0</v>
      </c>
      <c r="W18" s="9" cm="1">
        <f t="array" ref="W18">IFERROR(_xlfn.XLOOKUP(1,(Table15[[#This Row],[Name]]=Points!$B:$B)*(Table15[[#Headers],[Japan - 24 September]]=Points!$C:$C),Points!$J:$J,0,0,-1),0)</f>
        <v>0</v>
      </c>
      <c r="X18" s="9" cm="1">
        <f t="array" ref="X18">IFERROR(_xlfn.XLOOKUP(1,(Table15[[#This Row],[Name]]=Points!$B:$B)*(Table15[[#Headers],[Qatar - 8 October]]=Points!$C:$C),Points!$J:$J,0,0,-1),0)</f>
        <v>0</v>
      </c>
      <c r="Y18" s="9" cm="1">
        <f t="array" ref="Y18">IFERROR(_xlfn.XLOOKUP(1,(Table15[[#This Row],[Name]]=Points!$B:$B)*(Table15[[#Headers],[United States - 22 October]]=Points!$C:$C),Points!$J:$J,0,0,-1),0)</f>
        <v>0</v>
      </c>
      <c r="Z18" s="9" cm="1">
        <f t="array" ref="Z18">IFERROR(_xlfn.XLOOKUP(1,(Table15[[#This Row],[Name]]=Points!$B:$B)*(Table15[[#Headers],[Mexico - 29 October]]=Points!$C:$C),Points!$J:$J,0,0,-1),0)</f>
        <v>0</v>
      </c>
      <c r="AA18" s="9" cm="1">
        <f t="array" ref="AA18">IFERROR(_xlfn.XLOOKUP(1,(Table15[[#This Row],[Name]]=Points!$B:$B)*(Table15[[#Headers],[Brazil - 5 November]]=Points!$C:$C),Points!$J:$J,0,0,-1),0)</f>
        <v>0</v>
      </c>
      <c r="AB18" s="9" cm="1">
        <f t="array" ref="AB18">IFERROR(_xlfn.XLOOKUP(1,(Table15[[#This Row],[Name]]=Points!$B:$B)*(Table15[[#Headers],[Las Vegas - 18 November]]=Points!$C:$C),Points!$J:$J,0,0,-1),0)</f>
        <v>0</v>
      </c>
      <c r="AC18" s="9" cm="1">
        <f t="array" ref="AC18">IFERROR(_xlfn.XLOOKUP(1,(Table15[[#This Row],[Name]]=Points!$B:$B)*(Table15[[#Headers],[Abu Dhabi - 26 November]]=Points!$C:$C),Points!$J:$J,0,0,-1),0)</f>
        <v>0</v>
      </c>
    </row>
    <row r="19" spans="1:29" ht="15.6" x14ac:dyDescent="0.3">
      <c r="A19" s="4">
        <v>18</v>
      </c>
      <c r="B19" t="s">
        <v>62</v>
      </c>
      <c r="C19" cm="1">
        <f t="array" ref="C19">Table15[[#This Row],[Total]]-_xlfn.XLOOKUP($G$35,$H$36:$AC$36,Table15[[#This Row],[Saudi Arabia - 19 March]:[Abu Dhabi - 26 November]])</f>
        <v>0</v>
      </c>
      <c r="D19" cm="1">
        <f t="array" ref="D19">_xlfn.XLOOKUP(B19,_xlfn.SORTBY(Table15[Name],Table15[Previous Race Total],-1),$A$2:$A$27)</f>
        <v>18</v>
      </c>
      <c r="E19" cm="1">
        <f t="array" ref="E19">_xlfn.XLOOKUP(B19,_xlfn.SORTBY(Table15[Name],Table15[Total],-1),$A$2:$A$27)</f>
        <v>18</v>
      </c>
      <c r="F19" s="94">
        <f>Table15[[#This Row],[Previous race Ranking]]-Table15[[#This Row],[Current ranking]]</f>
        <v>0</v>
      </c>
      <c r="G19" s="85">
        <f t="shared" si="0"/>
        <v>0</v>
      </c>
      <c r="H19" s="9" cm="1">
        <f t="array" ref="H19">IFERROR(_xlfn.XLOOKUP(1,(Table15[[#This Row],[Brazil - 5 November]]=Points!$B:$B)*(Table15[[#Headers],[Saudi Arabia - 19 March]]=Points!$C:$C),Points!$J:$J,0,0,-1),0)</f>
        <v>0</v>
      </c>
      <c r="I19" s="9" cm="1">
        <f t="array" ref="I19">IFERROR(_xlfn.XLOOKUP(1,(Table15[[#This Row],[Las Vegas - 18 November]]=Points!$B:$B)*(Table15[[#Headers],[Australia - 2 April]]=Points!$C:$C),Points!$J:$J,0,0,-1),0)</f>
        <v>0</v>
      </c>
      <c r="J19" s="9" cm="1">
        <f t="array" ref="J19">IFERROR(_xlfn.XLOOKUP(1,(Table15[[#This Row],[Abu Dhabi - 26 November]]=Points!$B:$B)*(Table15[[#Headers],[Azerbaijan - 30 April]]=Points!$C:$C),Points!$J:$J,0,0,-1),0)</f>
        <v>0</v>
      </c>
      <c r="K19" s="9" cm="1">
        <f t="array" ref="K19">IFERROR(_xlfn.XLOOKUP(1,(Table15[[#This Row],[Name]]=Points!$B:$B)*(Table15[[#Headers],[Miami - 7 May]]=Points!$C:$C),Points!$J:$J,0,0,-1),0)</f>
        <v>0</v>
      </c>
      <c r="L19" s="9" cm="1">
        <f t="array" ref="L19">IFERROR(_xlfn.XLOOKUP(1,(Table15[[#This Row],[Name]]=Points!$B:$B)*(Table15[[#Headers],[Italy - 21 May]]=Points!$C:$C),Points!$J:$J,0,0,-1),0)</f>
        <v>0</v>
      </c>
      <c r="M19" s="9" cm="1">
        <f t="array" ref="M19">IFERROR(_xlfn.XLOOKUP(1,(Table15[[#This Row],[Name]]=Points!$B:$B)*(Table15[[#Headers],[Monaco - 28 May]]=Points!$C:$C),Points!$J:$J,0,0,-1),0)</f>
        <v>0</v>
      </c>
      <c r="N19" s="9" cm="1">
        <f t="array" ref="N19">IFERROR(_xlfn.XLOOKUP(1,(Table15[[#This Row],[Name]]=Points!$B:$B)*(Table15[[#Headers],[Spain - 4 June]]=Points!$C:$C),Points!$J:$J,0,0,-1),0)</f>
        <v>0</v>
      </c>
      <c r="O19" s="9" cm="1">
        <f t="array" ref="O19">IFERROR(_xlfn.XLOOKUP(1,(Table15[[#This Row],[Name]]=Points!$B:$B)*(Table15[[#Headers],[Canada - 18 June]]=Points!$C:$C),Points!$J:$J,0,0,-1),0)</f>
        <v>0</v>
      </c>
      <c r="P19" s="9" cm="1">
        <f t="array" ref="P19">IFERROR(_xlfn.XLOOKUP(1,(Table15[[#This Row],[Name]]=Points!$B:$B)*(Table15[[#Headers],[Austria - 2 July]]=Points!$C:$C),Points!$J:$J,0,0,-1),0)</f>
        <v>0</v>
      </c>
      <c r="Q19" s="9" cm="1">
        <f t="array" ref="Q19">IFERROR(_xlfn.XLOOKUP(1,(Table15[[#This Row],[Name]]=Points!$B:$B)*(Table15[[#Headers],[Great Britain - 9 July]]=Points!$C:$C),Points!$J:$J,0,0,-1),0)</f>
        <v>0</v>
      </c>
      <c r="R19" s="9" cm="1">
        <f t="array" ref="R19">IFERROR(_xlfn.XLOOKUP(1,(Table15[[#This Row],[Name]]=Points!$B:$B)*(Table15[[#Headers],[Hungary - 23 July]]=Points!$C:$C),Points!$J:$J,0,0,-1),0)</f>
        <v>0</v>
      </c>
      <c r="S19" s="9" cm="1">
        <f t="array" ref="S19">IFERROR(_xlfn.XLOOKUP(1,(Table15[[#This Row],[Name]]=Points!$B:$B)*(Table15[[#Headers],[Belgium - 30 July]]=Points!$C:$C),Points!$J:$J,0,0,-1),0)</f>
        <v>0</v>
      </c>
      <c r="T19" s="9" cm="1">
        <f t="array" ref="T19">IFERROR(_xlfn.XLOOKUP(1,(Table15[[#This Row],[Name]]=Points!$B:$B)*(Table15[[#Headers],[Netherlands - 27 August]]=Points!$C:$C),Points!$J:$J,0,0,-1),0)</f>
        <v>0</v>
      </c>
      <c r="U19" s="9" cm="1">
        <f t="array" ref="U19">IFERROR(_xlfn.XLOOKUP(1,(Table15[[#This Row],[Name]]=Points!$B:$B)*(Table15[[#Headers],[Italy - 3 September]]=Points!$C:$C),Points!$J:$J,0,0,-1),0)</f>
        <v>0</v>
      </c>
      <c r="V19" s="9" cm="1">
        <f t="array" ref="V19">IFERROR(_xlfn.XLOOKUP(1,(Table15[[#This Row],[Name]]=Points!$B:$B)*(Table15[[#Headers],[Singapore - 17 September]]=Points!$C:$C),Points!$J:$J,0,0,-1),0)</f>
        <v>0</v>
      </c>
      <c r="W19" s="9" cm="1">
        <f t="array" ref="W19">IFERROR(_xlfn.XLOOKUP(1,(Table15[[#This Row],[Name]]=Points!$B:$B)*(Table15[[#Headers],[Japan - 24 September]]=Points!$C:$C),Points!$J:$J,0,0,-1),0)</f>
        <v>0</v>
      </c>
      <c r="X19" s="9" cm="1">
        <f t="array" ref="X19">IFERROR(_xlfn.XLOOKUP(1,(Table15[[#This Row],[Name]]=Points!$B:$B)*(Table15[[#Headers],[Qatar - 8 October]]=Points!$C:$C),Points!$J:$J,0,0,-1),0)</f>
        <v>0</v>
      </c>
      <c r="Y19" s="9" cm="1">
        <f t="array" ref="Y19">IFERROR(_xlfn.XLOOKUP(1,(Table15[[#This Row],[Name]]=Points!$B:$B)*(Table15[[#Headers],[United States - 22 October]]=Points!$C:$C),Points!$J:$J,0,0,-1),0)</f>
        <v>0</v>
      </c>
      <c r="Z19" s="9" cm="1">
        <f t="array" ref="Z19">IFERROR(_xlfn.XLOOKUP(1,(Table15[[#This Row],[Name]]=Points!$B:$B)*(Table15[[#Headers],[Mexico - 29 October]]=Points!$C:$C),Points!$J:$J,0,0,-1),0)</f>
        <v>0</v>
      </c>
      <c r="AA19" s="9" cm="1">
        <f t="array" ref="AA19">IFERROR(_xlfn.XLOOKUP(1,(Table15[[#This Row],[Name]]=Points!$B:$B)*(Table15[[#Headers],[Brazil - 5 November]]=Points!$C:$C),Points!$J:$J,0,0,-1),0)</f>
        <v>0</v>
      </c>
      <c r="AB19" s="9" cm="1">
        <f t="array" ref="AB19">IFERROR(_xlfn.XLOOKUP(1,(Table15[[#This Row],[Name]]=Points!$B:$B)*(Table15[[#Headers],[Las Vegas - 18 November]]=Points!$C:$C),Points!$J:$J,0,0,-1),0)</f>
        <v>0</v>
      </c>
      <c r="AC19" s="9" cm="1">
        <f t="array" ref="AC19">IFERROR(_xlfn.XLOOKUP(1,(Table15[[#This Row],[Name]]=Points!$B:$B)*(Table15[[#Headers],[Abu Dhabi - 26 November]]=Points!$C:$C),Points!$J:$J,0,0,-1),0)</f>
        <v>0</v>
      </c>
    </row>
    <row r="20" spans="1:29" ht="15.6" x14ac:dyDescent="0.3">
      <c r="A20" s="4">
        <v>19</v>
      </c>
      <c r="B20" t="s">
        <v>64</v>
      </c>
      <c r="C20" cm="1">
        <f t="array" ref="C20">Table15[[#This Row],[Total]]-_xlfn.XLOOKUP($G$35,$H$36:$AC$36,Table15[[#This Row],[Saudi Arabia - 19 March]:[Abu Dhabi - 26 November]])</f>
        <v>0</v>
      </c>
      <c r="D20" cm="1">
        <f t="array" ref="D20">_xlfn.XLOOKUP(B20,_xlfn.SORTBY(Table15[Name],Table15[Previous Race Total],-1),$A$2:$A$27)</f>
        <v>19</v>
      </c>
      <c r="E20" cm="1">
        <f t="array" ref="E20">_xlfn.XLOOKUP(B20,_xlfn.SORTBY(Table15[Name],Table15[Total],-1),$A$2:$A$27)</f>
        <v>19</v>
      </c>
      <c r="F20" s="94">
        <f>Table15[[#This Row],[Previous race Ranking]]-Table15[[#This Row],[Current ranking]]</f>
        <v>0</v>
      </c>
      <c r="G20" s="85">
        <f t="shared" si="0"/>
        <v>0</v>
      </c>
      <c r="H20" s="9" cm="1">
        <f t="array" ref="H20">IFERROR(_xlfn.XLOOKUP(1,(Table15[[#This Row],[Brazil - 5 November]]=Points!$B:$B)*(Table15[[#Headers],[Saudi Arabia - 19 March]]=Points!$C:$C),Points!$J:$J,0,0,-1),0)</f>
        <v>0</v>
      </c>
      <c r="I20" s="9" cm="1">
        <f t="array" ref="I20">IFERROR(_xlfn.XLOOKUP(1,(Table15[[#This Row],[Las Vegas - 18 November]]=Points!$B:$B)*(Table15[[#Headers],[Australia - 2 April]]=Points!$C:$C),Points!$J:$J,0,0,-1),0)</f>
        <v>0</v>
      </c>
      <c r="J20" s="9" cm="1">
        <f t="array" ref="J20">IFERROR(_xlfn.XLOOKUP(1,(Table15[[#This Row],[Abu Dhabi - 26 November]]=Points!$B:$B)*(Table15[[#Headers],[Azerbaijan - 30 April]]=Points!$C:$C),Points!$J:$J,0,0,-1),0)</f>
        <v>0</v>
      </c>
      <c r="K20" s="9" cm="1">
        <f t="array" ref="K20">IFERROR(_xlfn.XLOOKUP(1,(Table15[[#This Row],[Name]]=Points!$B:$B)*(Table15[[#Headers],[Miami - 7 May]]=Points!$C:$C),Points!$J:$J,0,0,-1),0)</f>
        <v>0</v>
      </c>
      <c r="L20" s="9" cm="1">
        <f t="array" ref="L20">IFERROR(_xlfn.XLOOKUP(1,(Table15[[#This Row],[Name]]=Points!$B:$B)*(Table15[[#Headers],[Italy - 21 May]]=Points!$C:$C),Points!$J:$J,0,0,-1),0)</f>
        <v>0</v>
      </c>
      <c r="M20" s="9" cm="1">
        <f t="array" ref="M20">IFERROR(_xlfn.XLOOKUP(1,(Table15[[#This Row],[Name]]=Points!$B:$B)*(Table15[[#Headers],[Monaco - 28 May]]=Points!$C:$C),Points!$J:$J,0,0,-1),0)</f>
        <v>0</v>
      </c>
      <c r="N20" s="9" cm="1">
        <f t="array" ref="N20">IFERROR(_xlfn.XLOOKUP(1,(Table15[[#This Row],[Name]]=Points!$B:$B)*(Table15[[#Headers],[Spain - 4 June]]=Points!$C:$C),Points!$J:$J,0,0,-1),0)</f>
        <v>0</v>
      </c>
      <c r="O20" s="9" cm="1">
        <f t="array" ref="O20">IFERROR(_xlfn.XLOOKUP(1,(Table15[[#This Row],[Name]]=Points!$B:$B)*(Table15[[#Headers],[Canada - 18 June]]=Points!$C:$C),Points!$J:$J,0,0,-1),0)</f>
        <v>0</v>
      </c>
      <c r="P20" s="9" cm="1">
        <f t="array" ref="P20">IFERROR(_xlfn.XLOOKUP(1,(Table15[[#This Row],[Name]]=Points!$B:$B)*(Table15[[#Headers],[Austria - 2 July]]=Points!$C:$C),Points!$J:$J,0,0,-1),0)</f>
        <v>0</v>
      </c>
      <c r="Q20" s="9" cm="1">
        <f t="array" ref="Q20">IFERROR(_xlfn.XLOOKUP(1,(Table15[[#This Row],[Name]]=Points!$B:$B)*(Table15[[#Headers],[Great Britain - 9 July]]=Points!$C:$C),Points!$J:$J,0,0,-1),0)</f>
        <v>0</v>
      </c>
      <c r="R20" s="9" cm="1">
        <f t="array" ref="R20">IFERROR(_xlfn.XLOOKUP(1,(Table15[[#This Row],[Name]]=Points!$B:$B)*(Table15[[#Headers],[Hungary - 23 July]]=Points!$C:$C),Points!$J:$J,0,0,-1),0)</f>
        <v>0</v>
      </c>
      <c r="S20" s="9" cm="1">
        <f t="array" ref="S20">IFERROR(_xlfn.XLOOKUP(1,(Table15[[#This Row],[Name]]=Points!$B:$B)*(Table15[[#Headers],[Belgium - 30 July]]=Points!$C:$C),Points!$J:$J,0,0,-1),0)</f>
        <v>0</v>
      </c>
      <c r="T20" s="9" cm="1">
        <f t="array" ref="T20">IFERROR(_xlfn.XLOOKUP(1,(Table15[[#This Row],[Name]]=Points!$B:$B)*(Table15[[#Headers],[Netherlands - 27 August]]=Points!$C:$C),Points!$J:$J,0,0,-1),0)</f>
        <v>0</v>
      </c>
      <c r="U20" s="9" cm="1">
        <f t="array" ref="U20">IFERROR(_xlfn.XLOOKUP(1,(Table15[[#This Row],[Name]]=Points!$B:$B)*(Table15[[#Headers],[Italy - 3 September]]=Points!$C:$C),Points!$J:$J,0,0,-1),0)</f>
        <v>0</v>
      </c>
      <c r="V20" s="9" cm="1">
        <f t="array" ref="V20">IFERROR(_xlfn.XLOOKUP(1,(Table15[[#This Row],[Name]]=Points!$B:$B)*(Table15[[#Headers],[Singapore - 17 September]]=Points!$C:$C),Points!$J:$J,0,0,-1),0)</f>
        <v>0</v>
      </c>
      <c r="W20" s="9" cm="1">
        <f t="array" ref="W20">IFERROR(_xlfn.XLOOKUP(1,(Table15[[#This Row],[Name]]=Points!$B:$B)*(Table15[[#Headers],[Japan - 24 September]]=Points!$C:$C),Points!$J:$J,0,0,-1),0)</f>
        <v>0</v>
      </c>
      <c r="X20" s="9" cm="1">
        <f t="array" ref="X20">IFERROR(_xlfn.XLOOKUP(1,(Table15[[#This Row],[Name]]=Points!$B:$B)*(Table15[[#Headers],[Qatar - 8 October]]=Points!$C:$C),Points!$J:$J,0,0,-1),0)</f>
        <v>0</v>
      </c>
      <c r="Y20" s="9" cm="1">
        <f t="array" ref="Y20">IFERROR(_xlfn.XLOOKUP(1,(Table15[[#This Row],[Name]]=Points!$B:$B)*(Table15[[#Headers],[United States - 22 October]]=Points!$C:$C),Points!$J:$J,0,0,-1),0)</f>
        <v>0</v>
      </c>
      <c r="Z20" s="9" cm="1">
        <f t="array" ref="Z20">IFERROR(_xlfn.XLOOKUP(1,(Table15[[#This Row],[Name]]=Points!$B:$B)*(Table15[[#Headers],[Mexico - 29 October]]=Points!$C:$C),Points!$J:$J,0,0,-1),0)</f>
        <v>0</v>
      </c>
      <c r="AA20" s="9" cm="1">
        <f t="array" ref="AA20">IFERROR(_xlfn.XLOOKUP(1,(Table15[[#This Row],[Name]]=Points!$B:$B)*(Table15[[#Headers],[Brazil - 5 November]]=Points!$C:$C),Points!$J:$J,0,0,-1),0)</f>
        <v>0</v>
      </c>
      <c r="AB20" s="9" cm="1">
        <f t="array" ref="AB20">IFERROR(_xlfn.XLOOKUP(1,(Table15[[#This Row],[Name]]=Points!$B:$B)*(Table15[[#Headers],[Las Vegas - 18 November]]=Points!$C:$C),Points!$J:$J,0,0,-1),0)</f>
        <v>0</v>
      </c>
      <c r="AC20" s="9" cm="1">
        <f t="array" ref="AC20">IFERROR(_xlfn.XLOOKUP(1,(Table15[[#This Row],[Name]]=Points!$B:$B)*(Table15[[#Headers],[Abu Dhabi - 26 November]]=Points!$C:$C),Points!$J:$J,0,0,-1),0)</f>
        <v>0</v>
      </c>
    </row>
    <row r="21" spans="1:29" ht="15.6" x14ac:dyDescent="0.3">
      <c r="A21" s="4">
        <v>20</v>
      </c>
      <c r="B21" t="s">
        <v>55</v>
      </c>
      <c r="C21" cm="1">
        <f t="array" ref="C21">Table15[[#This Row],[Total]]-_xlfn.XLOOKUP($G$35,$H$36:$AC$36,Table15[[#This Row],[Saudi Arabia - 19 March]:[Abu Dhabi - 26 November]])</f>
        <v>0</v>
      </c>
      <c r="D21" cm="1">
        <f t="array" ref="D21">_xlfn.XLOOKUP(B21,_xlfn.SORTBY(Table15[Name],Table15[Previous Race Total],-1),$A$2:$A$27)</f>
        <v>20</v>
      </c>
      <c r="E21" cm="1">
        <f t="array" ref="E21">_xlfn.XLOOKUP(B21,_xlfn.SORTBY(Table15[Name],Table15[Total],-1),$A$2:$A$27)</f>
        <v>20</v>
      </c>
      <c r="F21" s="94">
        <f>Table15[[#This Row],[Previous race Ranking]]-Table15[[#This Row],[Current ranking]]</f>
        <v>0</v>
      </c>
      <c r="G21" s="85">
        <f t="shared" si="0"/>
        <v>0</v>
      </c>
      <c r="H21" s="9" cm="1">
        <f t="array" ref="H21">IFERROR(_xlfn.XLOOKUP(1,(Table15[[#This Row],[Brazil - 5 November]]=Points!$B:$B)*(Table15[[#Headers],[Saudi Arabia - 19 March]]=Points!$C:$C),Points!$J:$J,0,0,-1),0)</f>
        <v>0</v>
      </c>
      <c r="I21" s="9" cm="1">
        <f t="array" ref="I21">IFERROR(_xlfn.XLOOKUP(1,(Table15[[#This Row],[Las Vegas - 18 November]]=Points!$B:$B)*(Table15[[#Headers],[Australia - 2 April]]=Points!$C:$C),Points!$J:$J,0,0,-1),0)</f>
        <v>0</v>
      </c>
      <c r="J21" s="9" cm="1">
        <f t="array" ref="J21">IFERROR(_xlfn.XLOOKUP(1,(Table15[[#This Row],[Abu Dhabi - 26 November]]=Points!$B:$B)*(Table15[[#Headers],[Azerbaijan - 30 April]]=Points!$C:$C),Points!$J:$J,0,0,-1),0)</f>
        <v>0</v>
      </c>
      <c r="K21" s="9" cm="1">
        <f t="array" ref="K21">IFERROR(_xlfn.XLOOKUP(1,(Table15[[#This Row],[Name]]=Points!$B:$B)*(Table15[[#Headers],[Miami - 7 May]]=Points!$C:$C),Points!$J:$J,0,0,-1),0)</f>
        <v>0</v>
      </c>
      <c r="L21" s="9" cm="1">
        <f t="array" ref="L21">IFERROR(_xlfn.XLOOKUP(1,(Table15[[#This Row],[Name]]=Points!$B:$B)*(Table15[[#Headers],[Italy - 21 May]]=Points!$C:$C),Points!$J:$J,0,0,-1),0)</f>
        <v>0</v>
      </c>
      <c r="M21" s="9" cm="1">
        <f t="array" ref="M21">IFERROR(_xlfn.XLOOKUP(1,(Table15[[#This Row],[Name]]=Points!$B:$B)*(Table15[[#Headers],[Monaco - 28 May]]=Points!$C:$C),Points!$J:$J,0,0,-1),0)</f>
        <v>0</v>
      </c>
      <c r="N21" s="9" cm="1">
        <f t="array" ref="N21">IFERROR(_xlfn.XLOOKUP(1,(Table15[[#This Row],[Name]]=Points!$B:$B)*(Table15[[#Headers],[Spain - 4 June]]=Points!$C:$C),Points!$J:$J,0,0,-1),0)</f>
        <v>0</v>
      </c>
      <c r="O21" s="9" cm="1">
        <f t="array" ref="O21">IFERROR(_xlfn.XLOOKUP(1,(Table15[[#This Row],[Name]]=Points!$B:$B)*(Table15[[#Headers],[Canada - 18 June]]=Points!$C:$C),Points!$J:$J,0,0,-1),0)</f>
        <v>0</v>
      </c>
      <c r="P21" s="9" cm="1">
        <f t="array" ref="P21">IFERROR(_xlfn.XLOOKUP(1,(Table15[[#This Row],[Name]]=Points!$B:$B)*(Table15[[#Headers],[Austria - 2 July]]=Points!$C:$C),Points!$J:$J,0,0,-1),0)</f>
        <v>0</v>
      </c>
      <c r="Q21" s="9" cm="1">
        <f t="array" ref="Q21">IFERROR(_xlfn.XLOOKUP(1,(Table15[[#This Row],[Name]]=Points!$B:$B)*(Table15[[#Headers],[Great Britain - 9 July]]=Points!$C:$C),Points!$J:$J,0,0,-1),0)</f>
        <v>0</v>
      </c>
      <c r="R21" s="9" cm="1">
        <f t="array" ref="R21">IFERROR(_xlfn.XLOOKUP(1,(Table15[[#This Row],[Name]]=Points!$B:$B)*(Table15[[#Headers],[Hungary - 23 July]]=Points!$C:$C),Points!$J:$J,0,0,-1),0)</f>
        <v>0</v>
      </c>
      <c r="S21" s="9" cm="1">
        <f t="array" ref="S21">IFERROR(_xlfn.XLOOKUP(1,(Table15[[#This Row],[Name]]=Points!$B:$B)*(Table15[[#Headers],[Belgium - 30 July]]=Points!$C:$C),Points!$J:$J,0,0,-1),0)</f>
        <v>0</v>
      </c>
      <c r="T21" s="9" cm="1">
        <f t="array" ref="T21">IFERROR(_xlfn.XLOOKUP(1,(Table15[[#This Row],[Name]]=Points!$B:$B)*(Table15[[#Headers],[Netherlands - 27 August]]=Points!$C:$C),Points!$J:$J,0,0,-1),0)</f>
        <v>0</v>
      </c>
      <c r="U21" s="9" cm="1">
        <f t="array" ref="U21">IFERROR(_xlfn.XLOOKUP(1,(Table15[[#This Row],[Name]]=Points!$B:$B)*(Table15[[#Headers],[Italy - 3 September]]=Points!$C:$C),Points!$J:$J,0,0,-1),0)</f>
        <v>0</v>
      </c>
      <c r="V21" s="9" cm="1">
        <f t="array" ref="V21">IFERROR(_xlfn.XLOOKUP(1,(Table15[[#This Row],[Name]]=Points!$B:$B)*(Table15[[#Headers],[Singapore - 17 September]]=Points!$C:$C),Points!$J:$J,0,0,-1),0)</f>
        <v>0</v>
      </c>
      <c r="W21" s="9" cm="1">
        <f t="array" ref="W21">IFERROR(_xlfn.XLOOKUP(1,(Table15[[#This Row],[Name]]=Points!$B:$B)*(Table15[[#Headers],[Japan - 24 September]]=Points!$C:$C),Points!$J:$J,0,0,-1),0)</f>
        <v>0</v>
      </c>
      <c r="X21" s="9" cm="1">
        <f t="array" ref="X21">IFERROR(_xlfn.XLOOKUP(1,(Table15[[#This Row],[Name]]=Points!$B:$B)*(Table15[[#Headers],[Qatar - 8 October]]=Points!$C:$C),Points!$J:$J,0,0,-1),0)</f>
        <v>0</v>
      </c>
      <c r="Y21" s="9" cm="1">
        <f t="array" ref="Y21">IFERROR(_xlfn.XLOOKUP(1,(Table15[[#This Row],[Name]]=Points!$B:$B)*(Table15[[#Headers],[United States - 22 October]]=Points!$C:$C),Points!$J:$J,0,0,-1),0)</f>
        <v>0</v>
      </c>
      <c r="Z21" s="9" cm="1">
        <f t="array" ref="Z21">IFERROR(_xlfn.XLOOKUP(1,(Table15[[#This Row],[Name]]=Points!$B:$B)*(Table15[[#Headers],[Mexico - 29 October]]=Points!$C:$C),Points!$J:$J,0,0,-1),0)</f>
        <v>0</v>
      </c>
      <c r="AA21" s="9" cm="1">
        <f t="array" ref="AA21">IFERROR(_xlfn.XLOOKUP(1,(Table15[[#This Row],[Name]]=Points!$B:$B)*(Table15[[#Headers],[Brazil - 5 November]]=Points!$C:$C),Points!$J:$J,0,0,-1),0)</f>
        <v>0</v>
      </c>
      <c r="AB21" s="9" cm="1">
        <f t="array" ref="AB21">IFERROR(_xlfn.XLOOKUP(1,(Table15[[#This Row],[Name]]=Points!$B:$B)*(Table15[[#Headers],[Las Vegas - 18 November]]=Points!$C:$C),Points!$J:$J,0,0,-1),0)</f>
        <v>0</v>
      </c>
      <c r="AC21" s="9" cm="1">
        <f t="array" ref="AC21">IFERROR(_xlfn.XLOOKUP(1,(Table15[[#This Row],[Name]]=Points!$B:$B)*(Table15[[#Headers],[Abu Dhabi - 26 November]]=Points!$C:$C),Points!$J:$J,0,0,-1),0)</f>
        <v>0</v>
      </c>
    </row>
    <row r="22" spans="1:29" ht="15.6" x14ac:dyDescent="0.3">
      <c r="A22" s="4">
        <v>21</v>
      </c>
      <c r="B22" t="s">
        <v>68</v>
      </c>
      <c r="C22" cm="1">
        <f t="array" ref="C22">Table15[[#This Row],[Total]]-_xlfn.XLOOKUP($G$35,$H$36:$AC$36,Table15[[#This Row],[Saudi Arabia - 19 March]:[Abu Dhabi - 26 November]])</f>
        <v>0</v>
      </c>
      <c r="D22" cm="1">
        <f t="array" ref="D22">_xlfn.XLOOKUP(B22,_xlfn.SORTBY(Table15[Name],Table15[Previous Race Total],-1),$A$2:$A$27)</f>
        <v>21</v>
      </c>
      <c r="E22" cm="1">
        <f t="array" ref="E22">_xlfn.XLOOKUP(B22,_xlfn.SORTBY(Table15[Name],Table15[Total],-1),$A$2:$A$27)</f>
        <v>21</v>
      </c>
      <c r="F22" s="94">
        <f>Table15[[#This Row],[Previous race Ranking]]-Table15[[#This Row],[Current ranking]]</f>
        <v>0</v>
      </c>
      <c r="G22" s="85">
        <f t="shared" si="0"/>
        <v>0</v>
      </c>
      <c r="H22" s="9" cm="1">
        <f t="array" ref="H22">IFERROR(_xlfn.XLOOKUP(1,(Table15[[#This Row],[Brazil - 5 November]]=Points!$B:$B)*(Table15[[#Headers],[Saudi Arabia - 19 March]]=Points!$C:$C),Points!$J:$J,0,0,-1),0)</f>
        <v>0</v>
      </c>
      <c r="I22" s="9" cm="1">
        <f t="array" ref="I22">IFERROR(_xlfn.XLOOKUP(1,(Table15[[#This Row],[Las Vegas - 18 November]]=Points!$B:$B)*(Table15[[#Headers],[Australia - 2 April]]=Points!$C:$C),Points!$J:$J,0,0,-1),0)</f>
        <v>0</v>
      </c>
      <c r="J22" s="9" cm="1">
        <f t="array" ref="J22">IFERROR(_xlfn.XLOOKUP(1,(Table15[[#This Row],[Abu Dhabi - 26 November]]=Points!$B:$B)*(Table15[[#Headers],[Azerbaijan - 30 April]]=Points!$C:$C),Points!$J:$J,0,0,-1),0)</f>
        <v>0</v>
      </c>
      <c r="K22" s="9" cm="1">
        <f t="array" ref="K22">IFERROR(_xlfn.XLOOKUP(1,(Table15[[#This Row],[Name]]=Points!$B:$B)*(Table15[[#Headers],[Miami - 7 May]]=Points!$C:$C),Points!$J:$J,0,0,-1),0)</f>
        <v>0</v>
      </c>
      <c r="L22" s="9" cm="1">
        <f t="array" ref="L22">IFERROR(_xlfn.XLOOKUP(1,(Table15[[#This Row],[Name]]=Points!$B:$B)*(Table15[[#Headers],[Italy - 21 May]]=Points!$C:$C),Points!$J:$J,0,0,-1),0)</f>
        <v>0</v>
      </c>
      <c r="M22" s="9" cm="1">
        <f t="array" ref="M22">IFERROR(_xlfn.XLOOKUP(1,(Table15[[#This Row],[Name]]=Points!$B:$B)*(Table15[[#Headers],[Monaco - 28 May]]=Points!$C:$C),Points!$J:$J,0,0,-1),0)</f>
        <v>0</v>
      </c>
      <c r="N22" s="9" cm="1">
        <f t="array" ref="N22">IFERROR(_xlfn.XLOOKUP(1,(Table15[[#This Row],[Name]]=Points!$B:$B)*(Table15[[#Headers],[Spain - 4 June]]=Points!$C:$C),Points!$J:$J,0,0,-1),0)</f>
        <v>0</v>
      </c>
      <c r="O22" s="9" cm="1">
        <f t="array" ref="O22">IFERROR(_xlfn.XLOOKUP(1,(Table15[[#This Row],[Name]]=Points!$B:$B)*(Table15[[#Headers],[Canada - 18 June]]=Points!$C:$C),Points!$J:$J,0,0,-1),0)</f>
        <v>0</v>
      </c>
      <c r="P22" s="9" cm="1">
        <f t="array" ref="P22">IFERROR(_xlfn.XLOOKUP(1,(Table15[[#This Row],[Name]]=Points!$B:$B)*(Table15[[#Headers],[Austria - 2 July]]=Points!$C:$C),Points!$J:$J,0,0,-1),0)</f>
        <v>0</v>
      </c>
      <c r="Q22" s="9" cm="1">
        <f t="array" ref="Q22">IFERROR(_xlfn.XLOOKUP(1,(Table15[[#This Row],[Name]]=Points!$B:$B)*(Table15[[#Headers],[Great Britain - 9 July]]=Points!$C:$C),Points!$J:$J,0,0,-1),0)</f>
        <v>0</v>
      </c>
      <c r="R22" s="9" cm="1">
        <f t="array" ref="R22">IFERROR(_xlfn.XLOOKUP(1,(Table15[[#This Row],[Name]]=Points!$B:$B)*(Table15[[#Headers],[Hungary - 23 July]]=Points!$C:$C),Points!$J:$J,0,0,-1),0)</f>
        <v>0</v>
      </c>
      <c r="S22" s="9" cm="1">
        <f t="array" ref="S22">IFERROR(_xlfn.XLOOKUP(1,(Table15[[#This Row],[Name]]=Points!$B:$B)*(Table15[[#Headers],[Belgium - 30 July]]=Points!$C:$C),Points!$J:$J,0,0,-1),0)</f>
        <v>0</v>
      </c>
      <c r="T22" s="9" cm="1">
        <f t="array" ref="T22">IFERROR(_xlfn.XLOOKUP(1,(Table15[[#This Row],[Name]]=Points!$B:$B)*(Table15[[#Headers],[Netherlands - 27 August]]=Points!$C:$C),Points!$J:$J,0,0,-1),0)</f>
        <v>0</v>
      </c>
      <c r="U22" s="9" cm="1">
        <f t="array" ref="U22">IFERROR(_xlfn.XLOOKUP(1,(Table15[[#This Row],[Name]]=Points!$B:$B)*(Table15[[#Headers],[Italy - 3 September]]=Points!$C:$C),Points!$J:$J,0,0,-1),0)</f>
        <v>0</v>
      </c>
      <c r="V22" s="9" cm="1">
        <f t="array" ref="V22">IFERROR(_xlfn.XLOOKUP(1,(Table15[[#This Row],[Name]]=Points!$B:$B)*(Table15[[#Headers],[Singapore - 17 September]]=Points!$C:$C),Points!$J:$J,0,0,-1),0)</f>
        <v>0</v>
      </c>
      <c r="W22" s="9" cm="1">
        <f t="array" ref="W22">IFERROR(_xlfn.XLOOKUP(1,(Table15[[#This Row],[Name]]=Points!$B:$B)*(Table15[[#Headers],[Japan - 24 September]]=Points!$C:$C),Points!$J:$J,0,0,-1),0)</f>
        <v>0</v>
      </c>
      <c r="X22" s="9" cm="1">
        <f t="array" ref="X22">IFERROR(_xlfn.XLOOKUP(1,(Table15[[#This Row],[Name]]=Points!$B:$B)*(Table15[[#Headers],[Qatar - 8 October]]=Points!$C:$C),Points!$J:$J,0,0,-1),0)</f>
        <v>0</v>
      </c>
      <c r="Y22" s="9" cm="1">
        <f t="array" ref="Y22">IFERROR(_xlfn.XLOOKUP(1,(Table15[[#This Row],[Name]]=Points!$B:$B)*(Table15[[#Headers],[United States - 22 October]]=Points!$C:$C),Points!$J:$J,0,0,-1),0)</f>
        <v>0</v>
      </c>
      <c r="Z22" s="9" cm="1">
        <f t="array" ref="Z22">IFERROR(_xlfn.XLOOKUP(1,(Table15[[#This Row],[Name]]=Points!$B:$B)*(Table15[[#Headers],[Mexico - 29 October]]=Points!$C:$C),Points!$J:$J,0,0,-1),0)</f>
        <v>0</v>
      </c>
      <c r="AA22" s="9" cm="1">
        <f t="array" ref="AA22">IFERROR(_xlfn.XLOOKUP(1,(Table15[[#This Row],[Name]]=Points!$B:$B)*(Table15[[#Headers],[Brazil - 5 November]]=Points!$C:$C),Points!$J:$J,0,0,-1),0)</f>
        <v>0</v>
      </c>
      <c r="AB22" s="9" cm="1">
        <f t="array" ref="AB22">IFERROR(_xlfn.XLOOKUP(1,(Table15[[#This Row],[Name]]=Points!$B:$B)*(Table15[[#Headers],[Las Vegas - 18 November]]=Points!$C:$C),Points!$J:$J,0,0,-1),0)</f>
        <v>0</v>
      </c>
      <c r="AC22" s="9" cm="1">
        <f t="array" ref="AC22">IFERROR(_xlfn.XLOOKUP(1,(Table15[[#This Row],[Name]]=Points!$B:$B)*(Table15[[#Headers],[Abu Dhabi - 26 November]]=Points!$C:$C),Points!$J:$J,0,0,-1),0)</f>
        <v>0</v>
      </c>
    </row>
    <row r="23" spans="1:29" ht="15.6" x14ac:dyDescent="0.3">
      <c r="A23" s="4">
        <v>22</v>
      </c>
      <c r="B23" t="s">
        <v>67</v>
      </c>
      <c r="C23" cm="1">
        <f t="array" ref="C23">Table15[[#This Row],[Total]]-_xlfn.XLOOKUP($G$35,$H$36:$AC$36,Table15[[#This Row],[Saudi Arabia - 19 March]:[Abu Dhabi - 26 November]])</f>
        <v>0</v>
      </c>
      <c r="D23" cm="1">
        <f t="array" ref="D23">_xlfn.XLOOKUP(B23,_xlfn.SORTBY(Table15[Name],Table15[Previous Race Total],-1),$A$2:$A$27)</f>
        <v>22</v>
      </c>
      <c r="E23" cm="1">
        <f t="array" ref="E23">_xlfn.XLOOKUP(B23,_xlfn.SORTBY(Table15[Name],Table15[Total],-1),$A$2:$A$27)</f>
        <v>22</v>
      </c>
      <c r="F23" s="94">
        <f>Table15[[#This Row],[Previous race Ranking]]-Table15[[#This Row],[Current ranking]]</f>
        <v>0</v>
      </c>
      <c r="G23" s="85">
        <f t="shared" si="0"/>
        <v>0</v>
      </c>
      <c r="H23" s="9" cm="1">
        <f t="array" ref="H23">IFERROR(_xlfn.XLOOKUP(1,(Table15[[#This Row],[Brazil - 5 November]]=Points!$B:$B)*(Table15[[#Headers],[Saudi Arabia - 19 March]]=Points!$C:$C),Points!$J:$J,0,0,-1),0)</f>
        <v>0</v>
      </c>
      <c r="I23" s="9" cm="1">
        <f t="array" ref="I23">IFERROR(_xlfn.XLOOKUP(1,(Table15[[#This Row],[Las Vegas - 18 November]]=Points!$B:$B)*(Table15[[#Headers],[Australia - 2 April]]=Points!$C:$C),Points!$J:$J,0,0,-1),0)</f>
        <v>0</v>
      </c>
      <c r="J23" s="9" cm="1">
        <f t="array" ref="J23">IFERROR(_xlfn.XLOOKUP(1,(Table15[[#This Row],[Abu Dhabi - 26 November]]=Points!$B:$B)*(Table15[[#Headers],[Azerbaijan - 30 April]]=Points!$C:$C),Points!$J:$J,0,0,-1),0)</f>
        <v>0</v>
      </c>
      <c r="K23" s="9" cm="1">
        <f t="array" ref="K23">IFERROR(_xlfn.XLOOKUP(1,(Table15[[#This Row],[Name]]=Points!$B:$B)*(Table15[[#Headers],[Miami - 7 May]]=Points!$C:$C),Points!$J:$J,0,0,-1),0)</f>
        <v>0</v>
      </c>
      <c r="L23" s="9" cm="1">
        <f t="array" ref="L23">IFERROR(_xlfn.XLOOKUP(1,(Table15[[#This Row],[Name]]=Points!$B:$B)*(Table15[[#Headers],[Italy - 21 May]]=Points!$C:$C),Points!$J:$J,0,0,-1),0)</f>
        <v>0</v>
      </c>
      <c r="M23" s="9" cm="1">
        <f t="array" ref="M23">IFERROR(_xlfn.XLOOKUP(1,(Table15[[#This Row],[Name]]=Points!$B:$B)*(Table15[[#Headers],[Monaco - 28 May]]=Points!$C:$C),Points!$J:$J,0,0,-1),0)</f>
        <v>0</v>
      </c>
      <c r="N23" s="9" cm="1">
        <f t="array" ref="N23">IFERROR(_xlfn.XLOOKUP(1,(Table15[[#This Row],[Name]]=Points!$B:$B)*(Table15[[#Headers],[Spain - 4 June]]=Points!$C:$C),Points!$J:$J,0,0,-1),0)</f>
        <v>0</v>
      </c>
      <c r="O23" s="9" cm="1">
        <f t="array" ref="O23">IFERROR(_xlfn.XLOOKUP(1,(Table15[[#This Row],[Name]]=Points!$B:$B)*(Table15[[#Headers],[Canada - 18 June]]=Points!$C:$C),Points!$J:$J,0,0,-1),0)</f>
        <v>0</v>
      </c>
      <c r="P23" s="9" cm="1">
        <f t="array" ref="P23">IFERROR(_xlfn.XLOOKUP(1,(Table15[[#This Row],[Name]]=Points!$B:$B)*(Table15[[#Headers],[Austria - 2 July]]=Points!$C:$C),Points!$J:$J,0,0,-1),0)</f>
        <v>0</v>
      </c>
      <c r="Q23" s="9" cm="1">
        <f t="array" ref="Q23">IFERROR(_xlfn.XLOOKUP(1,(Table15[[#This Row],[Name]]=Points!$B:$B)*(Table15[[#Headers],[Great Britain - 9 July]]=Points!$C:$C),Points!$J:$J,0,0,-1),0)</f>
        <v>0</v>
      </c>
      <c r="R23" s="9" cm="1">
        <f t="array" ref="R23">IFERROR(_xlfn.XLOOKUP(1,(Table15[[#This Row],[Name]]=Points!$B:$B)*(Table15[[#Headers],[Hungary - 23 July]]=Points!$C:$C),Points!$J:$J,0,0,-1),0)</f>
        <v>0</v>
      </c>
      <c r="S23" s="9" cm="1">
        <f t="array" ref="S23">IFERROR(_xlfn.XLOOKUP(1,(Table15[[#This Row],[Name]]=Points!$B:$B)*(Table15[[#Headers],[Belgium - 30 July]]=Points!$C:$C),Points!$J:$J,0,0,-1),0)</f>
        <v>0</v>
      </c>
      <c r="T23" s="9" cm="1">
        <f t="array" ref="T23">IFERROR(_xlfn.XLOOKUP(1,(Table15[[#This Row],[Name]]=Points!$B:$B)*(Table15[[#Headers],[Netherlands - 27 August]]=Points!$C:$C),Points!$J:$J,0,0,-1),0)</f>
        <v>0</v>
      </c>
      <c r="U23" s="9" cm="1">
        <f t="array" ref="U23">IFERROR(_xlfn.XLOOKUP(1,(Table15[[#This Row],[Name]]=Points!$B:$B)*(Table15[[#Headers],[Italy - 3 September]]=Points!$C:$C),Points!$J:$J,0,0,-1),0)</f>
        <v>0</v>
      </c>
      <c r="V23" s="9" cm="1">
        <f t="array" ref="V23">IFERROR(_xlfn.XLOOKUP(1,(Table15[[#This Row],[Name]]=Points!$B:$B)*(Table15[[#Headers],[Singapore - 17 September]]=Points!$C:$C),Points!$J:$J,0,0,-1),0)</f>
        <v>0</v>
      </c>
      <c r="W23" s="9" cm="1">
        <f t="array" ref="W23">IFERROR(_xlfn.XLOOKUP(1,(Table15[[#This Row],[Name]]=Points!$B:$B)*(Table15[[#Headers],[Japan - 24 September]]=Points!$C:$C),Points!$J:$J,0,0,-1),0)</f>
        <v>0</v>
      </c>
      <c r="X23" s="9" cm="1">
        <f t="array" ref="X23">IFERROR(_xlfn.XLOOKUP(1,(Table15[[#This Row],[Name]]=Points!$B:$B)*(Table15[[#Headers],[Qatar - 8 October]]=Points!$C:$C),Points!$J:$J,0,0,-1),0)</f>
        <v>0</v>
      </c>
      <c r="Y23" s="9" cm="1">
        <f t="array" ref="Y23">IFERROR(_xlfn.XLOOKUP(1,(Table15[[#This Row],[Name]]=Points!$B:$B)*(Table15[[#Headers],[United States - 22 October]]=Points!$C:$C),Points!$J:$J,0,0,-1),0)</f>
        <v>0</v>
      </c>
      <c r="Z23" s="9" cm="1">
        <f t="array" ref="Z23">IFERROR(_xlfn.XLOOKUP(1,(Table15[[#This Row],[Name]]=Points!$B:$B)*(Table15[[#Headers],[Mexico - 29 October]]=Points!$C:$C),Points!$J:$J,0,0,-1),0)</f>
        <v>0</v>
      </c>
      <c r="AA23" s="9" cm="1">
        <f t="array" ref="AA23">IFERROR(_xlfn.XLOOKUP(1,(Table15[[#This Row],[Name]]=Points!$B:$B)*(Table15[[#Headers],[Brazil - 5 November]]=Points!$C:$C),Points!$J:$J,0,0,-1),0)</f>
        <v>0</v>
      </c>
      <c r="AB23" s="9" cm="1">
        <f t="array" ref="AB23">IFERROR(_xlfn.XLOOKUP(1,(Table15[[#This Row],[Name]]=Points!$B:$B)*(Table15[[#Headers],[Las Vegas - 18 November]]=Points!$C:$C),Points!$J:$J,0,0,-1),0)</f>
        <v>0</v>
      </c>
      <c r="AC23" s="9" cm="1">
        <f t="array" ref="AC23">IFERROR(_xlfn.XLOOKUP(1,(Table15[[#This Row],[Name]]=Points!$B:$B)*(Table15[[#Headers],[Abu Dhabi - 26 November]]=Points!$C:$C),Points!$J:$J,0,0,-1),0)</f>
        <v>0</v>
      </c>
    </row>
    <row r="24" spans="1:29" ht="15.6" x14ac:dyDescent="0.3">
      <c r="A24" s="4">
        <v>23</v>
      </c>
      <c r="B24" t="s">
        <v>63</v>
      </c>
      <c r="C24" cm="1">
        <f t="array" ref="C24">Table15[[#This Row],[Total]]-_xlfn.XLOOKUP($G$35,$H$36:$AC$36,Table15[[#This Row],[Saudi Arabia - 19 March]:[Abu Dhabi - 26 November]])</f>
        <v>0</v>
      </c>
      <c r="D24" cm="1">
        <f t="array" ref="D24">_xlfn.XLOOKUP(B24,_xlfn.SORTBY(Table15[Name],Table15[Previous Race Total],-1),$A$2:$A$27)</f>
        <v>23</v>
      </c>
      <c r="E24" cm="1">
        <f t="array" ref="E24">_xlfn.XLOOKUP(B24,_xlfn.SORTBY(Table15[Name],Table15[Total],-1),$A$2:$A$27)</f>
        <v>23</v>
      </c>
      <c r="F24" s="94">
        <f>Table15[[#This Row],[Previous race Ranking]]-Table15[[#This Row],[Current ranking]]</f>
        <v>0</v>
      </c>
      <c r="G24" s="85">
        <f t="shared" si="0"/>
        <v>0</v>
      </c>
      <c r="H24" s="9" cm="1">
        <f t="array" ref="H24">IFERROR(_xlfn.XLOOKUP(1,(Table15[[#This Row],[Brazil - 5 November]]=Points!$B:$B)*(Table15[[#Headers],[Saudi Arabia - 19 March]]=Points!$C:$C),Points!$J:$J,0,0,-1),0)</f>
        <v>0</v>
      </c>
      <c r="I24" s="9" cm="1">
        <f t="array" ref="I24">IFERROR(_xlfn.XLOOKUP(1,(Table15[[#This Row],[Las Vegas - 18 November]]=Points!$B:$B)*(Table15[[#Headers],[Australia - 2 April]]=Points!$C:$C),Points!$J:$J,0,0,-1),0)</f>
        <v>0</v>
      </c>
      <c r="J24" s="9" cm="1">
        <f t="array" ref="J24">IFERROR(_xlfn.XLOOKUP(1,(Table15[[#This Row],[Abu Dhabi - 26 November]]=Points!$B:$B)*(Table15[[#Headers],[Azerbaijan - 30 April]]=Points!$C:$C),Points!$J:$J,0,0,-1),0)</f>
        <v>0</v>
      </c>
      <c r="K24" s="9" cm="1">
        <f t="array" ref="K24">IFERROR(_xlfn.XLOOKUP(1,(Table15[[#This Row],[Name]]=Points!$B:$B)*(Table15[[#Headers],[Miami - 7 May]]=Points!$C:$C),Points!$J:$J,0,0,-1),0)</f>
        <v>0</v>
      </c>
      <c r="L24" s="9" cm="1">
        <f t="array" ref="L24">IFERROR(_xlfn.XLOOKUP(1,(Table15[[#This Row],[Name]]=Points!$B:$B)*(Table15[[#Headers],[Italy - 21 May]]=Points!$C:$C),Points!$J:$J,0,0,-1),0)</f>
        <v>0</v>
      </c>
      <c r="M24" s="9" cm="1">
        <f t="array" ref="M24">IFERROR(_xlfn.XLOOKUP(1,(Table15[[#This Row],[Name]]=Points!$B:$B)*(Table15[[#Headers],[Monaco - 28 May]]=Points!$C:$C),Points!$J:$J,0,0,-1),0)</f>
        <v>0</v>
      </c>
      <c r="N24" s="9" cm="1">
        <f t="array" ref="N24">IFERROR(_xlfn.XLOOKUP(1,(Table15[[#This Row],[Name]]=Points!$B:$B)*(Table15[[#Headers],[Spain - 4 June]]=Points!$C:$C),Points!$J:$J,0,0,-1),0)</f>
        <v>0</v>
      </c>
      <c r="O24" s="9" cm="1">
        <f t="array" ref="O24">IFERROR(_xlfn.XLOOKUP(1,(Table15[[#This Row],[Name]]=Points!$B:$B)*(Table15[[#Headers],[Canada - 18 June]]=Points!$C:$C),Points!$J:$J,0,0,-1),0)</f>
        <v>0</v>
      </c>
      <c r="P24" s="9" cm="1">
        <f t="array" ref="P24">IFERROR(_xlfn.XLOOKUP(1,(Table15[[#This Row],[Name]]=Points!$B:$B)*(Table15[[#Headers],[Austria - 2 July]]=Points!$C:$C),Points!$J:$J,0,0,-1),0)</f>
        <v>0</v>
      </c>
      <c r="Q24" s="9" cm="1">
        <f t="array" ref="Q24">IFERROR(_xlfn.XLOOKUP(1,(Table15[[#This Row],[Name]]=Points!$B:$B)*(Table15[[#Headers],[Great Britain - 9 July]]=Points!$C:$C),Points!$J:$J,0,0,-1),0)</f>
        <v>0</v>
      </c>
      <c r="R24" s="9" cm="1">
        <f t="array" ref="R24">IFERROR(_xlfn.XLOOKUP(1,(Table15[[#This Row],[Name]]=Points!$B:$B)*(Table15[[#Headers],[Hungary - 23 July]]=Points!$C:$C),Points!$J:$J,0,0,-1),0)</f>
        <v>0</v>
      </c>
      <c r="S24" s="9" cm="1">
        <f t="array" ref="S24">IFERROR(_xlfn.XLOOKUP(1,(Table15[[#This Row],[Name]]=Points!$B:$B)*(Table15[[#Headers],[Belgium - 30 July]]=Points!$C:$C),Points!$J:$J,0,0,-1),0)</f>
        <v>0</v>
      </c>
      <c r="T24" s="9" cm="1">
        <f t="array" ref="T24">IFERROR(_xlfn.XLOOKUP(1,(Table15[[#This Row],[Name]]=Points!$B:$B)*(Table15[[#Headers],[Netherlands - 27 August]]=Points!$C:$C),Points!$J:$J,0,0,-1),0)</f>
        <v>0</v>
      </c>
      <c r="U24" s="9" cm="1">
        <f t="array" ref="U24">IFERROR(_xlfn.XLOOKUP(1,(Table15[[#This Row],[Name]]=Points!$B:$B)*(Table15[[#Headers],[Italy - 3 September]]=Points!$C:$C),Points!$J:$J,0,0,-1),0)</f>
        <v>0</v>
      </c>
      <c r="V24" s="9" cm="1">
        <f t="array" ref="V24">IFERROR(_xlfn.XLOOKUP(1,(Table15[[#This Row],[Name]]=Points!$B:$B)*(Table15[[#Headers],[Singapore - 17 September]]=Points!$C:$C),Points!$J:$J,0,0,-1),0)</f>
        <v>0</v>
      </c>
      <c r="W24" s="9" cm="1">
        <f t="array" ref="W24">IFERROR(_xlfn.XLOOKUP(1,(Table15[[#This Row],[Name]]=Points!$B:$B)*(Table15[[#Headers],[Japan - 24 September]]=Points!$C:$C),Points!$J:$J,0,0,-1),0)</f>
        <v>0</v>
      </c>
      <c r="X24" s="9" cm="1">
        <f t="array" ref="X24">IFERROR(_xlfn.XLOOKUP(1,(Table15[[#This Row],[Name]]=Points!$B:$B)*(Table15[[#Headers],[Qatar - 8 October]]=Points!$C:$C),Points!$J:$J,0,0,-1),0)</f>
        <v>0</v>
      </c>
      <c r="Y24" s="9" cm="1">
        <f t="array" ref="Y24">IFERROR(_xlfn.XLOOKUP(1,(Table15[[#This Row],[Name]]=Points!$B:$B)*(Table15[[#Headers],[United States - 22 October]]=Points!$C:$C),Points!$J:$J,0,0,-1),0)</f>
        <v>0</v>
      </c>
      <c r="Z24" s="9" cm="1">
        <f t="array" ref="Z24">IFERROR(_xlfn.XLOOKUP(1,(Table15[[#This Row],[Name]]=Points!$B:$B)*(Table15[[#Headers],[Mexico - 29 October]]=Points!$C:$C),Points!$J:$J,0,0,-1),0)</f>
        <v>0</v>
      </c>
      <c r="AA24" s="9" cm="1">
        <f t="array" ref="AA24">IFERROR(_xlfn.XLOOKUP(1,(Table15[[#This Row],[Name]]=Points!$B:$B)*(Table15[[#Headers],[Brazil - 5 November]]=Points!$C:$C),Points!$J:$J,0,0,-1),0)</f>
        <v>0</v>
      </c>
      <c r="AB24" s="9" cm="1">
        <f t="array" ref="AB24">IFERROR(_xlfn.XLOOKUP(1,(Table15[[#This Row],[Name]]=Points!$B:$B)*(Table15[[#Headers],[Las Vegas - 18 November]]=Points!$C:$C),Points!$J:$J,0,0,-1),0)</f>
        <v>0</v>
      </c>
      <c r="AC24" s="9" cm="1">
        <f t="array" ref="AC24">IFERROR(_xlfn.XLOOKUP(1,(Table15[[#This Row],[Name]]=Points!$B:$B)*(Table15[[#Headers],[Abu Dhabi - 26 November]]=Points!$C:$C),Points!$J:$J,0,0,-1),0)</f>
        <v>0</v>
      </c>
    </row>
    <row r="25" spans="1:29" ht="15.6" x14ac:dyDescent="0.3">
      <c r="A25" s="4">
        <v>24</v>
      </c>
      <c r="B25" t="s">
        <v>69</v>
      </c>
      <c r="C25" cm="1">
        <f t="array" ref="C25">Table15[[#This Row],[Total]]-_xlfn.XLOOKUP($G$35,$H$36:$AC$36,Table15[[#This Row],[Saudi Arabia - 19 March]:[Abu Dhabi - 26 November]])</f>
        <v>0</v>
      </c>
      <c r="D25" cm="1">
        <f t="array" ref="D25">_xlfn.XLOOKUP(B25,_xlfn.SORTBY(Table15[Name],Table15[Previous Race Total],-1),$A$2:$A$27)</f>
        <v>24</v>
      </c>
      <c r="E25" cm="1">
        <f t="array" ref="E25">_xlfn.XLOOKUP(B25,_xlfn.SORTBY(Table15[Name],Table15[Total],-1),$A$2:$A$27)</f>
        <v>24</v>
      </c>
      <c r="F25" s="94">
        <f>Table15[[#This Row],[Previous race Ranking]]-Table15[[#This Row],[Current ranking]]</f>
        <v>0</v>
      </c>
      <c r="G25" s="85">
        <f t="shared" si="0"/>
        <v>0</v>
      </c>
      <c r="H25" s="9" cm="1">
        <f t="array" ref="H25">IFERROR(_xlfn.XLOOKUP(1,(Table15[[#This Row],[Brazil - 5 November]]=Points!$B:$B)*(Table15[[#Headers],[Saudi Arabia - 19 March]]=Points!$C:$C),Points!$J:$J,0,0,-1),0)</f>
        <v>0</v>
      </c>
      <c r="I25" s="9" cm="1">
        <f t="array" ref="I25">IFERROR(_xlfn.XLOOKUP(1,(Table15[[#This Row],[Las Vegas - 18 November]]=Points!$B:$B)*(Table15[[#Headers],[Australia - 2 April]]=Points!$C:$C),Points!$J:$J,0,0,-1),0)</f>
        <v>0</v>
      </c>
      <c r="J25" s="9" cm="1">
        <f t="array" ref="J25">IFERROR(_xlfn.XLOOKUP(1,(Table15[[#This Row],[Abu Dhabi - 26 November]]=Points!$B:$B)*(Table15[[#Headers],[Azerbaijan - 30 April]]=Points!$C:$C),Points!$J:$J,0,0,-1),0)</f>
        <v>0</v>
      </c>
      <c r="K25" s="9" cm="1">
        <f t="array" ref="K25">IFERROR(_xlfn.XLOOKUP(1,(Table15[[#This Row],[Name]]=Points!$B:$B)*(Table15[[#Headers],[Miami - 7 May]]=Points!$C:$C),Points!$J:$J,0,0,-1),0)</f>
        <v>0</v>
      </c>
      <c r="L25" s="9" cm="1">
        <f t="array" ref="L25">IFERROR(_xlfn.XLOOKUP(1,(Table15[[#This Row],[Name]]=Points!$B:$B)*(Table15[[#Headers],[Italy - 21 May]]=Points!$C:$C),Points!$J:$J,0,0,-1),0)</f>
        <v>0</v>
      </c>
      <c r="M25" s="9" cm="1">
        <f t="array" ref="M25">IFERROR(_xlfn.XLOOKUP(1,(Table15[[#This Row],[Name]]=Points!$B:$B)*(Table15[[#Headers],[Monaco - 28 May]]=Points!$C:$C),Points!$J:$J,0,0,-1),0)</f>
        <v>0</v>
      </c>
      <c r="N25" s="9" cm="1">
        <f t="array" ref="N25">IFERROR(_xlfn.XLOOKUP(1,(Table15[[#This Row],[Name]]=Points!$B:$B)*(Table15[[#Headers],[Spain - 4 June]]=Points!$C:$C),Points!$J:$J,0,0,-1),0)</f>
        <v>0</v>
      </c>
      <c r="O25" s="9" cm="1">
        <f t="array" ref="O25">IFERROR(_xlfn.XLOOKUP(1,(Table15[[#This Row],[Name]]=Points!$B:$B)*(Table15[[#Headers],[Canada - 18 June]]=Points!$C:$C),Points!$J:$J,0,0,-1),0)</f>
        <v>0</v>
      </c>
      <c r="P25" s="9" cm="1">
        <f t="array" ref="P25">IFERROR(_xlfn.XLOOKUP(1,(Table15[[#This Row],[Name]]=Points!$B:$B)*(Table15[[#Headers],[Austria - 2 July]]=Points!$C:$C),Points!$J:$J,0,0,-1),0)</f>
        <v>0</v>
      </c>
      <c r="Q25" s="9" cm="1">
        <f t="array" ref="Q25">IFERROR(_xlfn.XLOOKUP(1,(Table15[[#This Row],[Name]]=Points!$B:$B)*(Table15[[#Headers],[Great Britain - 9 July]]=Points!$C:$C),Points!$J:$J,0,0,-1),0)</f>
        <v>0</v>
      </c>
      <c r="R25" s="9" cm="1">
        <f t="array" ref="R25">IFERROR(_xlfn.XLOOKUP(1,(Table15[[#This Row],[Name]]=Points!$B:$B)*(Table15[[#Headers],[Hungary - 23 July]]=Points!$C:$C),Points!$J:$J,0,0,-1),0)</f>
        <v>0</v>
      </c>
      <c r="S25" s="9" cm="1">
        <f t="array" ref="S25">IFERROR(_xlfn.XLOOKUP(1,(Table15[[#This Row],[Name]]=Points!$B:$B)*(Table15[[#Headers],[Belgium - 30 July]]=Points!$C:$C),Points!$J:$J,0,0,-1),0)</f>
        <v>0</v>
      </c>
      <c r="T25" s="9" cm="1">
        <f t="array" ref="T25">IFERROR(_xlfn.XLOOKUP(1,(Table15[[#This Row],[Name]]=Points!$B:$B)*(Table15[[#Headers],[Netherlands - 27 August]]=Points!$C:$C),Points!$J:$J,0,0,-1),0)</f>
        <v>0</v>
      </c>
      <c r="U25" s="9" cm="1">
        <f t="array" ref="U25">IFERROR(_xlfn.XLOOKUP(1,(Table15[[#This Row],[Name]]=Points!$B:$B)*(Table15[[#Headers],[Italy - 3 September]]=Points!$C:$C),Points!$J:$J,0,0,-1),0)</f>
        <v>0</v>
      </c>
      <c r="V25" s="9" cm="1">
        <f t="array" ref="V25">IFERROR(_xlfn.XLOOKUP(1,(Table15[[#This Row],[Name]]=Points!$B:$B)*(Table15[[#Headers],[Singapore - 17 September]]=Points!$C:$C),Points!$J:$J,0,0,-1),0)</f>
        <v>0</v>
      </c>
      <c r="W25" s="9" cm="1">
        <f t="array" ref="W25">IFERROR(_xlfn.XLOOKUP(1,(Table15[[#This Row],[Name]]=Points!$B:$B)*(Table15[[#Headers],[Japan - 24 September]]=Points!$C:$C),Points!$J:$J,0,0,-1),0)</f>
        <v>0</v>
      </c>
      <c r="X25" s="9" cm="1">
        <f t="array" ref="X25">IFERROR(_xlfn.XLOOKUP(1,(Table15[[#This Row],[Name]]=Points!$B:$B)*(Table15[[#Headers],[Qatar - 8 October]]=Points!$C:$C),Points!$J:$J,0,0,-1),0)</f>
        <v>0</v>
      </c>
      <c r="Y25" s="9" cm="1">
        <f t="array" ref="Y25">IFERROR(_xlfn.XLOOKUP(1,(Table15[[#This Row],[Name]]=Points!$B:$B)*(Table15[[#Headers],[United States - 22 October]]=Points!$C:$C),Points!$J:$J,0,0,-1),0)</f>
        <v>0</v>
      </c>
      <c r="Z25" s="9" cm="1">
        <f t="array" ref="Z25">IFERROR(_xlfn.XLOOKUP(1,(Table15[[#This Row],[Name]]=Points!$B:$B)*(Table15[[#Headers],[Mexico - 29 October]]=Points!$C:$C),Points!$J:$J,0,0,-1),0)</f>
        <v>0</v>
      </c>
      <c r="AA25" s="9" cm="1">
        <f t="array" ref="AA25">IFERROR(_xlfn.XLOOKUP(1,(Table15[[#This Row],[Name]]=Points!$B:$B)*(Table15[[#Headers],[Brazil - 5 November]]=Points!$C:$C),Points!$J:$J,0,0,-1),0)</f>
        <v>0</v>
      </c>
      <c r="AB25" s="9" cm="1">
        <f t="array" ref="AB25">IFERROR(_xlfn.XLOOKUP(1,(Table15[[#This Row],[Name]]=Points!$B:$B)*(Table15[[#Headers],[Las Vegas - 18 November]]=Points!$C:$C),Points!$J:$J,0,0,-1),0)</f>
        <v>0</v>
      </c>
      <c r="AC25" s="9" cm="1">
        <f t="array" ref="AC25">IFERROR(_xlfn.XLOOKUP(1,(Table15[[#This Row],[Name]]=Points!$B:$B)*(Table15[[#Headers],[Abu Dhabi - 26 November]]=Points!$C:$C),Points!$J:$J,0,0,-1),0)</f>
        <v>0</v>
      </c>
    </row>
    <row r="26" spans="1:29" ht="15.6" x14ac:dyDescent="0.3">
      <c r="A26" s="4">
        <v>25</v>
      </c>
      <c r="B26" t="s">
        <v>66</v>
      </c>
      <c r="C26" cm="1">
        <f t="array" ref="C26">Table15[[#This Row],[Total]]-_xlfn.XLOOKUP($G$35,$H$36:$AC$36,Table15[[#This Row],[Saudi Arabia - 19 March]:[Abu Dhabi - 26 November]])</f>
        <v>0</v>
      </c>
      <c r="D26" cm="1">
        <f t="array" ref="D26">_xlfn.XLOOKUP(B26,_xlfn.SORTBY(Table15[Name],Table15[Previous Race Total],-1),$A$2:$A$27)</f>
        <v>25</v>
      </c>
      <c r="E26" cm="1">
        <f t="array" ref="E26">_xlfn.XLOOKUP(B26,_xlfn.SORTBY(Table15[Name],Table15[Total],-1),$A$2:$A$27)</f>
        <v>25</v>
      </c>
      <c r="F26" s="94">
        <f>Table15[[#This Row],[Previous race Ranking]]-Table15[[#This Row],[Current ranking]]</f>
        <v>0</v>
      </c>
      <c r="G26" s="85">
        <f t="shared" si="0"/>
        <v>0</v>
      </c>
      <c r="H26" s="9" cm="1">
        <f t="array" ref="H26">IFERROR(_xlfn.XLOOKUP(1,(Table15[[#This Row],[Brazil - 5 November]]=Points!$B:$B)*(Table15[[#Headers],[Saudi Arabia - 19 March]]=Points!$C:$C),Points!$J:$J,0,0,-1),0)</f>
        <v>0</v>
      </c>
      <c r="I26" s="9" cm="1">
        <f t="array" ref="I26">IFERROR(_xlfn.XLOOKUP(1,(Table15[[#This Row],[Las Vegas - 18 November]]=Points!$B:$B)*(Table15[[#Headers],[Australia - 2 April]]=Points!$C:$C),Points!$J:$J,0,0,-1),0)</f>
        <v>0</v>
      </c>
      <c r="J26" s="9" cm="1">
        <f t="array" ref="J26">IFERROR(_xlfn.XLOOKUP(1,(Table15[[#This Row],[Abu Dhabi - 26 November]]=Points!$B:$B)*(Table15[[#Headers],[Azerbaijan - 30 April]]=Points!$C:$C),Points!$J:$J,0,0,-1),0)</f>
        <v>0</v>
      </c>
      <c r="K26" s="9" cm="1">
        <f t="array" ref="K26">IFERROR(_xlfn.XLOOKUP(1,(Table15[[#This Row],[Name]]=Points!$B:$B)*(Table15[[#Headers],[Miami - 7 May]]=Points!$C:$C),Points!$J:$J,0,0,-1),0)</f>
        <v>0</v>
      </c>
      <c r="L26" s="9" cm="1">
        <f t="array" ref="L26">IFERROR(_xlfn.XLOOKUP(1,(Table15[[#This Row],[Name]]=Points!$B:$B)*(Table15[[#Headers],[Italy - 21 May]]=Points!$C:$C),Points!$J:$J,0,0,-1),0)</f>
        <v>0</v>
      </c>
      <c r="M26" s="9" cm="1">
        <f t="array" ref="M26">IFERROR(_xlfn.XLOOKUP(1,(Table15[[#This Row],[Name]]=Points!$B:$B)*(Table15[[#Headers],[Monaco - 28 May]]=Points!$C:$C),Points!$J:$J,0,0,-1),0)</f>
        <v>0</v>
      </c>
      <c r="N26" s="9" cm="1">
        <f t="array" ref="N26">IFERROR(_xlfn.XLOOKUP(1,(Table15[[#This Row],[Name]]=Points!$B:$B)*(Table15[[#Headers],[Spain - 4 June]]=Points!$C:$C),Points!$J:$J,0,0,-1),0)</f>
        <v>0</v>
      </c>
      <c r="O26" s="9" cm="1">
        <f t="array" ref="O26">IFERROR(_xlfn.XLOOKUP(1,(Table15[[#This Row],[Name]]=Points!$B:$B)*(Table15[[#Headers],[Canada - 18 June]]=Points!$C:$C),Points!$J:$J,0,0,-1),0)</f>
        <v>0</v>
      </c>
      <c r="P26" s="9" cm="1">
        <f t="array" ref="P26">IFERROR(_xlfn.XLOOKUP(1,(Table15[[#This Row],[Name]]=Points!$B:$B)*(Table15[[#Headers],[Austria - 2 July]]=Points!$C:$C),Points!$J:$J,0,0,-1),0)</f>
        <v>0</v>
      </c>
      <c r="Q26" s="9" cm="1">
        <f t="array" ref="Q26">IFERROR(_xlfn.XLOOKUP(1,(Table15[[#This Row],[Name]]=Points!$B:$B)*(Table15[[#Headers],[Great Britain - 9 July]]=Points!$C:$C),Points!$J:$J,0,0,-1),0)</f>
        <v>0</v>
      </c>
      <c r="R26" s="9" cm="1">
        <f t="array" ref="R26">IFERROR(_xlfn.XLOOKUP(1,(Table15[[#This Row],[Name]]=Points!$B:$B)*(Table15[[#Headers],[Hungary - 23 July]]=Points!$C:$C),Points!$J:$J,0,0,-1),0)</f>
        <v>0</v>
      </c>
      <c r="S26" s="9" cm="1">
        <f t="array" ref="S26">IFERROR(_xlfn.XLOOKUP(1,(Table15[[#This Row],[Name]]=Points!$B:$B)*(Table15[[#Headers],[Belgium - 30 July]]=Points!$C:$C),Points!$J:$J,0,0,-1),0)</f>
        <v>0</v>
      </c>
      <c r="T26" s="9" cm="1">
        <f t="array" ref="T26">IFERROR(_xlfn.XLOOKUP(1,(Table15[[#This Row],[Name]]=Points!$B:$B)*(Table15[[#Headers],[Netherlands - 27 August]]=Points!$C:$C),Points!$J:$J,0,0,-1),0)</f>
        <v>0</v>
      </c>
      <c r="U26" s="9" cm="1">
        <f t="array" ref="U26">IFERROR(_xlfn.XLOOKUP(1,(Table15[[#This Row],[Name]]=Points!$B:$B)*(Table15[[#Headers],[Italy - 3 September]]=Points!$C:$C),Points!$J:$J,0,0,-1),0)</f>
        <v>0</v>
      </c>
      <c r="V26" s="9" cm="1">
        <f t="array" ref="V26">IFERROR(_xlfn.XLOOKUP(1,(Table15[[#This Row],[Name]]=Points!$B:$B)*(Table15[[#Headers],[Singapore - 17 September]]=Points!$C:$C),Points!$J:$J,0,0,-1),0)</f>
        <v>0</v>
      </c>
      <c r="W26" s="9" cm="1">
        <f t="array" ref="W26">IFERROR(_xlfn.XLOOKUP(1,(Table15[[#This Row],[Name]]=Points!$B:$B)*(Table15[[#Headers],[Japan - 24 September]]=Points!$C:$C),Points!$J:$J,0,0,-1),0)</f>
        <v>0</v>
      </c>
      <c r="X26" s="9" cm="1">
        <f t="array" ref="X26">IFERROR(_xlfn.XLOOKUP(1,(Table15[[#This Row],[Name]]=Points!$B:$B)*(Table15[[#Headers],[Qatar - 8 October]]=Points!$C:$C),Points!$J:$J,0,0,-1),0)</f>
        <v>0</v>
      </c>
      <c r="Y26" s="9" cm="1">
        <f t="array" ref="Y26">IFERROR(_xlfn.XLOOKUP(1,(Table15[[#This Row],[Name]]=Points!$B:$B)*(Table15[[#Headers],[United States - 22 October]]=Points!$C:$C),Points!$J:$J,0,0,-1),0)</f>
        <v>0</v>
      </c>
      <c r="Z26" s="9" cm="1">
        <f t="array" ref="Z26">IFERROR(_xlfn.XLOOKUP(1,(Table15[[#This Row],[Name]]=Points!$B:$B)*(Table15[[#Headers],[Mexico - 29 October]]=Points!$C:$C),Points!$J:$J,0,0,-1),0)</f>
        <v>0</v>
      </c>
      <c r="AA26" s="9" cm="1">
        <f t="array" ref="AA26">IFERROR(_xlfn.XLOOKUP(1,(Table15[[#This Row],[Name]]=Points!$B:$B)*(Table15[[#Headers],[Brazil - 5 November]]=Points!$C:$C),Points!$J:$J,0,0,-1),0)</f>
        <v>0</v>
      </c>
      <c r="AB26" s="9" cm="1">
        <f t="array" ref="AB26">IFERROR(_xlfn.XLOOKUP(1,(Table15[[#This Row],[Name]]=Points!$B:$B)*(Table15[[#Headers],[Las Vegas - 18 November]]=Points!$C:$C),Points!$J:$J,0,0,-1),0)</f>
        <v>0</v>
      </c>
      <c r="AC26" s="9" cm="1">
        <f t="array" ref="AC26">IFERROR(_xlfn.XLOOKUP(1,(Table15[[#This Row],[Name]]=Points!$B:$B)*(Table15[[#Headers],[Abu Dhabi - 26 November]]=Points!$C:$C),Points!$J:$J,0,0,-1),0)</f>
        <v>0</v>
      </c>
    </row>
    <row r="27" spans="1:29" ht="15.6" x14ac:dyDescent="0.3">
      <c r="A27" s="4">
        <v>26</v>
      </c>
      <c r="B27" t="s">
        <v>58</v>
      </c>
      <c r="C27" cm="1">
        <f t="array" ref="C27">Table15[[#This Row],[Total]]-_xlfn.XLOOKUP($G$35,$H$36:$AC$36,Table15[[#This Row],[Saudi Arabia - 19 March]:[Abu Dhabi - 26 November]])</f>
        <v>0</v>
      </c>
      <c r="D27" cm="1">
        <f t="array" ref="D27">_xlfn.XLOOKUP(B27,_xlfn.SORTBY(Table15[Name],Table15[Previous Race Total],-1),$A$2:$A$27)</f>
        <v>26</v>
      </c>
      <c r="E27" cm="1">
        <f t="array" ref="E27">_xlfn.XLOOKUP(B27,_xlfn.SORTBY(Table15[Name],Table15[Total],-1),$A$2:$A$27)</f>
        <v>26</v>
      </c>
      <c r="F27" s="94">
        <f>Table15[[#This Row],[Previous race Ranking]]-Table15[[#This Row],[Current ranking]]</f>
        <v>0</v>
      </c>
      <c r="G27" s="85">
        <f t="shared" si="0"/>
        <v>0</v>
      </c>
      <c r="H27" s="9" cm="1">
        <f t="array" ref="H27">IFERROR(_xlfn.XLOOKUP(1,(Table15[[#This Row],[Brazil - 5 November]]=Points!$B:$B)*(Table15[[#Headers],[Saudi Arabia - 19 March]]=Points!$C:$C),Points!$J:$J,0,0,-1),0)</f>
        <v>0</v>
      </c>
      <c r="I27" s="9" cm="1">
        <f t="array" ref="I27">IFERROR(_xlfn.XLOOKUP(1,(Table15[[#This Row],[Las Vegas - 18 November]]=Points!$B:$B)*(Table15[[#Headers],[Australia - 2 April]]=Points!$C:$C),Points!$J:$J,0,0,-1),0)</f>
        <v>0</v>
      </c>
      <c r="J27" s="9" cm="1">
        <f t="array" ref="J27">IFERROR(_xlfn.XLOOKUP(1,(Table15[[#This Row],[Abu Dhabi - 26 November]]=Points!$B:$B)*(Table15[[#Headers],[Azerbaijan - 30 April]]=Points!$C:$C),Points!$J:$J,0,0,-1),0)</f>
        <v>0</v>
      </c>
      <c r="K27" s="9" cm="1">
        <f t="array" ref="K27">IFERROR(_xlfn.XLOOKUP(1,(Table15[[#This Row],[Name]]=Points!$B:$B)*(Table15[[#Headers],[Miami - 7 May]]=Points!$C:$C),Points!$J:$J,0,0,-1),0)</f>
        <v>0</v>
      </c>
      <c r="L27" s="9" cm="1">
        <f t="array" ref="L27">IFERROR(_xlfn.XLOOKUP(1,(Table15[[#This Row],[Name]]=Points!$B:$B)*(Table15[[#Headers],[Italy - 21 May]]=Points!$C:$C),Points!$J:$J,0,0,-1),0)</f>
        <v>0</v>
      </c>
      <c r="M27" s="9" cm="1">
        <f t="array" ref="M27">IFERROR(_xlfn.XLOOKUP(1,(Table15[[#This Row],[Name]]=Points!$B:$B)*(Table15[[#Headers],[Monaco - 28 May]]=Points!$C:$C),Points!$J:$J,0,0,-1),0)</f>
        <v>0</v>
      </c>
      <c r="N27" s="9" cm="1">
        <f t="array" ref="N27">IFERROR(_xlfn.XLOOKUP(1,(Table15[[#This Row],[Name]]=Points!$B:$B)*(Table15[[#Headers],[Spain - 4 June]]=Points!$C:$C),Points!$J:$J,0,0,-1),0)</f>
        <v>0</v>
      </c>
      <c r="O27" s="9" cm="1">
        <f t="array" ref="O27">IFERROR(_xlfn.XLOOKUP(1,(Table15[[#This Row],[Name]]=Points!$B:$B)*(Table15[[#Headers],[Canada - 18 June]]=Points!$C:$C),Points!$J:$J,0,0,-1),0)</f>
        <v>0</v>
      </c>
      <c r="P27" s="9" cm="1">
        <f t="array" ref="P27">IFERROR(_xlfn.XLOOKUP(1,(Table15[[#This Row],[Name]]=Points!$B:$B)*(Table15[[#Headers],[Austria - 2 July]]=Points!$C:$C),Points!$J:$J,0,0,-1),0)</f>
        <v>0</v>
      </c>
      <c r="Q27" s="9" cm="1">
        <f t="array" ref="Q27">IFERROR(_xlfn.XLOOKUP(1,(Table15[[#This Row],[Name]]=Points!$B:$B)*(Table15[[#Headers],[Great Britain - 9 July]]=Points!$C:$C),Points!$J:$J,0,0,-1),0)</f>
        <v>0</v>
      </c>
      <c r="R27" s="9" cm="1">
        <f t="array" ref="R27">IFERROR(_xlfn.XLOOKUP(1,(Table15[[#This Row],[Name]]=Points!$B:$B)*(Table15[[#Headers],[Hungary - 23 July]]=Points!$C:$C),Points!$J:$J,0,0,-1),0)</f>
        <v>0</v>
      </c>
      <c r="S27" s="9" cm="1">
        <f t="array" ref="S27">IFERROR(_xlfn.XLOOKUP(1,(Table15[[#This Row],[Name]]=Points!$B:$B)*(Table15[[#Headers],[Belgium - 30 July]]=Points!$C:$C),Points!$J:$J,0,0,-1),0)</f>
        <v>0</v>
      </c>
      <c r="T27" s="9" cm="1">
        <f t="array" ref="T27">IFERROR(_xlfn.XLOOKUP(1,(Table15[[#This Row],[Name]]=Points!$B:$B)*(Table15[[#Headers],[Netherlands - 27 August]]=Points!$C:$C),Points!$J:$J,0,0,-1),0)</f>
        <v>0</v>
      </c>
      <c r="U27" s="9" cm="1">
        <f t="array" ref="U27">IFERROR(_xlfn.XLOOKUP(1,(Table15[[#This Row],[Name]]=Points!$B:$B)*(Table15[[#Headers],[Italy - 3 September]]=Points!$C:$C),Points!$J:$J,0,0,-1),0)</f>
        <v>0</v>
      </c>
      <c r="V27" s="9" cm="1">
        <f t="array" ref="V27">IFERROR(_xlfn.XLOOKUP(1,(Table15[[#This Row],[Name]]=Points!$B:$B)*(Table15[[#Headers],[Singapore - 17 September]]=Points!$C:$C),Points!$J:$J,0,0,-1),0)</f>
        <v>0</v>
      </c>
      <c r="W27" s="9" cm="1">
        <f t="array" ref="W27">IFERROR(_xlfn.XLOOKUP(1,(Table15[[#This Row],[Name]]=Points!$B:$B)*(Table15[[#Headers],[Japan - 24 September]]=Points!$C:$C),Points!$J:$J,0,0,-1),0)</f>
        <v>0</v>
      </c>
      <c r="X27" s="9" cm="1">
        <f t="array" ref="X27">IFERROR(_xlfn.XLOOKUP(1,(Table15[[#This Row],[Name]]=Points!$B:$B)*(Table15[[#Headers],[Qatar - 8 October]]=Points!$C:$C),Points!$J:$J,0,0,-1),0)</f>
        <v>0</v>
      </c>
      <c r="Y27" s="9" cm="1">
        <f t="array" ref="Y27">IFERROR(_xlfn.XLOOKUP(1,(Table15[[#This Row],[Name]]=Points!$B:$B)*(Table15[[#Headers],[United States - 22 October]]=Points!$C:$C),Points!$J:$J,0,0,-1),0)</f>
        <v>0</v>
      </c>
      <c r="Z27" s="9" cm="1">
        <f t="array" ref="Z27">IFERROR(_xlfn.XLOOKUP(1,(Table15[[#This Row],[Name]]=Points!$B:$B)*(Table15[[#Headers],[Mexico - 29 October]]=Points!$C:$C),Points!$J:$J,0,0,-1),0)</f>
        <v>0</v>
      </c>
      <c r="AA27" s="9" cm="1">
        <f t="array" ref="AA27">IFERROR(_xlfn.XLOOKUP(1,(Table15[[#This Row],[Name]]=Points!$B:$B)*(Table15[[#Headers],[Brazil - 5 November]]=Points!$C:$C),Points!$J:$J,0,0,-1),0)</f>
        <v>0</v>
      </c>
      <c r="AB27" s="9" cm="1">
        <f t="array" ref="AB27">IFERROR(_xlfn.XLOOKUP(1,(Table15[[#This Row],[Name]]=Points!$B:$B)*(Table15[[#Headers],[Las Vegas - 18 November]]=Points!$C:$C),Points!$J:$J,0,0,-1),0)</f>
        <v>0</v>
      </c>
      <c r="AC27" s="9" cm="1">
        <f t="array" ref="AC27">IFERROR(_xlfn.XLOOKUP(1,(Table15[[#This Row],[Name]]=Points!$B:$B)*(Table15[[#Headers],[Abu Dhabi - 26 November]]=Points!$C:$C),Points!$J:$J,0,0,-1),0)</f>
        <v>0</v>
      </c>
    </row>
    <row r="28" spans="1:29" ht="15.6" x14ac:dyDescent="0.3">
      <c r="A28" s="4"/>
      <c r="F28" s="94"/>
      <c r="G28" s="85"/>
    </row>
    <row r="30" spans="1:29" ht="23.4" x14ac:dyDescent="0.45">
      <c r="B30" s="76" t="s">
        <v>0</v>
      </c>
      <c r="C30" s="76"/>
      <c r="D30" s="76"/>
      <c r="E30" s="76"/>
      <c r="F30" s="92"/>
    </row>
    <row r="31" spans="1:29" ht="13.05" customHeight="1" x14ac:dyDescent="0.45">
      <c r="B31" s="76"/>
      <c r="C31" s="76"/>
      <c r="D31" s="76"/>
      <c r="E31" s="76"/>
      <c r="F31" s="99" t="s">
        <v>207</v>
      </c>
      <c r="G31" s="100"/>
      <c r="H31" s="44"/>
    </row>
    <row r="32" spans="1:29" ht="13.05" customHeight="1" x14ac:dyDescent="0.45">
      <c r="B32" s="76"/>
      <c r="C32" s="76"/>
      <c r="D32" s="76"/>
      <c r="E32" s="76"/>
      <c r="F32" s="99" t="s">
        <v>205</v>
      </c>
      <c r="G32" s="74"/>
      <c r="H32" s="4"/>
    </row>
    <row r="33" spans="1:29" ht="13.05" customHeight="1" x14ac:dyDescent="0.3">
      <c r="D33" s="89"/>
      <c r="E33" s="89"/>
      <c r="F33" s="99" t="s">
        <v>202</v>
      </c>
      <c r="G33" s="101"/>
      <c r="H33" s="97"/>
      <c r="I33" s="97"/>
      <c r="J33" s="97"/>
      <c r="K33" s="97"/>
      <c r="L33" s="87"/>
      <c r="M33" s="97"/>
      <c r="N33" s="97"/>
      <c r="O33" s="97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7"/>
      <c r="AC33" s="97"/>
    </row>
    <row r="34" spans="1:29" ht="13.05" customHeight="1" x14ac:dyDescent="0.3">
      <c r="D34" s="89"/>
      <c r="E34" s="89"/>
      <c r="F34" s="99" t="s">
        <v>206</v>
      </c>
      <c r="G34" s="101"/>
      <c r="H34" s="97"/>
      <c r="I34" s="97"/>
      <c r="J34" s="97"/>
      <c r="K34" s="97"/>
      <c r="L34" s="8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</row>
    <row r="35" spans="1:29" ht="13.05" customHeight="1" x14ac:dyDescent="0.3">
      <c r="D35" s="89"/>
      <c r="E35" s="89"/>
      <c r="F35" s="99" t="s">
        <v>195</v>
      </c>
      <c r="G35" s="13">
        <f>SUM(K35:AC35)+3</f>
        <v>4</v>
      </c>
      <c r="H35" s="97"/>
      <c r="I35" s="97"/>
      <c r="J35" s="97"/>
      <c r="K35" s="97">
        <f>IF(MAX(Table15[Miami - 7 May])&gt;0,1,0)</f>
        <v>0</v>
      </c>
      <c r="L35" s="87">
        <v>1</v>
      </c>
      <c r="M35" s="97">
        <f>IF(MAX(Table15[Monaco - 28 May])&gt;0,1,0)</f>
        <v>0</v>
      </c>
      <c r="N35" s="97">
        <f>IF(MAX(Table15[Spain - 4 June])&gt;0,1,0)</f>
        <v>0</v>
      </c>
      <c r="O35" s="97">
        <f>IF(MAX(Table15[Canada - 18 June])&gt;0,1,0)</f>
        <v>0</v>
      </c>
      <c r="P35" s="97">
        <f>IF(MAX(Table15[Austria - 2 July])&gt;0,1,0)</f>
        <v>0</v>
      </c>
      <c r="Q35" s="97">
        <f>IF(MAX(Table15[Great Britain - 9 July])&gt;0,1,0)</f>
        <v>0</v>
      </c>
      <c r="R35" s="97">
        <f>IF(MAX(Table15[Hungary - 23 July])&gt;0,1,0)</f>
        <v>0</v>
      </c>
      <c r="S35" s="97">
        <f>IF(MAX(Table15[Belgium - 30 July])&gt;0,1,0)</f>
        <v>0</v>
      </c>
      <c r="T35" s="97">
        <f>IF(MAX(Table15[Netherlands - 27 August])&gt;0,1,0)</f>
        <v>0</v>
      </c>
      <c r="U35" s="97">
        <f>IF(MAX(Table15[Italy - 3 September])&gt;0,1,0)</f>
        <v>0</v>
      </c>
      <c r="V35" s="97">
        <f>IF(MAX(Table15[Singapore - 17 September])&gt;0,1,0)</f>
        <v>0</v>
      </c>
      <c r="W35" s="97">
        <f>IF(MAX(Table15[Japan - 24 September])&gt;0,1,0)</f>
        <v>0</v>
      </c>
      <c r="X35" s="97">
        <f>IF(MAX(Table15[Qatar - 8 October])&gt;0,1,0)</f>
        <v>0</v>
      </c>
      <c r="Y35" s="97">
        <f>IF(MAX(Table15[United States - 22 October])&gt;0,1,0)</f>
        <v>0</v>
      </c>
      <c r="Z35" s="97">
        <f>IF(MAX(Table15[Mexico - 29 October])&gt;0,1,0)</f>
        <v>0</v>
      </c>
      <c r="AA35" s="97">
        <f>IF(MAX(Table15[Brazil - 5 November])&gt;0,1,0)</f>
        <v>0</v>
      </c>
      <c r="AB35" s="97">
        <f>IF(MAX(Table15[Las Vegas - 18 November])&gt;0,1,0)</f>
        <v>0</v>
      </c>
      <c r="AC35" s="97">
        <f>IF(MAX(Table15[Abu Dhabi - 26 November])&gt;0,1,0)</f>
        <v>0</v>
      </c>
    </row>
    <row r="36" spans="1:29" ht="13.05" customHeight="1" x14ac:dyDescent="0.3">
      <c r="D36" s="89"/>
      <c r="E36" s="89"/>
      <c r="F36" s="99" t="s">
        <v>197</v>
      </c>
      <c r="G36" s="88"/>
      <c r="H36" s="97"/>
      <c r="I36" s="97"/>
      <c r="J36" s="97"/>
      <c r="K36" s="97">
        <v>4</v>
      </c>
      <c r="L36" s="97">
        <v>5</v>
      </c>
      <c r="M36" s="97">
        <v>6</v>
      </c>
      <c r="N36" s="97">
        <v>7</v>
      </c>
      <c r="O36" s="97">
        <v>8</v>
      </c>
      <c r="P36" s="97">
        <v>9</v>
      </c>
      <c r="Q36" s="97">
        <v>10</v>
      </c>
      <c r="R36" s="97">
        <v>11</v>
      </c>
      <c r="S36" s="97">
        <v>12</v>
      </c>
      <c r="T36" s="97">
        <v>13</v>
      </c>
      <c r="U36" s="97">
        <v>14</v>
      </c>
      <c r="V36" s="97">
        <v>15</v>
      </c>
      <c r="W36" s="97">
        <v>16</v>
      </c>
      <c r="X36" s="97">
        <v>17</v>
      </c>
      <c r="Y36" s="97">
        <v>18</v>
      </c>
      <c r="Z36" s="97">
        <v>19</v>
      </c>
      <c r="AA36" s="97">
        <v>20</v>
      </c>
      <c r="AB36" s="97">
        <v>21</v>
      </c>
      <c r="AC36" s="97">
        <v>22</v>
      </c>
    </row>
    <row r="37" spans="1:29" ht="13.05" customHeight="1" x14ac:dyDescent="0.3">
      <c r="D37" s="89"/>
      <c r="E37" s="89"/>
      <c r="F37" s="14"/>
      <c r="G37" s="14"/>
      <c r="H37" s="98"/>
      <c r="I37" s="98"/>
      <c r="J37" s="98"/>
      <c r="K37" s="98" t="s">
        <v>1</v>
      </c>
      <c r="L37" s="98" t="s">
        <v>2</v>
      </c>
      <c r="M37" s="98" t="s">
        <v>3</v>
      </c>
      <c r="N37" s="98" t="s">
        <v>4</v>
      </c>
      <c r="O37" s="98" t="s">
        <v>5</v>
      </c>
      <c r="P37" s="98" t="s">
        <v>6</v>
      </c>
      <c r="Q37" s="98" t="s">
        <v>7</v>
      </c>
      <c r="R37" s="98" t="s">
        <v>8</v>
      </c>
      <c r="S37" s="98" t="s">
        <v>9</v>
      </c>
      <c r="T37" s="98" t="s">
        <v>10</v>
      </c>
      <c r="U37" s="98" t="s">
        <v>11</v>
      </c>
      <c r="V37" s="98" t="s">
        <v>12</v>
      </c>
      <c r="W37" s="98" t="s">
        <v>13</v>
      </c>
      <c r="X37" s="98" t="s">
        <v>14</v>
      </c>
      <c r="Y37" s="98" t="s">
        <v>15</v>
      </c>
      <c r="Z37" s="98" t="s">
        <v>16</v>
      </c>
      <c r="AA37" s="98" t="s">
        <v>17</v>
      </c>
      <c r="AB37" s="98" t="s">
        <v>18</v>
      </c>
      <c r="AC37" s="98" t="s">
        <v>19</v>
      </c>
    </row>
    <row r="38" spans="1:29" s="14" customFormat="1" x14ac:dyDescent="0.3">
      <c r="A38" s="64"/>
      <c r="B38" s="27"/>
      <c r="C38" s="27"/>
      <c r="D38" s="27"/>
      <c r="E38" s="27"/>
      <c r="H38" s="106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9"/>
    </row>
    <row r="39" spans="1:29" s="43" customFormat="1" x14ac:dyDescent="0.3">
      <c r="A39" s="3"/>
      <c r="F39" s="4"/>
      <c r="G39" s="63" t="s">
        <v>70</v>
      </c>
      <c r="H39" s="43" t="str" cm="1">
        <f t="array" ref="H39">IF(MAX(Table15[Saudi Arabia - 19 March])=0,"",_xlfn._xlws.FILTER(Table15[[Name]:[Name]],Table15[Saudi Arabia - 19 March]=MAX(Table15[Saudi Arabia - 19 March])))</f>
        <v/>
      </c>
      <c r="I39" s="43" t="str" cm="1">
        <f t="array" ref="I39">IF(MAX(Table15[Australia - 2 April])=0,"",_xlfn._xlws.FILTER(Table15[[Name]:[Name]],Table15[Australia - 2 April]=MAX(Table15[Australia - 2 April])))</f>
        <v/>
      </c>
      <c r="J39" s="43" t="str" cm="1">
        <f t="array" ref="J39">IF(MAX(Table15[Azerbaijan - 30 April])=0,"",_xlfn._xlws.FILTER(Table15[[Name]:[Name]],Table15[Azerbaijan - 30 April]=MAX(Table15[Azerbaijan - 30 April])))</f>
        <v/>
      </c>
      <c r="K39" s="43" t="str" cm="1">
        <f t="array" ref="K39">IF(MAX(Table15[Miami - 7 May])=0,"",_xlfn._xlws.FILTER(Table15[[Name]:[Name]],Table15[Miami - 7 May]=MAX(Table15[Miami - 7 May])))</f>
        <v/>
      </c>
      <c r="L39" s="43" t="str" cm="1">
        <f t="array" ref="L39">IF(MAX(Table15[Italy - 21 May])=0,"",_xlfn._xlws.FILTER(Table15[[Name]:[Name]],Table15[Italy - 21 May]=MAX(Table15[Italy - 21 May])))</f>
        <v/>
      </c>
      <c r="M39" s="43" t="str" cm="1">
        <f t="array" ref="M39">IF(MAX(Table15[Monaco - 28 May])=0,"",_xlfn._xlws.FILTER(Table15[[Name]:[Name]],Table15[Monaco - 28 May]=MAX(Table15[Monaco - 28 May])))</f>
        <v/>
      </c>
      <c r="N39" s="43" t="str" cm="1">
        <f t="array" ref="N39">IF(MAX(Table15[Spain - 4 June])=0,"",_xlfn._xlws.FILTER(Table15[[Name]:[Name]],Table15[Spain - 4 June]=MAX(Table15[Spain - 4 June])))</f>
        <v/>
      </c>
      <c r="O39" s="43" t="str" cm="1">
        <f t="array" ref="O39">IF(MAX(Table15[Canada - 18 June])=0,"",_xlfn._xlws.FILTER(Table15[[Name]:[Name]],Table15[Canada - 18 June]=MAX(Table15[Canada - 18 June])))</f>
        <v/>
      </c>
      <c r="P39" s="43" t="str" cm="1">
        <f t="array" ref="P39">IF(MAX(Table15[Austria - 2 July])=0,"",_xlfn._xlws.FILTER(Table15[[Name]:[Name]],Table15[Austria - 2 July]=MAX(Table15[Austria - 2 July])))</f>
        <v/>
      </c>
      <c r="Q39" s="43" t="str" cm="1">
        <f t="array" ref="Q39">IF(MAX(Table15[Great Britain - 9 July])=0,"",_xlfn._xlws.FILTER(Table15[[Name]:[Name]],Table15[Great Britain - 9 July]=MAX(Table15[Great Britain - 9 July])))</f>
        <v/>
      </c>
      <c r="R39" s="43" t="str" cm="1">
        <f t="array" ref="R39">IF(MAX(Table15[Hungary - 23 July])=0,"",_xlfn._xlws.FILTER(Table15[[Name]:[Name]],Table15[Hungary - 23 July]=MAX(Table15[Hungary - 23 July])))</f>
        <v/>
      </c>
      <c r="S39" s="43" t="str" cm="1">
        <f t="array" ref="S39">IF(MAX(Table15[Belgium - 30 July])=0,"",_xlfn._xlws.FILTER(Table15[[Name]:[Name]],Table15[Belgium - 30 July]=MAX(Table15[Belgium - 30 July])))</f>
        <v/>
      </c>
      <c r="T39" s="43" t="str" cm="1">
        <f t="array" ref="T39">IF(MAX(Table15[Netherlands - 27 August])=0,"",_xlfn._xlws.FILTER(Table15[[Name]:[Name]],Table15[Netherlands - 27 August]=MAX(Table15[Netherlands - 27 August])))</f>
        <v/>
      </c>
      <c r="U39" s="43" t="str" cm="1">
        <f t="array" ref="U39">IF(MAX(Table15[Italy - 3 September])=0,"",_xlfn._xlws.FILTER(Table15[[Name]:[Name]],Table15[Italy - 3 September]=MAX(Table15[Italy - 3 September])))</f>
        <v/>
      </c>
      <c r="V39" s="43" t="str" cm="1">
        <f t="array" ref="V39">IF(MAX(Table15[Singapore - 17 September])=0,"",_xlfn._xlws.FILTER(Table15[[Name]:[Name]],Table15[Singapore - 17 September]=MAX(Table15[Singapore - 17 September])))</f>
        <v/>
      </c>
      <c r="W39" s="43" t="str" cm="1">
        <f t="array" ref="W39">IF(MAX(Table15[Japan - 24 September])=0,"",_xlfn._xlws.FILTER(Table15[[Name]:[Name]],Table15[Japan - 24 September]=MAX(Table15[Japan - 24 September])))</f>
        <v/>
      </c>
      <c r="X39" s="43" t="str" cm="1">
        <f t="array" ref="X39">IF(MAX(Table15[Qatar - 8 October])=0,"",_xlfn._xlws.FILTER(Table15[[Name]:[Name]],Table15[Qatar - 8 October]=MAX(Table15[Qatar - 8 October])))</f>
        <v/>
      </c>
      <c r="Y39" s="43" t="str" cm="1">
        <f t="array" ref="Y39">IF(MAX(Table15[United States - 22 October])=0,"",_xlfn._xlws.FILTER(Table15[[Name]:[Name]],Table15[United States - 22 October]=MAX(Table15[United States - 22 October])))</f>
        <v/>
      </c>
      <c r="Z39" s="43" t="str" cm="1">
        <f t="array" ref="Z39">IF(MAX(Table15[Mexico - 29 October])=0,"",_xlfn._xlws.FILTER(Table15[[Name]:[Name]],Table15[Mexico - 29 October]=MAX(Table15[Mexico - 29 October])))</f>
        <v/>
      </c>
      <c r="AA39" s="43" t="str" cm="1">
        <f t="array" ref="AA39">IF(MAX(Table15[Brazil - 5 November])=0,"",_xlfn._xlws.FILTER(Table15[[Name]:[Name]],Table15[Brazil - 5 November]=MAX(Table15[Brazil - 5 November])))</f>
        <v/>
      </c>
      <c r="AB39" s="43" t="str" cm="1">
        <f t="array" ref="AB39">IF(MAX(Table15[Las Vegas - 18 November])=0,"",_xlfn._xlws.FILTER(Table15[[Name]:[Name]],Table15[Las Vegas - 18 November]=MAX(Table15[Las Vegas - 18 November])))</f>
        <v/>
      </c>
      <c r="AC39" s="43" t="str" cm="1">
        <f t="array" ref="AC39">IF(MAX(Table15[Abu Dhabi - 26 November])=0,"",_xlfn._xlws.FILTER(Table15[[Name]:[Name]],Table15[Abu Dhabi - 26 November]=MAX(Table15[Abu Dhabi - 26 November])))</f>
        <v/>
      </c>
    </row>
    <row r="40" spans="1:29" s="43" customFormat="1" x14ac:dyDescent="0.3">
      <c r="A40" s="3"/>
      <c r="F40" s="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</row>
    <row r="41" spans="1:29" s="43" customFormat="1" x14ac:dyDescent="0.3">
      <c r="A41" s="3"/>
      <c r="F41" s="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</row>
    <row r="42" spans="1:29" s="43" customFormat="1" x14ac:dyDescent="0.3">
      <c r="A42" s="3"/>
      <c r="F42" s="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</row>
    <row r="43" spans="1:29" s="43" customFormat="1" x14ac:dyDescent="0.3">
      <c r="A43" s="3"/>
      <c r="F43" s="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</row>
    <row r="44" spans="1:29" s="43" customFormat="1" x14ac:dyDescent="0.3">
      <c r="A44" s="3"/>
      <c r="B44" s="108"/>
      <c r="C44" s="109"/>
      <c r="F44" s="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</row>
    <row r="45" spans="1:29" s="43" customFormat="1" x14ac:dyDescent="0.3">
      <c r="A45" s="3"/>
      <c r="B45" s="108"/>
      <c r="C45" s="109"/>
      <c r="F45" s="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</row>
    <row r="46" spans="1:29" s="43" customFormat="1" x14ac:dyDescent="0.3">
      <c r="A46" s="3"/>
      <c r="F46" s="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</row>
    <row r="47" spans="1:29" s="43" customFormat="1" x14ac:dyDescent="0.3">
      <c r="A47" s="3"/>
      <c r="B47" s="13"/>
      <c r="C47" s="13"/>
      <c r="F47" s="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91"/>
      <c r="T47" s="44"/>
      <c r="U47" s="44"/>
      <c r="V47" s="44"/>
      <c r="W47" s="44"/>
      <c r="X47" s="44"/>
      <c r="Y47" s="44"/>
      <c r="Z47" s="44"/>
      <c r="AA47" s="44"/>
      <c r="AB47" s="44"/>
      <c r="AC47" s="44"/>
    </row>
    <row r="48" spans="1:29" s="43" customFormat="1" x14ac:dyDescent="0.3">
      <c r="A48" s="3"/>
      <c r="B48" s="108"/>
      <c r="C48" s="110"/>
      <c r="E48" s="110"/>
      <c r="F48" s="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</row>
    <row r="49" spans="1:38" s="43" customFormat="1" x14ac:dyDescent="0.3">
      <c r="A49" s="3"/>
      <c r="B49" s="108"/>
      <c r="C49" s="110"/>
      <c r="D49" s="108"/>
      <c r="E49" s="110"/>
      <c r="F49" s="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</row>
    <row r="50" spans="1:38" s="43" customFormat="1" x14ac:dyDescent="0.3">
      <c r="A50" s="3"/>
      <c r="B50" s="108"/>
      <c r="C50" s="110"/>
      <c r="D50" s="108"/>
      <c r="E50" s="110"/>
      <c r="F50" s="4"/>
      <c r="H50" s="44"/>
      <c r="I50" s="44"/>
      <c r="J50" s="44"/>
      <c r="K50" s="44"/>
      <c r="L50" s="44"/>
      <c r="M50" s="44"/>
      <c r="N50" s="44"/>
      <c r="O50" s="44"/>
      <c r="P50" s="44"/>
      <c r="R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</row>
    <row r="51" spans="1:38" s="43" customFormat="1" x14ac:dyDescent="0.3">
      <c r="A51" s="3"/>
      <c r="B51" s="108"/>
      <c r="C51" s="110"/>
      <c r="D51" s="108"/>
      <c r="E51" s="110"/>
      <c r="F51" s="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I51" s="17"/>
      <c r="AJ51" s="17"/>
      <c r="AK51" s="17"/>
      <c r="AL51" s="17"/>
    </row>
    <row r="52" spans="1:38" s="43" customFormat="1" x14ac:dyDescent="0.3">
      <c r="A52" s="3"/>
      <c r="B52" s="108"/>
      <c r="C52" s="110"/>
      <c r="D52" s="108"/>
      <c r="E52" s="110"/>
      <c r="F52" s="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102"/>
      <c r="AB52" s="17"/>
      <c r="AC52" s="17"/>
      <c r="AD52" s="17"/>
      <c r="AI52"/>
      <c r="AJ52"/>
      <c r="AK52" s="105"/>
      <c r="AL52" s="90"/>
    </row>
    <row r="53" spans="1:38" s="43" customFormat="1" x14ac:dyDescent="0.3">
      <c r="A53" s="3"/>
      <c r="B53" s="108"/>
      <c r="C53" s="110"/>
      <c r="D53" s="108"/>
      <c r="E53" s="110"/>
      <c r="F53" s="4"/>
      <c r="H53" s="44"/>
      <c r="I53" s="44"/>
      <c r="J53" s="44"/>
      <c r="K53" s="44"/>
      <c r="L53" s="44"/>
      <c r="M53" s="42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102"/>
      <c r="AB53"/>
      <c r="AC53" s="102"/>
      <c r="AD53"/>
      <c r="AI53"/>
      <c r="AJ53"/>
      <c r="AK53" s="105"/>
      <c r="AL53" s="90"/>
    </row>
    <row r="54" spans="1:38" s="43" customFormat="1" x14ac:dyDescent="0.3">
      <c r="A54" s="3"/>
      <c r="B54" s="108"/>
      <c r="C54" s="110"/>
      <c r="D54" s="108"/>
      <c r="E54" s="110"/>
      <c r="F54" s="4"/>
      <c r="H54" s="44"/>
      <c r="I54" s="44"/>
      <c r="J54" s="44"/>
      <c r="K54" s="44"/>
      <c r="L54" s="44"/>
      <c r="M54" s="42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102"/>
      <c r="AB54"/>
      <c r="AC54" s="102"/>
      <c r="AD54"/>
      <c r="AI54"/>
      <c r="AJ54"/>
      <c r="AK54" s="105"/>
      <c r="AL54" s="90"/>
    </row>
    <row r="55" spans="1:38" s="43" customFormat="1" x14ac:dyDescent="0.3">
      <c r="A55" s="3"/>
      <c r="B55" s="108"/>
      <c r="C55" s="110"/>
      <c r="D55" s="108"/>
      <c r="E55" s="110"/>
      <c r="F55" s="4"/>
      <c r="H55" s="44"/>
      <c r="I55" s="44"/>
      <c r="J55" s="44"/>
      <c r="K55" s="44"/>
      <c r="L55" s="44"/>
      <c r="M55" s="42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102"/>
      <c r="AB55"/>
      <c r="AC55" s="102"/>
      <c r="AD55"/>
      <c r="AI55"/>
      <c r="AJ55"/>
      <c r="AK55" s="105"/>
      <c r="AL55" s="90"/>
    </row>
    <row r="56" spans="1:38" s="43" customFormat="1" x14ac:dyDescent="0.3">
      <c r="A56" s="3"/>
      <c r="B56" s="108"/>
      <c r="C56" s="110"/>
      <c r="D56" s="108"/>
      <c r="E56" s="110"/>
      <c r="F56" s="4"/>
      <c r="H56" s="44"/>
      <c r="I56" s="44"/>
      <c r="J56" s="44"/>
      <c r="K56" s="44"/>
      <c r="L56" s="44"/>
      <c r="M56" s="42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102"/>
      <c r="AB56"/>
      <c r="AC56" s="102"/>
      <c r="AD56"/>
      <c r="AI56"/>
      <c r="AJ56"/>
      <c r="AK56" s="105"/>
      <c r="AL56" s="90"/>
    </row>
    <row r="57" spans="1:38" s="43" customFormat="1" x14ac:dyDescent="0.3">
      <c r="A57" s="3"/>
      <c r="B57" s="108"/>
      <c r="C57" s="110"/>
      <c r="D57" s="108"/>
      <c r="E57" s="110"/>
      <c r="F57" s="4"/>
      <c r="H57" s="44"/>
      <c r="I57" s="44"/>
      <c r="J57" s="44"/>
      <c r="K57" s="44"/>
      <c r="L57" s="44"/>
      <c r="M57" s="42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102"/>
      <c r="AB57"/>
      <c r="AC57" s="102"/>
      <c r="AD57"/>
      <c r="AI57"/>
      <c r="AJ57"/>
      <c r="AK57" s="105"/>
      <c r="AL57" s="90"/>
    </row>
    <row r="58" spans="1:38" s="43" customFormat="1" x14ac:dyDescent="0.3">
      <c r="A58" s="3"/>
      <c r="B58" s="108"/>
      <c r="C58" s="110"/>
      <c r="D58" s="108"/>
      <c r="E58" s="110"/>
      <c r="F58" s="4"/>
      <c r="H58" s="44"/>
      <c r="I58" s="44"/>
      <c r="J58" s="44"/>
      <c r="K58" s="44"/>
      <c r="L58" s="44"/>
      <c r="M58" s="42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102"/>
      <c r="AB58"/>
      <c r="AC58" s="102"/>
      <c r="AD58"/>
      <c r="AI58"/>
      <c r="AJ58"/>
      <c r="AK58" s="105"/>
      <c r="AL58" s="90"/>
    </row>
    <row r="59" spans="1:38" s="43" customFormat="1" x14ac:dyDescent="0.3">
      <c r="A59" s="3"/>
      <c r="B59" s="108"/>
      <c r="C59" s="110"/>
      <c r="D59" s="108"/>
      <c r="E59" s="110"/>
      <c r="F59" s="4"/>
      <c r="H59" s="44"/>
      <c r="I59" s="44"/>
      <c r="J59" s="44"/>
      <c r="K59" s="44"/>
      <c r="L59" s="44"/>
      <c r="M59" s="42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102"/>
      <c r="AB59" s="17"/>
      <c r="AC59" s="102"/>
      <c r="AD59"/>
      <c r="AI59"/>
      <c r="AJ59"/>
      <c r="AK59" s="105"/>
      <c r="AL59" s="90"/>
    </row>
    <row r="60" spans="1:38" s="43" customFormat="1" x14ac:dyDescent="0.3">
      <c r="A60" s="3"/>
      <c r="B60" s="108"/>
      <c r="C60" s="110"/>
      <c r="D60" s="108"/>
      <c r="E60" s="110"/>
      <c r="F60" s="4"/>
      <c r="H60" s="44"/>
      <c r="I60" s="44"/>
      <c r="J60" s="44"/>
      <c r="K60" s="44"/>
      <c r="L60" s="44"/>
      <c r="M60" s="42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102"/>
      <c r="AB60"/>
      <c r="AC60" s="102"/>
      <c r="AD60"/>
      <c r="AI60"/>
      <c r="AJ60"/>
      <c r="AK60" s="105"/>
      <c r="AL60" s="90"/>
    </row>
    <row r="61" spans="1:38" s="43" customFormat="1" x14ac:dyDescent="0.3">
      <c r="A61" s="3"/>
      <c r="B61" s="108"/>
      <c r="C61" s="110"/>
      <c r="D61" s="108"/>
      <c r="E61" s="110"/>
      <c r="F61" s="4"/>
      <c r="H61" s="44"/>
      <c r="I61" s="44"/>
      <c r="J61" s="44"/>
      <c r="K61" s="44"/>
      <c r="L61" s="44"/>
      <c r="M61" s="42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102"/>
      <c r="AB61"/>
      <c r="AC61" s="102"/>
      <c r="AD61"/>
      <c r="AI61"/>
      <c r="AJ61"/>
      <c r="AK61" s="105"/>
      <c r="AL61" s="90"/>
    </row>
    <row r="62" spans="1:38" s="43" customFormat="1" x14ac:dyDescent="0.3">
      <c r="A62" s="3"/>
      <c r="B62" s="108"/>
      <c r="C62" s="110"/>
      <c r="D62" s="108"/>
      <c r="E62" s="110"/>
      <c r="F62" s="4"/>
      <c r="H62" s="44"/>
      <c r="I62" s="44"/>
      <c r="J62" s="44"/>
      <c r="K62" s="44"/>
      <c r="L62" s="44"/>
      <c r="M62" s="42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102"/>
      <c r="AB62"/>
      <c r="AC62" s="102"/>
      <c r="AD62"/>
      <c r="AI62"/>
      <c r="AJ62"/>
      <c r="AK62" s="105"/>
      <c r="AL62" s="90"/>
    </row>
    <row r="63" spans="1:38" s="43" customFormat="1" x14ac:dyDescent="0.3">
      <c r="A63" s="3"/>
      <c r="B63" s="108"/>
      <c r="C63" s="110"/>
      <c r="D63" s="108"/>
      <c r="E63" s="110"/>
      <c r="F63" s="4"/>
      <c r="H63" s="44"/>
      <c r="I63" s="44"/>
      <c r="J63" s="44"/>
      <c r="K63" s="44"/>
      <c r="L63" s="44"/>
      <c r="M63" s="42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102"/>
      <c r="AB63"/>
      <c r="AC63"/>
      <c r="AD63"/>
      <c r="AI63"/>
      <c r="AJ63"/>
      <c r="AK63" s="105"/>
      <c r="AL63" s="90"/>
    </row>
    <row r="64" spans="1:38" s="43" customFormat="1" x14ac:dyDescent="0.3">
      <c r="A64" s="3"/>
      <c r="B64" s="108"/>
      <c r="C64" s="110"/>
      <c r="D64" s="108"/>
      <c r="E64" s="110"/>
      <c r="F64" s="4"/>
      <c r="H64" s="44"/>
      <c r="I64" s="44"/>
      <c r="J64" s="44"/>
      <c r="K64" s="44"/>
      <c r="L64" s="44"/>
      <c r="M64" s="42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102"/>
      <c r="AB64"/>
      <c r="AC64" s="102"/>
      <c r="AD64"/>
      <c r="AI64"/>
      <c r="AJ64"/>
      <c r="AK64" s="105"/>
      <c r="AL64" s="90"/>
    </row>
    <row r="65" spans="1:38" s="43" customFormat="1" x14ac:dyDescent="0.3">
      <c r="A65" s="3"/>
      <c r="B65" s="108"/>
      <c r="C65" s="110"/>
      <c r="D65" s="108"/>
      <c r="E65" s="110"/>
      <c r="F65" s="4"/>
      <c r="H65" s="44"/>
      <c r="I65" s="44"/>
      <c r="J65" s="44"/>
      <c r="K65" s="44"/>
      <c r="L65" s="44"/>
      <c r="M65" s="42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102"/>
      <c r="AB65"/>
      <c r="AC65" s="102"/>
      <c r="AD65"/>
      <c r="AI65"/>
      <c r="AJ65"/>
      <c r="AK65" s="105"/>
      <c r="AL65" s="90"/>
    </row>
    <row r="66" spans="1:38" s="43" customFormat="1" x14ac:dyDescent="0.3">
      <c r="A66" s="3"/>
      <c r="B66" s="108"/>
      <c r="C66" s="110"/>
      <c r="D66" s="108"/>
      <c r="E66" s="110"/>
      <c r="F66" s="4"/>
      <c r="H66" s="44"/>
      <c r="I66" s="44"/>
      <c r="J66" s="44"/>
      <c r="K66" s="44"/>
      <c r="L66" s="44"/>
      <c r="M66" s="42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102"/>
      <c r="AB66"/>
      <c r="AC66" s="102"/>
      <c r="AD66"/>
      <c r="AI66"/>
      <c r="AJ66"/>
      <c r="AK66" s="105"/>
      <c r="AL66" s="90"/>
    </row>
    <row r="67" spans="1:38" s="43" customFormat="1" x14ac:dyDescent="0.3">
      <c r="A67" s="3"/>
      <c r="B67" s="108"/>
      <c r="C67" s="110"/>
      <c r="E67" s="110"/>
      <c r="F67" s="4"/>
      <c r="H67" s="44"/>
      <c r="I67" s="44"/>
      <c r="J67" s="44"/>
      <c r="K67" s="44"/>
      <c r="L67" s="44"/>
      <c r="M67" s="42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102"/>
      <c r="AB67"/>
      <c r="AC67" s="102"/>
      <c r="AD67"/>
      <c r="AI67"/>
      <c r="AJ67"/>
      <c r="AK67" s="105"/>
      <c r="AL67" s="90"/>
    </row>
    <row r="68" spans="1:38" s="43" customFormat="1" x14ac:dyDescent="0.3">
      <c r="A68" s="3"/>
      <c r="F68" s="4"/>
      <c r="H68" s="44"/>
      <c r="I68" s="44"/>
      <c r="J68" s="44"/>
      <c r="K68" s="44"/>
      <c r="L68" s="44"/>
      <c r="M68" s="42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102"/>
      <c r="AB68"/>
      <c r="AC68" s="102"/>
      <c r="AD68"/>
      <c r="AI68"/>
      <c r="AJ68"/>
      <c r="AK68" s="105"/>
      <c r="AL68" s="90"/>
    </row>
    <row r="69" spans="1:38" s="43" customFormat="1" x14ac:dyDescent="0.3">
      <c r="A69" s="3"/>
      <c r="B69" s="111"/>
      <c r="C69" s="104"/>
      <c r="D69" s="89"/>
      <c r="F69" s="4"/>
      <c r="H69" s="44"/>
      <c r="I69" s="44"/>
      <c r="J69" s="44"/>
      <c r="K69" s="44"/>
      <c r="L69" s="44"/>
      <c r="M69" s="42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102"/>
      <c r="AB69"/>
      <c r="AC69" s="102"/>
      <c r="AD69"/>
      <c r="AI69"/>
      <c r="AJ69"/>
      <c r="AK69" s="105"/>
      <c r="AL69" s="90"/>
    </row>
    <row r="70" spans="1:38" s="43" customFormat="1" x14ac:dyDescent="0.3">
      <c r="A70" s="3"/>
      <c r="B70" s="111"/>
      <c r="C70" s="104"/>
      <c r="D70" s="89"/>
      <c r="F70" s="4"/>
      <c r="H70" s="44"/>
      <c r="I70" s="44"/>
      <c r="J70" s="44"/>
      <c r="K70" s="44"/>
      <c r="L70" s="44"/>
      <c r="M70" s="42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102"/>
      <c r="AB70"/>
      <c r="AC70" s="102"/>
      <c r="AD70"/>
      <c r="AI70"/>
      <c r="AJ70"/>
      <c r="AK70" s="105"/>
      <c r="AL70" s="90"/>
    </row>
    <row r="71" spans="1:38" s="43" customFormat="1" x14ac:dyDescent="0.3">
      <c r="A71" s="3"/>
      <c r="C71" s="104"/>
      <c r="D71" s="89"/>
      <c r="F71" s="4"/>
      <c r="H71" s="44"/>
      <c r="I71" s="44"/>
      <c r="J71" s="44"/>
      <c r="K71" s="44"/>
      <c r="L71" s="44"/>
      <c r="M71" s="42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102"/>
      <c r="AB71"/>
      <c r="AC71" s="102"/>
      <c r="AD71"/>
      <c r="AI71"/>
      <c r="AJ71"/>
      <c r="AK71" s="105"/>
      <c r="AL71" s="90"/>
    </row>
    <row r="72" spans="1:38" s="43" customFormat="1" x14ac:dyDescent="0.3">
      <c r="A72" s="3"/>
      <c r="C72" s="89"/>
      <c r="D72" s="89"/>
      <c r="F72" s="4"/>
      <c r="H72" s="44"/>
      <c r="I72" s="44"/>
      <c r="J72" s="44"/>
      <c r="K72" s="44"/>
      <c r="L72" s="44"/>
      <c r="M72" s="42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102"/>
      <c r="AB72"/>
      <c r="AC72"/>
      <c r="AD72"/>
      <c r="AI72"/>
      <c r="AJ72"/>
      <c r="AK72" s="105"/>
      <c r="AL72" s="90"/>
    </row>
    <row r="73" spans="1:38" s="43" customFormat="1" x14ac:dyDescent="0.3">
      <c r="A73" s="3"/>
      <c r="B73" s="111"/>
      <c r="C73" s="104"/>
      <c r="D73" s="89"/>
      <c r="F73" s="4"/>
      <c r="H73" s="44"/>
      <c r="I73" s="44"/>
      <c r="J73" s="44"/>
      <c r="K73" s="44"/>
      <c r="L73" s="44"/>
      <c r="M73" s="42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/>
      <c r="AB73"/>
      <c r="AC73" s="44"/>
      <c r="AI73"/>
      <c r="AJ73"/>
      <c r="AK73" s="105"/>
      <c r="AL73" s="90"/>
    </row>
    <row r="74" spans="1:38" s="43" customFormat="1" x14ac:dyDescent="0.3">
      <c r="A74" s="3"/>
      <c r="C74" s="104"/>
      <c r="D74" s="89"/>
      <c r="F74" s="4"/>
      <c r="H74" s="44"/>
      <c r="I74" s="44"/>
      <c r="J74" s="44"/>
      <c r="K74" s="44"/>
      <c r="L74" s="44"/>
      <c r="M74" s="42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I74"/>
      <c r="AJ74"/>
      <c r="AK74" s="105"/>
      <c r="AL74" s="90"/>
    </row>
    <row r="75" spans="1:38" s="43" customFormat="1" x14ac:dyDescent="0.3">
      <c r="A75" s="3"/>
      <c r="C75" s="89"/>
      <c r="D75" s="89"/>
      <c r="F75" s="4"/>
      <c r="H75" s="44"/>
      <c r="I75" s="44"/>
      <c r="J75" s="44"/>
      <c r="K75" s="44"/>
      <c r="L75" s="44"/>
      <c r="M75" s="42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I75"/>
      <c r="AJ75"/>
      <c r="AK75" s="105"/>
      <c r="AL75" s="90"/>
    </row>
    <row r="76" spans="1:38" s="43" customFormat="1" x14ac:dyDescent="0.3">
      <c r="A76" s="3"/>
      <c r="B76" s="111"/>
      <c r="C76" s="104"/>
      <c r="D76" s="89"/>
      <c r="F76" s="4"/>
      <c r="H76" s="44"/>
      <c r="I76" s="44"/>
      <c r="J76" s="44"/>
      <c r="K76" s="44"/>
      <c r="L76" s="44"/>
      <c r="M76" s="42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I76"/>
      <c r="AJ76"/>
      <c r="AK76" s="105"/>
      <c r="AL76" s="90"/>
    </row>
    <row r="77" spans="1:38" s="43" customFormat="1" x14ac:dyDescent="0.3">
      <c r="A77" s="3"/>
      <c r="C77" s="104"/>
      <c r="D77" s="89"/>
      <c r="F77" s="4"/>
      <c r="H77" s="44"/>
      <c r="I77" s="44"/>
      <c r="J77" s="44"/>
      <c r="K77" s="44"/>
      <c r="L77" s="44"/>
      <c r="M77" s="42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I77"/>
      <c r="AJ77"/>
      <c r="AK77" s="105"/>
      <c r="AL77" s="90"/>
    </row>
    <row r="78" spans="1:38" s="43" customFormat="1" x14ac:dyDescent="0.3">
      <c r="A78" s="3"/>
      <c r="C78" s="89"/>
      <c r="D78" s="89"/>
      <c r="F78" s="4"/>
      <c r="H78" s="44"/>
      <c r="I78" s="44"/>
      <c r="J78" s="44"/>
      <c r="K78" s="44"/>
      <c r="L78" s="44"/>
      <c r="M78" s="42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</row>
    <row r="79" spans="1:38" s="43" customFormat="1" x14ac:dyDescent="0.3">
      <c r="A79" s="3"/>
      <c r="B79" s="111"/>
      <c r="C79" s="104"/>
      <c r="D79" s="89"/>
      <c r="F79" s="4"/>
      <c r="H79" s="44"/>
      <c r="I79" s="44"/>
      <c r="J79" s="44"/>
      <c r="K79" s="44"/>
      <c r="L79" s="44"/>
      <c r="M79" s="42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</row>
    <row r="80" spans="1:38" s="43" customFormat="1" x14ac:dyDescent="0.3">
      <c r="A80" s="3"/>
      <c r="C80" s="104"/>
      <c r="D80" s="89"/>
      <c r="F80" s="4"/>
      <c r="H80" s="44"/>
      <c r="I80" s="44"/>
      <c r="J80" s="44"/>
      <c r="K80" s="44"/>
      <c r="L80" s="44"/>
      <c r="M80" s="42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</row>
    <row r="81" spans="1:29" s="43" customFormat="1" x14ac:dyDescent="0.3">
      <c r="A81" s="3"/>
      <c r="F81" s="4"/>
      <c r="H81" s="44"/>
      <c r="I81" s="44"/>
      <c r="J81" s="44"/>
      <c r="K81" s="44"/>
      <c r="L81" s="44"/>
      <c r="M81" s="42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</row>
    <row r="82" spans="1:29" s="43" customFormat="1" x14ac:dyDescent="0.3">
      <c r="A82" s="3"/>
      <c r="B82" s="111"/>
      <c r="C82" s="104"/>
      <c r="D82" s="89"/>
      <c r="F82" s="4"/>
      <c r="H82" s="44"/>
      <c r="I82" s="44"/>
      <c r="J82" s="44"/>
      <c r="K82" s="44"/>
      <c r="L82" s="44"/>
      <c r="M82" s="42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</row>
    <row r="83" spans="1:29" s="43" customFormat="1" x14ac:dyDescent="0.3">
      <c r="A83" s="3"/>
      <c r="C83" s="104"/>
      <c r="D83" s="89"/>
      <c r="F83" s="4"/>
      <c r="H83" s="44"/>
      <c r="I83" s="44"/>
      <c r="J83" s="44"/>
      <c r="K83" s="44"/>
      <c r="L83" s="44"/>
      <c r="M83" s="42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</row>
    <row r="84" spans="1:29" s="43" customFormat="1" x14ac:dyDescent="0.3">
      <c r="A84" s="3"/>
      <c r="C84" s="89"/>
      <c r="D84" s="89"/>
      <c r="F84" s="4"/>
      <c r="H84" s="44"/>
      <c r="I84" s="44"/>
      <c r="J84" s="44"/>
      <c r="K84" s="44"/>
      <c r="L84" s="44"/>
      <c r="M84" s="42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</row>
    <row r="85" spans="1:29" s="43" customFormat="1" x14ac:dyDescent="0.3">
      <c r="A85" s="3"/>
      <c r="B85" s="111"/>
      <c r="C85" s="104"/>
      <c r="D85" s="89"/>
      <c r="F85" s="4"/>
      <c r="H85" s="44"/>
      <c r="I85" s="44"/>
      <c r="J85" s="44"/>
      <c r="K85" s="44"/>
      <c r="L85" s="44"/>
      <c r="M85" s="42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</row>
    <row r="86" spans="1:29" s="43" customFormat="1" x14ac:dyDescent="0.3">
      <c r="A86" s="3"/>
      <c r="C86" s="104"/>
      <c r="D86" s="89"/>
      <c r="F86" s="4"/>
      <c r="H86" s="44"/>
      <c r="I86" s="44"/>
      <c r="J86" s="44"/>
      <c r="K86" s="44"/>
      <c r="L86" s="44"/>
      <c r="M86" s="42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</row>
    <row r="87" spans="1:29" s="43" customFormat="1" x14ac:dyDescent="0.3">
      <c r="A87" s="3"/>
      <c r="F87" s="4"/>
      <c r="H87" s="44"/>
      <c r="I87" s="44"/>
      <c r="J87" s="44"/>
      <c r="K87" s="44"/>
      <c r="L87" s="44"/>
      <c r="M87" s="42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</row>
    <row r="88" spans="1:29" s="43" customFormat="1" x14ac:dyDescent="0.3">
      <c r="A88" s="3"/>
      <c r="B88" s="111"/>
      <c r="C88" s="104"/>
      <c r="D88" s="89"/>
      <c r="F88" s="4"/>
      <c r="H88" s="44"/>
      <c r="I88" s="44"/>
      <c r="J88" s="44"/>
      <c r="K88" s="44"/>
      <c r="L88" s="44"/>
      <c r="M88" s="42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</row>
    <row r="89" spans="1:29" s="43" customFormat="1" x14ac:dyDescent="0.3">
      <c r="A89" s="3"/>
      <c r="C89" s="104">
        <f t="shared" ref="C89" si="1">C88</f>
        <v>0</v>
      </c>
      <c r="D89" s="89" t="e">
        <f>_xlfn.FORECAST.LINEAR(C89,$E$48:$E$49,$D$48:$D$49)</f>
        <v>#DIV/0!</v>
      </c>
      <c r="F89" s="4"/>
      <c r="H89" s="44"/>
      <c r="I89" s="44"/>
      <c r="J89" s="44"/>
      <c r="K89" s="44"/>
      <c r="L89" s="44"/>
      <c r="M89" s="42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</row>
    <row r="90" spans="1:29" s="43" customFormat="1" x14ac:dyDescent="0.3">
      <c r="A90" s="3"/>
      <c r="B90" s="68"/>
      <c r="C90" s="68"/>
      <c r="D90" s="68"/>
      <c r="E90" s="68"/>
      <c r="F90" s="95"/>
      <c r="G90" s="68"/>
      <c r="H90" s="69" t="str">
        <f>IF(MAX(Table15[Saudi Arabia - 19 March])=0,"",1)</f>
        <v/>
      </c>
      <c r="I90" s="69" t="str">
        <f>IF(MAX(Table15[Australia - 2 April])=0,"",1)</f>
        <v/>
      </c>
      <c r="J90" s="69" t="str">
        <f>IF(MAX(Table15[Azerbaijan - 30 April])=0,"",1)</f>
        <v/>
      </c>
      <c r="K90" s="69" t="str">
        <f>IF(MAX(Table15[Miami - 7 May])=0,"",1)</f>
        <v/>
      </c>
      <c r="L90" s="69">
        <v>1</v>
      </c>
      <c r="M90" s="69" t="str">
        <f>IF(MAX(Table15[Monaco - 28 May])=0,"",1)</f>
        <v/>
      </c>
      <c r="N90" s="69" t="str">
        <f>IF(MAX(Table15[Spain - 4 June])=0,"",1)</f>
        <v/>
      </c>
      <c r="O90" s="69" t="str">
        <f>IF(MAX(Table15[Canada - 18 June])=0,"",1)</f>
        <v/>
      </c>
      <c r="P90" s="69" t="str">
        <f>IF(MAX(Table15[Austria - 2 July])=0,"",1)</f>
        <v/>
      </c>
      <c r="Q90" s="69" t="str">
        <f>IF(MAX(Table15[Great Britain - 9 July])=0,"",1)</f>
        <v/>
      </c>
      <c r="R90" s="69" t="str">
        <f>IF(MAX(Table15[Hungary - 23 July])=0,"",1)</f>
        <v/>
      </c>
      <c r="S90" s="69" t="str">
        <f>IF(MAX(Table15[Belgium - 30 July])=0,"",1)</f>
        <v/>
      </c>
      <c r="T90" s="69" t="str">
        <f>IF(MAX(Table15[Netherlands - 27 August])=0,"",1)</f>
        <v/>
      </c>
      <c r="U90" s="69" t="str">
        <f>IF(MAX(Table15[Italy - 3 September])=0,"",1)</f>
        <v/>
      </c>
      <c r="V90" s="69" t="str">
        <f>IF(MAX(Table15[Singapore - 17 September])=0,"",1)</f>
        <v/>
      </c>
      <c r="W90" s="69" t="str">
        <f>IF(MAX(Table15[Japan - 24 September])=0,"",1)</f>
        <v/>
      </c>
      <c r="X90" s="69" t="str">
        <f>IF(MAX(Table15[Qatar - 8 October])=0,"",1)</f>
        <v/>
      </c>
      <c r="Y90" s="69" t="str">
        <f>IF(MAX(Table15[United States - 22 October])=0,"",1)</f>
        <v/>
      </c>
      <c r="Z90" s="69" t="str">
        <f>IF(MAX(Table15[Mexico - 29 October])=0,"",1)</f>
        <v/>
      </c>
      <c r="AA90" s="69" t="str">
        <f>IF(MAX(Table15[Brazil - 5 November])=0,"",1)</f>
        <v/>
      </c>
      <c r="AB90" s="69" t="str">
        <f>IF(MAX(Table15[Las Vegas - 18 November])=0,"",1)</f>
        <v/>
      </c>
      <c r="AC90" s="69" t="str">
        <f>IF(MAX(Table15[Abu Dhabi - 26 November])=0,"",1)</f>
        <v/>
      </c>
    </row>
    <row r="91" spans="1:29" s="43" customFormat="1" x14ac:dyDescent="0.3">
      <c r="A91" s="3"/>
      <c r="B91" s="70" t="s">
        <v>71</v>
      </c>
      <c r="C91" s="70"/>
      <c r="D91" s="70"/>
      <c r="E91" s="70"/>
      <c r="F91" s="96"/>
      <c r="G91" s="71"/>
      <c r="H91" s="72">
        <v>1</v>
      </c>
      <c r="I91" s="72">
        <v>2</v>
      </c>
      <c r="J91" s="72">
        <v>3</v>
      </c>
      <c r="K91" s="72">
        <v>4</v>
      </c>
      <c r="L91" s="72">
        <v>5</v>
      </c>
      <c r="M91" s="72">
        <v>6</v>
      </c>
      <c r="N91" s="72">
        <v>7</v>
      </c>
      <c r="O91" s="72">
        <v>8</v>
      </c>
      <c r="P91" s="72">
        <v>9</v>
      </c>
      <c r="Q91" s="72">
        <v>10</v>
      </c>
      <c r="R91" s="72">
        <v>11</v>
      </c>
      <c r="S91" s="72">
        <v>12</v>
      </c>
      <c r="T91" s="72">
        <v>13</v>
      </c>
      <c r="U91" s="72">
        <v>14</v>
      </c>
      <c r="V91" s="72">
        <v>15</v>
      </c>
      <c r="W91" s="72">
        <v>16</v>
      </c>
      <c r="X91" s="72">
        <v>17</v>
      </c>
      <c r="Y91" s="72">
        <v>18</v>
      </c>
      <c r="Z91" s="72">
        <v>19</v>
      </c>
      <c r="AA91" s="72">
        <v>20</v>
      </c>
      <c r="AB91" s="72">
        <v>21</v>
      </c>
      <c r="AC91" s="72">
        <v>22</v>
      </c>
    </row>
    <row r="92" spans="1:29" s="43" customFormat="1" x14ac:dyDescent="0.3">
      <c r="A92" s="3"/>
      <c r="B92" s="68" t="str" cm="1">
        <f t="array" ref="B92:B117">_xlfn.UNIQUE(Table15[Name])</f>
        <v>Markus</v>
      </c>
      <c r="C92" s="68"/>
      <c r="D92" s="68"/>
      <c r="E92" s="68"/>
      <c r="F92" s="95"/>
      <c r="G92" s="73"/>
      <c r="H92" s="66" t="e" cm="1">
        <f t="array" ref="H92:H117">Table15[Saudi Arabia - 19 March]*H90</f>
        <v>#VALUE!</v>
      </c>
      <c r="I92" s="66" t="e" cm="1">
        <f t="array" ref="I92:I117">IFERROR((_xlfn.ANCHORARRAY(H92)+Table15[Australia - 2 April])*I90,NA())</f>
        <v>#N/A</v>
      </c>
      <c r="J92" s="66" t="e" cm="1">
        <f t="array" ref="J92:J117">IFERROR((_xlfn.ANCHORARRAY(I92)+Table15[Azerbaijan - 30 April])*J90,NA())</f>
        <v>#N/A</v>
      </c>
      <c r="K92" s="66" t="e" cm="1">
        <f t="array" ref="K92:K117">IFERROR((_xlfn.ANCHORARRAY(J92)+Table15[Miami - 7 May])*K90,NA())</f>
        <v>#N/A</v>
      </c>
      <c r="L92" s="66" t="e" cm="1">
        <f t="array" ref="L92:L117">IFERROR((_xlfn.ANCHORARRAY(K92)+Table15[Italy - 21 May])*L90,NA())</f>
        <v>#N/A</v>
      </c>
      <c r="M92" s="66" t="e" cm="1">
        <f t="array" ref="M92:M117">IFERROR((_xlfn.ANCHORARRAY(L92)+Table15[Monaco - 28 May])*M90,NA())</f>
        <v>#N/A</v>
      </c>
      <c r="N92" s="66" t="e" cm="1">
        <f t="array" ref="N92:N117">IFERROR((_xlfn.ANCHORARRAY(M92)+Table15[Spain - 4 June])*N90,NA())</f>
        <v>#N/A</v>
      </c>
      <c r="O92" s="66" t="e" cm="1">
        <f t="array" ref="O92:O117">IFERROR((_xlfn.ANCHORARRAY(N92)+Table15[Canada - 18 June])*O90,NA())</f>
        <v>#N/A</v>
      </c>
      <c r="P92" s="66" t="e" cm="1">
        <f t="array" ref="P92:P117">IFERROR((_xlfn.ANCHORARRAY(O92)+Table15[Austria - 2 July])*P90,NA())</f>
        <v>#N/A</v>
      </c>
      <c r="Q92" s="66" t="e" cm="1">
        <f t="array" ref="Q92:Q117">IFERROR((_xlfn.ANCHORARRAY(P92)+Table15[Great Britain - 9 July])*Q90,NA())</f>
        <v>#N/A</v>
      </c>
      <c r="R92" s="66" t="e" cm="1">
        <f t="array" ref="R92:R117">IFERROR((_xlfn.ANCHORARRAY(Q92)+Table15[Hungary - 23 July])*R90,NA())</f>
        <v>#N/A</v>
      </c>
      <c r="S92" s="66" t="e" cm="1">
        <f t="array" ref="S92:S117">IFERROR((_xlfn.ANCHORARRAY(R92)+Table15[Belgium - 30 July])*S90,NA())</f>
        <v>#N/A</v>
      </c>
      <c r="T92" s="66" t="e" cm="1">
        <f t="array" ref="T92:T117">IFERROR((_xlfn.ANCHORARRAY(S92)+Table15[Netherlands - 27 August])*T90,NA())</f>
        <v>#N/A</v>
      </c>
      <c r="U92" s="66" t="e" cm="1">
        <f t="array" ref="U92:U117">IFERROR((_xlfn.ANCHORARRAY(T92)+Table15[Italy - 3 September])*U90,NA())</f>
        <v>#N/A</v>
      </c>
      <c r="V92" s="66" t="e" cm="1">
        <f t="array" ref="V92:V117">IFERROR((_xlfn.ANCHORARRAY(U92)+Table15[Singapore - 17 September])*V90,NA())</f>
        <v>#N/A</v>
      </c>
      <c r="W92" s="66" t="e" cm="1">
        <f t="array" ref="W92:W117">IFERROR((_xlfn.ANCHORARRAY(V92)+Table15[Japan - 24 September])*W90,NA())</f>
        <v>#N/A</v>
      </c>
      <c r="X92" s="66" t="e" cm="1">
        <f t="array" ref="X92:X117">IFERROR((_xlfn.ANCHORARRAY(W92)+Table15[Qatar - 8 October])*X90,NA())</f>
        <v>#N/A</v>
      </c>
      <c r="Y92" s="66" t="e" cm="1">
        <f t="array" ref="Y92:Y117">IFERROR((_xlfn.ANCHORARRAY(X92)+Table15[United States - 22 October])*Y90,NA())</f>
        <v>#N/A</v>
      </c>
      <c r="Z92" s="66" t="e" cm="1">
        <f t="array" ref="Z92:Z117">IFERROR((_xlfn.ANCHORARRAY(Y92)+Table15[Mexico - 29 October])*Z90,NA())</f>
        <v>#N/A</v>
      </c>
      <c r="AA92" s="66" t="e" cm="1">
        <f t="array" ref="AA92:AA117">IFERROR((_xlfn.ANCHORARRAY(Z92)+Table15[Brazil - 5 November])*AA90,NA())</f>
        <v>#N/A</v>
      </c>
      <c r="AB92" s="66" t="e" cm="1">
        <f t="array" ref="AB92:AB117">IFERROR((_xlfn.ANCHORARRAY(AA92)+Table15[Las Vegas - 18 November])*AB90,NA())</f>
        <v>#N/A</v>
      </c>
      <c r="AC92" s="66" t="e" cm="1">
        <f t="array" ref="AC92:AC117">IFERROR((_xlfn.ANCHORARRAY(AB92)+Table15[Abu Dhabi - 26 November])*AC90,NA())</f>
        <v>#N/A</v>
      </c>
    </row>
    <row r="93" spans="1:29" s="43" customFormat="1" x14ac:dyDescent="0.3">
      <c r="A93" s="3"/>
      <c r="B93" s="68" t="str">
        <v>Kristel</v>
      </c>
      <c r="C93" s="68"/>
      <c r="D93" s="68"/>
      <c r="E93" s="68"/>
      <c r="F93" s="95"/>
      <c r="G93" s="68"/>
      <c r="H93" s="66" t="e">
        <v>#VALUE!</v>
      </c>
      <c r="I93" s="66" t="e">
        <v>#N/A</v>
      </c>
      <c r="J93" s="66" t="e">
        <v>#N/A</v>
      </c>
      <c r="K93" s="66" t="e">
        <v>#N/A</v>
      </c>
      <c r="L93" s="66" t="e">
        <v>#N/A</v>
      </c>
      <c r="M93" s="66" t="e">
        <v>#N/A</v>
      </c>
      <c r="N93" s="66" t="e">
        <v>#N/A</v>
      </c>
      <c r="O93" s="66" t="e">
        <v>#N/A</v>
      </c>
      <c r="P93" s="66" t="e">
        <v>#N/A</v>
      </c>
      <c r="Q93" s="66" t="e">
        <v>#N/A</v>
      </c>
      <c r="R93" s="66" t="e">
        <v>#N/A</v>
      </c>
      <c r="S93" s="66" t="e">
        <v>#N/A</v>
      </c>
      <c r="T93" s="66" t="e">
        <v>#N/A</v>
      </c>
      <c r="U93" s="66" t="e">
        <v>#N/A</v>
      </c>
      <c r="V93" s="66" t="e">
        <v>#N/A</v>
      </c>
      <c r="W93" s="66" t="e">
        <v>#N/A</v>
      </c>
      <c r="X93" s="66" t="e">
        <v>#N/A</v>
      </c>
      <c r="Y93" s="66" t="e">
        <v>#N/A</v>
      </c>
      <c r="Z93" s="66" t="e">
        <v>#N/A</v>
      </c>
      <c r="AA93" s="66" t="e">
        <v>#N/A</v>
      </c>
      <c r="AB93" s="66" t="e">
        <v>#N/A</v>
      </c>
      <c r="AC93" s="66" t="e">
        <v>#N/A</v>
      </c>
    </row>
    <row r="94" spans="1:29" s="43" customFormat="1" x14ac:dyDescent="0.3">
      <c r="A94" s="3"/>
      <c r="B94" s="68" t="str">
        <v>Suzzy B</v>
      </c>
      <c r="C94" s="68"/>
      <c r="D94" s="68"/>
      <c r="E94" s="68"/>
      <c r="F94" s="95"/>
      <c r="G94" s="68"/>
      <c r="H94" s="66" t="e">
        <v>#VALUE!</v>
      </c>
      <c r="I94" s="66" t="e">
        <v>#N/A</v>
      </c>
      <c r="J94" s="66" t="e">
        <v>#N/A</v>
      </c>
      <c r="K94" s="66" t="e">
        <v>#N/A</v>
      </c>
      <c r="L94" s="66" t="e">
        <v>#N/A</v>
      </c>
      <c r="M94" s="66" t="e">
        <v>#N/A</v>
      </c>
      <c r="N94" s="66" t="e">
        <v>#N/A</v>
      </c>
      <c r="O94" s="66" t="e">
        <v>#N/A</v>
      </c>
      <c r="P94" s="66" t="e">
        <v>#N/A</v>
      </c>
      <c r="Q94" s="66" t="e">
        <v>#N/A</v>
      </c>
      <c r="R94" s="66" t="e">
        <v>#N/A</v>
      </c>
      <c r="S94" s="66" t="e">
        <v>#N/A</v>
      </c>
      <c r="T94" s="66" t="e">
        <v>#N/A</v>
      </c>
      <c r="U94" s="66" t="e">
        <v>#N/A</v>
      </c>
      <c r="V94" s="66" t="e">
        <v>#N/A</v>
      </c>
      <c r="W94" s="66" t="e">
        <v>#N/A</v>
      </c>
      <c r="X94" s="66" t="e">
        <v>#N/A</v>
      </c>
      <c r="Y94" s="66" t="e">
        <v>#N/A</v>
      </c>
      <c r="Z94" s="66" t="e">
        <v>#N/A</v>
      </c>
      <c r="AA94" s="66" t="e">
        <v>#N/A</v>
      </c>
      <c r="AB94" s="66" t="e">
        <v>#N/A</v>
      </c>
      <c r="AC94" s="66" t="e">
        <v>#N/A</v>
      </c>
    </row>
    <row r="95" spans="1:29" s="43" customFormat="1" x14ac:dyDescent="0.3">
      <c r="A95" s="3"/>
      <c r="B95" s="68" t="str">
        <v>Wade</v>
      </c>
      <c r="C95" s="68"/>
      <c r="D95" s="68"/>
      <c r="E95" s="68"/>
      <c r="F95" s="95"/>
      <c r="G95" s="68"/>
      <c r="H95" s="66" t="e">
        <v>#VALUE!</v>
      </c>
      <c r="I95" s="66" t="e">
        <v>#N/A</v>
      </c>
      <c r="J95" s="66" t="e">
        <v>#N/A</v>
      </c>
      <c r="K95" s="66" t="e">
        <v>#N/A</v>
      </c>
      <c r="L95" s="66" t="e">
        <v>#N/A</v>
      </c>
      <c r="M95" s="66" t="e">
        <v>#N/A</v>
      </c>
      <c r="N95" s="66" t="e">
        <v>#N/A</v>
      </c>
      <c r="O95" s="66" t="e">
        <v>#N/A</v>
      </c>
      <c r="P95" s="66" t="e">
        <v>#N/A</v>
      </c>
      <c r="Q95" s="66" t="e">
        <v>#N/A</v>
      </c>
      <c r="R95" s="66" t="e">
        <v>#N/A</v>
      </c>
      <c r="S95" s="66" t="e">
        <v>#N/A</v>
      </c>
      <c r="T95" s="66" t="e">
        <v>#N/A</v>
      </c>
      <c r="U95" s="66" t="e">
        <v>#N/A</v>
      </c>
      <c r="V95" s="66" t="e">
        <v>#N/A</v>
      </c>
      <c r="W95" s="66" t="e">
        <v>#N/A</v>
      </c>
      <c r="X95" s="66" t="e">
        <v>#N/A</v>
      </c>
      <c r="Y95" s="66" t="e">
        <v>#N/A</v>
      </c>
      <c r="Z95" s="66" t="e">
        <v>#N/A</v>
      </c>
      <c r="AA95" s="66" t="e">
        <v>#N/A</v>
      </c>
      <c r="AB95" s="66" t="e">
        <v>#N/A</v>
      </c>
      <c r="AC95" s="66" t="e">
        <v>#N/A</v>
      </c>
    </row>
    <row r="96" spans="1:29" s="43" customFormat="1" x14ac:dyDescent="0.3">
      <c r="A96" s="3"/>
      <c r="B96" s="68" t="str">
        <v>Joshua</v>
      </c>
      <c r="C96" s="68"/>
      <c r="D96" s="68"/>
      <c r="E96" s="68"/>
      <c r="F96" s="95"/>
      <c r="G96" s="68"/>
      <c r="H96" s="66" t="e">
        <v>#VALUE!</v>
      </c>
      <c r="I96" s="66" t="e">
        <v>#N/A</v>
      </c>
      <c r="J96" s="66" t="e">
        <v>#N/A</v>
      </c>
      <c r="K96" s="66" t="e">
        <v>#N/A</v>
      </c>
      <c r="L96" s="66" t="e">
        <v>#N/A</v>
      </c>
      <c r="M96" s="66" t="e">
        <v>#N/A</v>
      </c>
      <c r="N96" s="66" t="e">
        <v>#N/A</v>
      </c>
      <c r="O96" s="66" t="e">
        <v>#N/A</v>
      </c>
      <c r="P96" s="66" t="e">
        <v>#N/A</v>
      </c>
      <c r="Q96" s="66" t="e">
        <v>#N/A</v>
      </c>
      <c r="R96" s="66" t="e">
        <v>#N/A</v>
      </c>
      <c r="S96" s="66" t="e">
        <v>#N/A</v>
      </c>
      <c r="T96" s="66" t="e">
        <v>#N/A</v>
      </c>
      <c r="U96" s="66" t="e">
        <v>#N/A</v>
      </c>
      <c r="V96" s="66" t="e">
        <v>#N/A</v>
      </c>
      <c r="W96" s="66" t="e">
        <v>#N/A</v>
      </c>
      <c r="X96" s="66" t="e">
        <v>#N/A</v>
      </c>
      <c r="Y96" s="66" t="e">
        <v>#N/A</v>
      </c>
      <c r="Z96" s="66" t="e">
        <v>#N/A</v>
      </c>
      <c r="AA96" s="66" t="e">
        <v>#N/A</v>
      </c>
      <c r="AB96" s="66" t="e">
        <v>#N/A</v>
      </c>
      <c r="AC96" s="66" t="e">
        <v>#N/A</v>
      </c>
    </row>
    <row r="97" spans="1:29" s="43" customFormat="1" x14ac:dyDescent="0.3">
      <c r="A97" s="3"/>
      <c r="B97" s="68" t="str">
        <v>Frank</v>
      </c>
      <c r="C97" s="68"/>
      <c r="D97" s="68"/>
      <c r="E97" s="68"/>
      <c r="F97" s="95"/>
      <c r="G97" s="68"/>
      <c r="H97" s="66" t="e">
        <v>#VALUE!</v>
      </c>
      <c r="I97" s="66" t="e">
        <v>#N/A</v>
      </c>
      <c r="J97" s="66" t="e">
        <v>#N/A</v>
      </c>
      <c r="K97" s="66" t="e">
        <v>#N/A</v>
      </c>
      <c r="L97" s="66" t="e">
        <v>#N/A</v>
      </c>
      <c r="M97" s="66" t="e">
        <v>#N/A</v>
      </c>
      <c r="N97" s="66" t="e">
        <v>#N/A</v>
      </c>
      <c r="O97" s="66" t="e">
        <v>#N/A</v>
      </c>
      <c r="P97" s="66" t="e">
        <v>#N/A</v>
      </c>
      <c r="Q97" s="66" t="e">
        <v>#N/A</v>
      </c>
      <c r="R97" s="66" t="e">
        <v>#N/A</v>
      </c>
      <c r="S97" s="66" t="e">
        <v>#N/A</v>
      </c>
      <c r="T97" s="66" t="e">
        <v>#N/A</v>
      </c>
      <c r="U97" s="66" t="e">
        <v>#N/A</v>
      </c>
      <c r="V97" s="66" t="e">
        <v>#N/A</v>
      </c>
      <c r="W97" s="66" t="e">
        <v>#N/A</v>
      </c>
      <c r="X97" s="66" t="e">
        <v>#N/A</v>
      </c>
      <c r="Y97" s="66" t="e">
        <v>#N/A</v>
      </c>
      <c r="Z97" s="66" t="e">
        <v>#N/A</v>
      </c>
      <c r="AA97" s="66" t="e">
        <v>#N/A</v>
      </c>
      <c r="AB97" s="66" t="e">
        <v>#N/A</v>
      </c>
      <c r="AC97" s="66" t="e">
        <v>#N/A</v>
      </c>
    </row>
    <row r="98" spans="1:29" s="43" customFormat="1" x14ac:dyDescent="0.3">
      <c r="A98" s="3"/>
      <c r="B98" s="68" t="str">
        <v>Jimbo</v>
      </c>
      <c r="C98" s="68"/>
      <c r="D98" s="68"/>
      <c r="E98" s="68"/>
      <c r="F98" s="95"/>
      <c r="G98" s="68"/>
      <c r="H98" s="66" t="e">
        <v>#VALUE!</v>
      </c>
      <c r="I98" s="66" t="e">
        <v>#N/A</v>
      </c>
      <c r="J98" s="66" t="e">
        <v>#N/A</v>
      </c>
      <c r="K98" s="66" t="e">
        <v>#N/A</v>
      </c>
      <c r="L98" s="66" t="e">
        <v>#N/A</v>
      </c>
      <c r="M98" s="66" t="e">
        <v>#N/A</v>
      </c>
      <c r="N98" s="66" t="e">
        <v>#N/A</v>
      </c>
      <c r="O98" s="66" t="e">
        <v>#N/A</v>
      </c>
      <c r="P98" s="66" t="e">
        <v>#N/A</v>
      </c>
      <c r="Q98" s="66" t="e">
        <v>#N/A</v>
      </c>
      <c r="R98" s="66" t="e">
        <v>#N/A</v>
      </c>
      <c r="S98" s="66" t="e">
        <v>#N/A</v>
      </c>
      <c r="T98" s="66" t="e">
        <v>#N/A</v>
      </c>
      <c r="U98" s="66" t="e">
        <v>#N/A</v>
      </c>
      <c r="V98" s="66" t="e">
        <v>#N/A</v>
      </c>
      <c r="W98" s="66" t="e">
        <v>#N/A</v>
      </c>
      <c r="X98" s="66" t="e">
        <v>#N/A</v>
      </c>
      <c r="Y98" s="66" t="e">
        <v>#N/A</v>
      </c>
      <c r="Z98" s="66" t="e">
        <v>#N/A</v>
      </c>
      <c r="AA98" s="66" t="e">
        <v>#N/A</v>
      </c>
      <c r="AB98" s="66" t="e">
        <v>#N/A</v>
      </c>
      <c r="AC98" s="66" t="e">
        <v>#N/A</v>
      </c>
    </row>
    <row r="99" spans="1:29" s="43" customFormat="1" x14ac:dyDescent="0.3">
      <c r="A99" s="3"/>
      <c r="B99" s="68" t="str">
        <v>Mike</v>
      </c>
      <c r="C99" s="68"/>
      <c r="D99" s="68"/>
      <c r="E99" s="68"/>
      <c r="F99" s="95"/>
      <c r="G99" s="68"/>
      <c r="H99" s="66" t="e">
        <v>#VALUE!</v>
      </c>
      <c r="I99" s="66" t="e">
        <v>#N/A</v>
      </c>
      <c r="J99" s="66" t="e">
        <v>#N/A</v>
      </c>
      <c r="K99" s="66" t="e">
        <v>#N/A</v>
      </c>
      <c r="L99" s="66" t="e">
        <v>#N/A</v>
      </c>
      <c r="M99" s="66" t="e">
        <v>#N/A</v>
      </c>
      <c r="N99" s="66" t="e">
        <v>#N/A</v>
      </c>
      <c r="O99" s="66" t="e">
        <v>#N/A</v>
      </c>
      <c r="P99" s="66" t="e">
        <v>#N/A</v>
      </c>
      <c r="Q99" s="66" t="e">
        <v>#N/A</v>
      </c>
      <c r="R99" s="66" t="e">
        <v>#N/A</v>
      </c>
      <c r="S99" s="66" t="e">
        <v>#N/A</v>
      </c>
      <c r="T99" s="66" t="e">
        <v>#N/A</v>
      </c>
      <c r="U99" s="66" t="e">
        <v>#N/A</v>
      </c>
      <c r="V99" s="66" t="e">
        <v>#N/A</v>
      </c>
      <c r="W99" s="66" t="e">
        <v>#N/A</v>
      </c>
      <c r="X99" s="66" t="e">
        <v>#N/A</v>
      </c>
      <c r="Y99" s="66" t="e">
        <v>#N/A</v>
      </c>
      <c r="Z99" s="66" t="e">
        <v>#N/A</v>
      </c>
      <c r="AA99" s="66" t="e">
        <v>#N/A</v>
      </c>
      <c r="AB99" s="66" t="e">
        <v>#N/A</v>
      </c>
      <c r="AC99" s="66" t="e">
        <v>#N/A</v>
      </c>
    </row>
    <row r="100" spans="1:29" s="43" customFormat="1" x14ac:dyDescent="0.3">
      <c r="A100" s="3"/>
      <c r="B100" s="68" t="str">
        <v>Nico SR</v>
      </c>
      <c r="C100" s="68"/>
      <c r="D100" s="68"/>
      <c r="E100" s="68"/>
      <c r="F100" s="95"/>
      <c r="G100" s="68"/>
      <c r="H100" s="66" t="e">
        <v>#VALUE!</v>
      </c>
      <c r="I100" s="66" t="e">
        <v>#N/A</v>
      </c>
      <c r="J100" s="66" t="e">
        <v>#N/A</v>
      </c>
      <c r="K100" s="66" t="e">
        <v>#N/A</v>
      </c>
      <c r="L100" s="66" t="e">
        <v>#N/A</v>
      </c>
      <c r="M100" s="66" t="e">
        <v>#N/A</v>
      </c>
      <c r="N100" s="66" t="e">
        <v>#N/A</v>
      </c>
      <c r="O100" s="66" t="e">
        <v>#N/A</v>
      </c>
      <c r="P100" s="66" t="e">
        <v>#N/A</v>
      </c>
      <c r="Q100" s="66" t="e">
        <v>#N/A</v>
      </c>
      <c r="R100" s="66" t="e">
        <v>#N/A</v>
      </c>
      <c r="S100" s="66" t="e">
        <v>#N/A</v>
      </c>
      <c r="T100" s="66" t="e">
        <v>#N/A</v>
      </c>
      <c r="U100" s="66" t="e">
        <v>#N/A</v>
      </c>
      <c r="V100" s="66" t="e">
        <v>#N/A</v>
      </c>
      <c r="W100" s="66" t="e">
        <v>#N/A</v>
      </c>
      <c r="X100" s="66" t="e">
        <v>#N/A</v>
      </c>
      <c r="Y100" s="66" t="e">
        <v>#N/A</v>
      </c>
      <c r="Z100" s="66" t="e">
        <v>#N/A</v>
      </c>
      <c r="AA100" s="66" t="e">
        <v>#N/A</v>
      </c>
      <c r="AB100" s="66" t="e">
        <v>#N/A</v>
      </c>
      <c r="AC100" s="66" t="e">
        <v>#N/A</v>
      </c>
    </row>
    <row r="101" spans="1:29" s="43" customFormat="1" x14ac:dyDescent="0.3">
      <c r="A101" s="3"/>
      <c r="B101" s="68" t="str">
        <v>Ilarie</v>
      </c>
      <c r="C101" s="68"/>
      <c r="D101" s="68"/>
      <c r="E101" s="68"/>
      <c r="F101" s="95"/>
      <c r="G101" s="68"/>
      <c r="H101" s="66" t="e">
        <v>#VALUE!</v>
      </c>
      <c r="I101" s="66" t="e">
        <v>#N/A</v>
      </c>
      <c r="J101" s="66" t="e">
        <v>#N/A</v>
      </c>
      <c r="K101" s="66" t="e">
        <v>#N/A</v>
      </c>
      <c r="L101" s="66" t="e">
        <v>#N/A</v>
      </c>
      <c r="M101" s="66" t="e">
        <v>#N/A</v>
      </c>
      <c r="N101" s="66" t="e">
        <v>#N/A</v>
      </c>
      <c r="O101" s="66" t="e">
        <v>#N/A</v>
      </c>
      <c r="P101" s="66" t="e">
        <v>#N/A</v>
      </c>
      <c r="Q101" s="66" t="e">
        <v>#N/A</v>
      </c>
      <c r="R101" s="66" t="e">
        <v>#N/A</v>
      </c>
      <c r="S101" s="66" t="e">
        <v>#N/A</v>
      </c>
      <c r="T101" s="66" t="e">
        <v>#N/A</v>
      </c>
      <c r="U101" s="66" t="e">
        <v>#N/A</v>
      </c>
      <c r="V101" s="66" t="e">
        <v>#N/A</v>
      </c>
      <c r="W101" s="66" t="e">
        <v>#N/A</v>
      </c>
      <c r="X101" s="66" t="e">
        <v>#N/A</v>
      </c>
      <c r="Y101" s="66" t="e">
        <v>#N/A</v>
      </c>
      <c r="Z101" s="66" t="e">
        <v>#N/A</v>
      </c>
      <c r="AA101" s="66" t="e">
        <v>#N/A</v>
      </c>
      <c r="AB101" s="66" t="e">
        <v>#N/A</v>
      </c>
      <c r="AC101" s="66" t="e">
        <v>#N/A</v>
      </c>
    </row>
    <row r="102" spans="1:29" s="43" customFormat="1" x14ac:dyDescent="0.3">
      <c r="A102" s="3"/>
      <c r="B102" s="68" t="str">
        <v>Oscar</v>
      </c>
      <c r="C102" s="68"/>
      <c r="D102" s="68"/>
      <c r="E102" s="68"/>
      <c r="F102" s="95"/>
      <c r="G102" s="68"/>
      <c r="H102" s="66" t="e">
        <v>#VALUE!</v>
      </c>
      <c r="I102" s="66" t="e">
        <v>#N/A</v>
      </c>
      <c r="J102" s="66" t="e">
        <v>#N/A</v>
      </c>
      <c r="K102" s="66" t="e">
        <v>#N/A</v>
      </c>
      <c r="L102" s="66" t="e">
        <v>#N/A</v>
      </c>
      <c r="M102" s="66" t="e">
        <v>#N/A</v>
      </c>
      <c r="N102" s="66" t="e">
        <v>#N/A</v>
      </c>
      <c r="O102" s="66" t="e">
        <v>#N/A</v>
      </c>
      <c r="P102" s="66" t="e">
        <v>#N/A</v>
      </c>
      <c r="Q102" s="66" t="e">
        <v>#N/A</v>
      </c>
      <c r="R102" s="66" t="e">
        <v>#N/A</v>
      </c>
      <c r="S102" s="66" t="e">
        <v>#N/A</v>
      </c>
      <c r="T102" s="66" t="e">
        <v>#N/A</v>
      </c>
      <c r="U102" s="66" t="e">
        <v>#N/A</v>
      </c>
      <c r="V102" s="66" t="e">
        <v>#N/A</v>
      </c>
      <c r="W102" s="66" t="e">
        <v>#N/A</v>
      </c>
      <c r="X102" s="66" t="e">
        <v>#N/A</v>
      </c>
      <c r="Y102" s="66" t="e">
        <v>#N/A</v>
      </c>
      <c r="Z102" s="66" t="e">
        <v>#N/A</v>
      </c>
      <c r="AA102" s="66" t="e">
        <v>#N/A</v>
      </c>
      <c r="AB102" s="66" t="e">
        <v>#N/A</v>
      </c>
      <c r="AC102" s="66" t="e">
        <v>#N/A</v>
      </c>
    </row>
    <row r="103" spans="1:29" s="43" customFormat="1" x14ac:dyDescent="0.3">
      <c r="A103" s="3"/>
      <c r="B103" s="68" t="str">
        <v>Deville</v>
      </c>
      <c r="C103" s="68"/>
      <c r="D103" s="68"/>
      <c r="E103" s="68"/>
      <c r="F103" s="95"/>
      <c r="G103" s="68"/>
      <c r="H103" s="66" t="e">
        <v>#VALUE!</v>
      </c>
      <c r="I103" s="66" t="e">
        <v>#N/A</v>
      </c>
      <c r="J103" s="66" t="e">
        <v>#N/A</v>
      </c>
      <c r="K103" s="66" t="e">
        <v>#N/A</v>
      </c>
      <c r="L103" s="66" t="e">
        <v>#N/A</v>
      </c>
      <c r="M103" s="66" t="e">
        <v>#N/A</v>
      </c>
      <c r="N103" s="66" t="e">
        <v>#N/A</v>
      </c>
      <c r="O103" s="66" t="e">
        <v>#N/A</v>
      </c>
      <c r="P103" s="66" t="e">
        <v>#N/A</v>
      </c>
      <c r="Q103" s="66" t="e">
        <v>#N/A</v>
      </c>
      <c r="R103" s="66" t="e">
        <v>#N/A</v>
      </c>
      <c r="S103" s="66" t="e">
        <v>#N/A</v>
      </c>
      <c r="T103" s="66" t="e">
        <v>#N/A</v>
      </c>
      <c r="U103" s="66" t="e">
        <v>#N/A</v>
      </c>
      <c r="V103" s="66" t="e">
        <v>#N/A</v>
      </c>
      <c r="W103" s="66" t="e">
        <v>#N/A</v>
      </c>
      <c r="X103" s="66" t="e">
        <v>#N/A</v>
      </c>
      <c r="Y103" s="66" t="e">
        <v>#N/A</v>
      </c>
      <c r="Z103" s="66" t="e">
        <v>#N/A</v>
      </c>
      <c r="AA103" s="66" t="e">
        <v>#N/A</v>
      </c>
      <c r="AB103" s="66" t="e">
        <v>#N/A</v>
      </c>
      <c r="AC103" s="66" t="e">
        <v>#N/A</v>
      </c>
    </row>
    <row r="104" spans="1:29" s="43" customFormat="1" x14ac:dyDescent="0.3">
      <c r="A104" s="3"/>
      <c r="B104" s="68" t="str">
        <v>Liz</v>
      </c>
      <c r="C104" s="68"/>
      <c r="D104" s="68"/>
      <c r="E104" s="68"/>
      <c r="F104" s="95"/>
      <c r="G104" s="68"/>
      <c r="H104" s="66" t="e">
        <v>#VALUE!</v>
      </c>
      <c r="I104" s="66" t="e">
        <v>#N/A</v>
      </c>
      <c r="J104" s="66" t="e">
        <v>#N/A</v>
      </c>
      <c r="K104" s="66" t="e">
        <v>#N/A</v>
      </c>
      <c r="L104" s="66" t="e">
        <v>#N/A</v>
      </c>
      <c r="M104" s="66" t="e">
        <v>#N/A</v>
      </c>
      <c r="N104" s="66" t="e">
        <v>#N/A</v>
      </c>
      <c r="O104" s="66" t="e">
        <v>#N/A</v>
      </c>
      <c r="P104" s="66" t="e">
        <v>#N/A</v>
      </c>
      <c r="Q104" s="66" t="e">
        <v>#N/A</v>
      </c>
      <c r="R104" s="66" t="e">
        <v>#N/A</v>
      </c>
      <c r="S104" s="66" t="e">
        <v>#N/A</v>
      </c>
      <c r="T104" s="66" t="e">
        <v>#N/A</v>
      </c>
      <c r="U104" s="66" t="e">
        <v>#N/A</v>
      </c>
      <c r="V104" s="66" t="e">
        <v>#N/A</v>
      </c>
      <c r="W104" s="66" t="e">
        <v>#N/A</v>
      </c>
      <c r="X104" s="66" t="e">
        <v>#N/A</v>
      </c>
      <c r="Y104" s="66" t="e">
        <v>#N/A</v>
      </c>
      <c r="Z104" s="66" t="e">
        <v>#N/A</v>
      </c>
      <c r="AA104" s="66" t="e">
        <v>#N/A</v>
      </c>
      <c r="AB104" s="66" t="e">
        <v>#N/A</v>
      </c>
      <c r="AC104" s="66" t="e">
        <v>#N/A</v>
      </c>
    </row>
    <row r="105" spans="1:29" s="43" customFormat="1" x14ac:dyDescent="0.3">
      <c r="A105" s="3"/>
      <c r="B105" s="68" t="str">
        <v>Nico JR</v>
      </c>
      <c r="C105" s="68"/>
      <c r="D105" s="68"/>
      <c r="E105" s="68"/>
      <c r="F105" s="95"/>
      <c r="G105" s="68"/>
      <c r="H105" s="66" t="e">
        <v>#VALUE!</v>
      </c>
      <c r="I105" s="66" t="e">
        <v>#N/A</v>
      </c>
      <c r="J105" s="66" t="e">
        <v>#N/A</v>
      </c>
      <c r="K105" s="66" t="e">
        <v>#N/A</v>
      </c>
      <c r="L105" s="66" t="e">
        <v>#N/A</v>
      </c>
      <c r="M105" s="66" t="e">
        <v>#N/A</v>
      </c>
      <c r="N105" s="66" t="e">
        <v>#N/A</v>
      </c>
      <c r="O105" s="66" t="e">
        <v>#N/A</v>
      </c>
      <c r="P105" s="66" t="e">
        <v>#N/A</v>
      </c>
      <c r="Q105" s="66" t="e">
        <v>#N/A</v>
      </c>
      <c r="R105" s="66" t="e">
        <v>#N/A</v>
      </c>
      <c r="S105" s="66" t="e">
        <v>#N/A</v>
      </c>
      <c r="T105" s="66" t="e">
        <v>#N/A</v>
      </c>
      <c r="U105" s="66" t="e">
        <v>#N/A</v>
      </c>
      <c r="V105" s="66" t="e">
        <v>#N/A</v>
      </c>
      <c r="W105" s="66" t="e">
        <v>#N/A</v>
      </c>
      <c r="X105" s="66" t="e">
        <v>#N/A</v>
      </c>
      <c r="Y105" s="66" t="e">
        <v>#N/A</v>
      </c>
      <c r="Z105" s="66" t="e">
        <v>#N/A</v>
      </c>
      <c r="AA105" s="66" t="e">
        <v>#N/A</v>
      </c>
      <c r="AB105" s="66" t="e">
        <v>#N/A</v>
      </c>
      <c r="AC105" s="66" t="e">
        <v>#N/A</v>
      </c>
    </row>
    <row r="106" spans="1:29" s="43" customFormat="1" x14ac:dyDescent="0.3">
      <c r="A106" s="3"/>
      <c r="B106" s="68" t="str">
        <v>Alida</v>
      </c>
      <c r="C106" s="68"/>
      <c r="D106" s="68"/>
      <c r="E106" s="68"/>
      <c r="F106" s="95"/>
      <c r="G106" s="68"/>
      <c r="H106" s="66" t="e">
        <v>#VALUE!</v>
      </c>
      <c r="I106" s="66" t="e">
        <v>#N/A</v>
      </c>
      <c r="J106" s="66" t="e">
        <v>#N/A</v>
      </c>
      <c r="K106" s="66" t="e">
        <v>#N/A</v>
      </c>
      <c r="L106" s="66" t="e">
        <v>#N/A</v>
      </c>
      <c r="M106" s="66" t="e">
        <v>#N/A</v>
      </c>
      <c r="N106" s="66" t="e">
        <v>#N/A</v>
      </c>
      <c r="O106" s="66" t="e">
        <v>#N/A</v>
      </c>
      <c r="P106" s="66" t="e">
        <v>#N/A</v>
      </c>
      <c r="Q106" s="66" t="e">
        <v>#N/A</v>
      </c>
      <c r="R106" s="66" t="e">
        <v>#N/A</v>
      </c>
      <c r="S106" s="66" t="e">
        <v>#N/A</v>
      </c>
      <c r="T106" s="66" t="e">
        <v>#N/A</v>
      </c>
      <c r="U106" s="66" t="e">
        <v>#N/A</v>
      </c>
      <c r="V106" s="66" t="e">
        <v>#N/A</v>
      </c>
      <c r="W106" s="66" t="e">
        <v>#N/A</v>
      </c>
      <c r="X106" s="66" t="e">
        <v>#N/A</v>
      </c>
      <c r="Y106" s="66" t="e">
        <v>#N/A</v>
      </c>
      <c r="Z106" s="66" t="e">
        <v>#N/A</v>
      </c>
      <c r="AA106" s="66" t="e">
        <v>#N/A</v>
      </c>
      <c r="AB106" s="66" t="e">
        <v>#N/A</v>
      </c>
      <c r="AC106" s="66" t="e">
        <v>#N/A</v>
      </c>
    </row>
    <row r="107" spans="1:29" s="43" customFormat="1" x14ac:dyDescent="0.3">
      <c r="A107" s="3"/>
      <c r="B107" s="68" t="str">
        <v>Jason</v>
      </c>
      <c r="C107" s="68"/>
      <c r="D107" s="68"/>
      <c r="E107" s="68"/>
      <c r="F107" s="95"/>
      <c r="G107" s="68"/>
      <c r="H107" s="66" t="e">
        <v>#VALUE!</v>
      </c>
      <c r="I107" s="66" t="e">
        <v>#N/A</v>
      </c>
      <c r="J107" s="66" t="e">
        <v>#N/A</v>
      </c>
      <c r="K107" s="66" t="e">
        <v>#N/A</v>
      </c>
      <c r="L107" s="66" t="e">
        <v>#N/A</v>
      </c>
      <c r="M107" s="66" t="e">
        <v>#N/A</v>
      </c>
      <c r="N107" s="66" t="e">
        <v>#N/A</v>
      </c>
      <c r="O107" s="66" t="e">
        <v>#N/A</v>
      </c>
      <c r="P107" s="66" t="e">
        <v>#N/A</v>
      </c>
      <c r="Q107" s="66" t="e">
        <v>#N/A</v>
      </c>
      <c r="R107" s="66" t="e">
        <v>#N/A</v>
      </c>
      <c r="S107" s="66" t="e">
        <v>#N/A</v>
      </c>
      <c r="T107" s="66" t="e">
        <v>#N/A</v>
      </c>
      <c r="U107" s="66" t="e">
        <v>#N/A</v>
      </c>
      <c r="V107" s="66" t="e">
        <v>#N/A</v>
      </c>
      <c r="W107" s="66" t="e">
        <v>#N/A</v>
      </c>
      <c r="X107" s="66" t="e">
        <v>#N/A</v>
      </c>
      <c r="Y107" s="66" t="e">
        <v>#N/A</v>
      </c>
      <c r="Z107" s="66" t="e">
        <v>#N/A</v>
      </c>
      <c r="AA107" s="66" t="e">
        <v>#N/A</v>
      </c>
      <c r="AB107" s="66" t="e">
        <v>#N/A</v>
      </c>
      <c r="AC107" s="66" t="e">
        <v>#N/A</v>
      </c>
    </row>
    <row r="108" spans="1:29" s="43" customFormat="1" x14ac:dyDescent="0.3">
      <c r="A108" s="3"/>
      <c r="B108" s="68" t="str">
        <v>PJ</v>
      </c>
      <c r="C108" s="68"/>
      <c r="D108" s="68"/>
      <c r="E108" s="68"/>
      <c r="F108" s="95"/>
      <c r="G108" s="68"/>
      <c r="H108" s="66" t="e">
        <v>#VALUE!</v>
      </c>
      <c r="I108" s="66" t="e">
        <v>#N/A</v>
      </c>
      <c r="J108" s="66" t="e">
        <v>#N/A</v>
      </c>
      <c r="K108" s="66" t="e">
        <v>#N/A</v>
      </c>
      <c r="L108" s="66" t="e">
        <v>#N/A</v>
      </c>
      <c r="M108" s="66" t="e">
        <v>#N/A</v>
      </c>
      <c r="N108" s="66" t="e">
        <v>#N/A</v>
      </c>
      <c r="O108" s="66" t="e">
        <v>#N/A</v>
      </c>
      <c r="P108" s="66" t="e">
        <v>#N/A</v>
      </c>
      <c r="Q108" s="66" t="e">
        <v>#N/A</v>
      </c>
      <c r="R108" s="66" t="e">
        <v>#N/A</v>
      </c>
      <c r="S108" s="66" t="e">
        <v>#N/A</v>
      </c>
      <c r="T108" s="66" t="e">
        <v>#N/A</v>
      </c>
      <c r="U108" s="66" t="e">
        <v>#N/A</v>
      </c>
      <c r="V108" s="66" t="e">
        <v>#N/A</v>
      </c>
      <c r="W108" s="66" t="e">
        <v>#N/A</v>
      </c>
      <c r="X108" s="66" t="e">
        <v>#N/A</v>
      </c>
      <c r="Y108" s="66" t="e">
        <v>#N/A</v>
      </c>
      <c r="Z108" s="66" t="e">
        <v>#N/A</v>
      </c>
      <c r="AA108" s="66" t="e">
        <v>#N/A</v>
      </c>
      <c r="AB108" s="66" t="e">
        <v>#N/A</v>
      </c>
      <c r="AC108" s="66" t="e">
        <v>#N/A</v>
      </c>
    </row>
    <row r="109" spans="1:29" s="43" customFormat="1" x14ac:dyDescent="0.3">
      <c r="A109" s="3"/>
      <c r="B109" s="68" t="str">
        <v>Bernd</v>
      </c>
      <c r="C109" s="68"/>
      <c r="D109" s="68"/>
      <c r="E109" s="68"/>
      <c r="F109" s="95"/>
      <c r="G109" s="68"/>
      <c r="H109" s="66" t="e">
        <v>#VALUE!</v>
      </c>
      <c r="I109" s="66" t="e">
        <v>#N/A</v>
      </c>
      <c r="J109" s="66" t="e">
        <v>#N/A</v>
      </c>
      <c r="K109" s="66" t="e">
        <v>#N/A</v>
      </c>
      <c r="L109" s="66" t="e">
        <v>#N/A</v>
      </c>
      <c r="M109" s="66" t="e">
        <v>#N/A</v>
      </c>
      <c r="N109" s="66" t="e">
        <v>#N/A</v>
      </c>
      <c r="O109" s="66" t="e">
        <v>#N/A</v>
      </c>
      <c r="P109" s="66" t="e">
        <v>#N/A</v>
      </c>
      <c r="Q109" s="66" t="e">
        <v>#N/A</v>
      </c>
      <c r="R109" s="66" t="e">
        <v>#N/A</v>
      </c>
      <c r="S109" s="66" t="e">
        <v>#N/A</v>
      </c>
      <c r="T109" s="66" t="e">
        <v>#N/A</v>
      </c>
      <c r="U109" s="66" t="e">
        <v>#N/A</v>
      </c>
      <c r="V109" s="66" t="e">
        <v>#N/A</v>
      </c>
      <c r="W109" s="66" t="e">
        <v>#N/A</v>
      </c>
      <c r="X109" s="66" t="e">
        <v>#N/A</v>
      </c>
      <c r="Y109" s="66" t="e">
        <v>#N/A</v>
      </c>
      <c r="Z109" s="66" t="e">
        <v>#N/A</v>
      </c>
      <c r="AA109" s="66" t="e">
        <v>#N/A</v>
      </c>
      <c r="AB109" s="66" t="e">
        <v>#N/A</v>
      </c>
      <c r="AC109" s="66" t="e">
        <v>#N/A</v>
      </c>
    </row>
    <row r="110" spans="1:29" s="43" customFormat="1" x14ac:dyDescent="0.3">
      <c r="A110" s="3"/>
      <c r="B110" s="68" t="str">
        <v>Pam</v>
      </c>
      <c r="C110" s="68"/>
      <c r="D110" s="68"/>
      <c r="E110" s="68"/>
      <c r="F110" s="95"/>
      <c r="G110" s="68"/>
      <c r="H110" s="66" t="e">
        <v>#VALUE!</v>
      </c>
      <c r="I110" s="66" t="e">
        <v>#N/A</v>
      </c>
      <c r="J110" s="66" t="e">
        <v>#N/A</v>
      </c>
      <c r="K110" s="66" t="e">
        <v>#N/A</v>
      </c>
      <c r="L110" s="66" t="e">
        <v>#N/A</v>
      </c>
      <c r="M110" s="66" t="e">
        <v>#N/A</v>
      </c>
      <c r="N110" s="66" t="e">
        <v>#N/A</v>
      </c>
      <c r="O110" s="66" t="e">
        <v>#N/A</v>
      </c>
      <c r="P110" s="66" t="e">
        <v>#N/A</v>
      </c>
      <c r="Q110" s="66" t="e">
        <v>#N/A</v>
      </c>
      <c r="R110" s="66" t="e">
        <v>#N/A</v>
      </c>
      <c r="S110" s="66" t="e">
        <v>#N/A</v>
      </c>
      <c r="T110" s="66" t="e">
        <v>#N/A</v>
      </c>
      <c r="U110" s="66" t="e">
        <v>#N/A</v>
      </c>
      <c r="V110" s="66" t="e">
        <v>#N/A</v>
      </c>
      <c r="W110" s="66" t="e">
        <v>#N/A</v>
      </c>
      <c r="X110" s="66" t="e">
        <v>#N/A</v>
      </c>
      <c r="Y110" s="66" t="e">
        <v>#N/A</v>
      </c>
      <c r="Z110" s="66" t="e">
        <v>#N/A</v>
      </c>
      <c r="AA110" s="66" t="e">
        <v>#N/A</v>
      </c>
      <c r="AB110" s="66" t="e">
        <v>#N/A</v>
      </c>
      <c r="AC110" s="66" t="e">
        <v>#N/A</v>
      </c>
    </row>
    <row r="111" spans="1:29" s="43" customFormat="1" x14ac:dyDescent="0.3">
      <c r="A111" s="3"/>
      <c r="B111" s="68" t="str">
        <v>Reinhard</v>
      </c>
      <c r="C111" s="68"/>
      <c r="D111" s="68"/>
      <c r="E111" s="68"/>
      <c r="F111" s="95"/>
      <c r="G111" s="68"/>
      <c r="H111" s="66" t="e">
        <v>#VALUE!</v>
      </c>
      <c r="I111" s="66" t="e">
        <v>#N/A</v>
      </c>
      <c r="J111" s="66" t="e">
        <v>#N/A</v>
      </c>
      <c r="K111" s="66" t="e">
        <v>#N/A</v>
      </c>
      <c r="L111" s="66" t="e">
        <v>#N/A</v>
      </c>
      <c r="M111" s="66" t="e">
        <v>#N/A</v>
      </c>
      <c r="N111" s="66" t="e">
        <v>#N/A</v>
      </c>
      <c r="O111" s="66" t="e">
        <v>#N/A</v>
      </c>
      <c r="P111" s="66" t="e">
        <v>#N/A</v>
      </c>
      <c r="Q111" s="66" t="e">
        <v>#N/A</v>
      </c>
      <c r="R111" s="66" t="e">
        <v>#N/A</v>
      </c>
      <c r="S111" s="66" t="e">
        <v>#N/A</v>
      </c>
      <c r="T111" s="66" t="e">
        <v>#N/A</v>
      </c>
      <c r="U111" s="66" t="e">
        <v>#N/A</v>
      </c>
      <c r="V111" s="66" t="e">
        <v>#N/A</v>
      </c>
      <c r="W111" s="66" t="e">
        <v>#N/A</v>
      </c>
      <c r="X111" s="66" t="e">
        <v>#N/A</v>
      </c>
      <c r="Y111" s="66" t="e">
        <v>#N/A</v>
      </c>
      <c r="Z111" s="66" t="e">
        <v>#N/A</v>
      </c>
      <c r="AA111" s="66" t="e">
        <v>#N/A</v>
      </c>
      <c r="AB111" s="66" t="e">
        <v>#N/A</v>
      </c>
      <c r="AC111" s="66" t="e">
        <v>#N/A</v>
      </c>
    </row>
    <row r="112" spans="1:29" s="43" customFormat="1" x14ac:dyDescent="0.3">
      <c r="A112" s="3"/>
      <c r="B112" s="68" t="str">
        <v>Liam</v>
      </c>
      <c r="C112" s="68"/>
      <c r="D112" s="68"/>
      <c r="E112" s="68"/>
      <c r="F112" s="95"/>
      <c r="G112" s="68"/>
      <c r="H112" s="66" t="e">
        <v>#VALUE!</v>
      </c>
      <c r="I112" s="66" t="e">
        <v>#N/A</v>
      </c>
      <c r="J112" s="66" t="e">
        <v>#N/A</v>
      </c>
      <c r="K112" s="66" t="e">
        <v>#N/A</v>
      </c>
      <c r="L112" s="66" t="e">
        <v>#N/A</v>
      </c>
      <c r="M112" s="66" t="e">
        <v>#N/A</v>
      </c>
      <c r="N112" s="66" t="e">
        <v>#N/A</v>
      </c>
      <c r="O112" s="66" t="e">
        <v>#N/A</v>
      </c>
      <c r="P112" s="66" t="e">
        <v>#N/A</v>
      </c>
      <c r="Q112" s="66" t="e">
        <v>#N/A</v>
      </c>
      <c r="R112" s="66" t="e">
        <v>#N/A</v>
      </c>
      <c r="S112" s="66" t="e">
        <v>#N/A</v>
      </c>
      <c r="T112" s="66" t="e">
        <v>#N/A</v>
      </c>
      <c r="U112" s="66" t="e">
        <v>#N/A</v>
      </c>
      <c r="V112" s="66" t="e">
        <v>#N/A</v>
      </c>
      <c r="W112" s="66" t="e">
        <v>#N/A</v>
      </c>
      <c r="X112" s="66" t="e">
        <v>#N/A</v>
      </c>
      <c r="Y112" s="66" t="e">
        <v>#N/A</v>
      </c>
      <c r="Z112" s="66" t="e">
        <v>#N/A</v>
      </c>
      <c r="AA112" s="66" t="e">
        <v>#N/A</v>
      </c>
      <c r="AB112" s="66" t="e">
        <v>#N/A</v>
      </c>
      <c r="AC112" s="66" t="e">
        <v>#N/A</v>
      </c>
    </row>
    <row r="113" spans="1:29" s="43" customFormat="1" x14ac:dyDescent="0.3">
      <c r="A113" s="3"/>
      <c r="B113" s="68" t="str">
        <v>Lee</v>
      </c>
      <c r="C113" s="68"/>
      <c r="D113" s="68"/>
      <c r="E113" s="68"/>
      <c r="F113" s="95"/>
      <c r="G113" s="68"/>
      <c r="H113" s="66" t="e">
        <v>#VALUE!</v>
      </c>
      <c r="I113" s="66" t="e">
        <v>#N/A</v>
      </c>
      <c r="J113" s="66" t="e">
        <v>#N/A</v>
      </c>
      <c r="K113" s="66" t="e">
        <v>#N/A</v>
      </c>
      <c r="L113" s="66" t="e">
        <v>#N/A</v>
      </c>
      <c r="M113" s="66" t="e">
        <v>#N/A</v>
      </c>
      <c r="N113" s="66" t="e">
        <v>#N/A</v>
      </c>
      <c r="O113" s="66" t="e">
        <v>#N/A</v>
      </c>
      <c r="P113" s="66" t="e">
        <v>#N/A</v>
      </c>
      <c r="Q113" s="66" t="e">
        <v>#N/A</v>
      </c>
      <c r="R113" s="66" t="e">
        <v>#N/A</v>
      </c>
      <c r="S113" s="66" t="e">
        <v>#N/A</v>
      </c>
      <c r="T113" s="66" t="e">
        <v>#N/A</v>
      </c>
      <c r="U113" s="66" t="e">
        <v>#N/A</v>
      </c>
      <c r="V113" s="66" t="e">
        <v>#N/A</v>
      </c>
      <c r="W113" s="66" t="e">
        <v>#N/A</v>
      </c>
      <c r="X113" s="66" t="e">
        <v>#N/A</v>
      </c>
      <c r="Y113" s="66" t="e">
        <v>#N/A</v>
      </c>
      <c r="Z113" s="66" t="e">
        <v>#N/A</v>
      </c>
      <c r="AA113" s="66" t="e">
        <v>#N/A</v>
      </c>
      <c r="AB113" s="66" t="e">
        <v>#N/A</v>
      </c>
      <c r="AC113" s="66" t="e">
        <v>#N/A</v>
      </c>
    </row>
    <row r="114" spans="1:29" s="43" customFormat="1" x14ac:dyDescent="0.3">
      <c r="A114" s="3"/>
      <c r="B114" s="68" t="str">
        <v>Petra</v>
      </c>
      <c r="C114" s="68"/>
      <c r="D114" s="68"/>
      <c r="E114" s="68"/>
      <c r="F114" s="95"/>
      <c r="G114" s="68"/>
      <c r="H114" s="66" t="e">
        <v>#VALUE!</v>
      </c>
      <c r="I114" s="66" t="e">
        <v>#N/A</v>
      </c>
      <c r="J114" s="66" t="e">
        <v>#N/A</v>
      </c>
      <c r="K114" s="66" t="e">
        <v>#N/A</v>
      </c>
      <c r="L114" s="66" t="e">
        <v>#N/A</v>
      </c>
      <c r="M114" s="66" t="e">
        <v>#N/A</v>
      </c>
      <c r="N114" s="66" t="e">
        <v>#N/A</v>
      </c>
      <c r="O114" s="66" t="e">
        <v>#N/A</v>
      </c>
      <c r="P114" s="66" t="e">
        <v>#N/A</v>
      </c>
      <c r="Q114" s="66" t="e">
        <v>#N/A</v>
      </c>
      <c r="R114" s="66" t="e">
        <v>#N/A</v>
      </c>
      <c r="S114" s="66" t="e">
        <v>#N/A</v>
      </c>
      <c r="T114" s="66" t="e">
        <v>#N/A</v>
      </c>
      <c r="U114" s="66" t="e">
        <v>#N/A</v>
      </c>
      <c r="V114" s="66" t="e">
        <v>#N/A</v>
      </c>
      <c r="W114" s="66" t="e">
        <v>#N/A</v>
      </c>
      <c r="X114" s="66" t="e">
        <v>#N/A</v>
      </c>
      <c r="Y114" s="66" t="e">
        <v>#N/A</v>
      </c>
      <c r="Z114" s="66" t="e">
        <v>#N/A</v>
      </c>
      <c r="AA114" s="66" t="e">
        <v>#N/A</v>
      </c>
      <c r="AB114" s="66" t="e">
        <v>#N/A</v>
      </c>
      <c r="AC114" s="66" t="e">
        <v>#N/A</v>
      </c>
    </row>
    <row r="115" spans="1:29" s="43" customFormat="1" x14ac:dyDescent="0.3">
      <c r="A115" s="3"/>
      <c r="B115" s="68" t="str">
        <v>Smartin</v>
      </c>
      <c r="C115" s="68"/>
      <c r="D115" s="68"/>
      <c r="E115" s="68"/>
      <c r="F115" s="95"/>
      <c r="G115" s="68"/>
      <c r="H115" s="66" t="e">
        <v>#VALUE!</v>
      </c>
      <c r="I115" s="66" t="e">
        <v>#N/A</v>
      </c>
      <c r="J115" s="66" t="e">
        <v>#N/A</v>
      </c>
      <c r="K115" s="66" t="e">
        <v>#N/A</v>
      </c>
      <c r="L115" s="66" t="e">
        <v>#N/A</v>
      </c>
      <c r="M115" s="66" t="e">
        <v>#N/A</v>
      </c>
      <c r="N115" s="66" t="e">
        <v>#N/A</v>
      </c>
      <c r="O115" s="66" t="e">
        <v>#N/A</v>
      </c>
      <c r="P115" s="66" t="e">
        <v>#N/A</v>
      </c>
      <c r="Q115" s="66" t="e">
        <v>#N/A</v>
      </c>
      <c r="R115" s="66" t="e">
        <v>#N/A</v>
      </c>
      <c r="S115" s="66" t="e">
        <v>#N/A</v>
      </c>
      <c r="T115" s="66" t="e">
        <v>#N/A</v>
      </c>
      <c r="U115" s="66" t="e">
        <v>#N/A</v>
      </c>
      <c r="V115" s="66" t="e">
        <v>#N/A</v>
      </c>
      <c r="W115" s="66" t="e">
        <v>#N/A</v>
      </c>
      <c r="X115" s="66" t="e">
        <v>#N/A</v>
      </c>
      <c r="Y115" s="66" t="e">
        <v>#N/A</v>
      </c>
      <c r="Z115" s="66" t="e">
        <v>#N/A</v>
      </c>
      <c r="AA115" s="66" t="e">
        <v>#N/A</v>
      </c>
      <c r="AB115" s="66" t="e">
        <v>#N/A</v>
      </c>
      <c r="AC115" s="66" t="e">
        <v>#N/A</v>
      </c>
    </row>
    <row r="116" spans="1:29" s="43" customFormat="1" x14ac:dyDescent="0.3">
      <c r="A116" s="3"/>
      <c r="B116" s="68" t="str">
        <v>Riaan</v>
      </c>
      <c r="C116" s="68"/>
      <c r="D116" s="68"/>
      <c r="E116" s="68"/>
      <c r="F116" s="95"/>
      <c r="G116" s="68"/>
      <c r="H116" s="67" t="e">
        <v>#VALUE!</v>
      </c>
      <c r="I116" s="66" t="e">
        <v>#N/A</v>
      </c>
      <c r="J116" s="66" t="e">
        <v>#N/A</v>
      </c>
      <c r="K116" s="66" t="e">
        <v>#N/A</v>
      </c>
      <c r="L116" s="66" t="e">
        <v>#N/A</v>
      </c>
      <c r="M116" s="66" t="e">
        <v>#N/A</v>
      </c>
      <c r="N116" s="66" t="e">
        <v>#N/A</v>
      </c>
      <c r="O116" s="66" t="e">
        <v>#N/A</v>
      </c>
      <c r="P116" s="66" t="e">
        <v>#N/A</v>
      </c>
      <c r="Q116" s="66" t="e">
        <v>#N/A</v>
      </c>
      <c r="R116" s="66" t="e">
        <v>#N/A</v>
      </c>
      <c r="S116" s="66" t="e">
        <v>#N/A</v>
      </c>
      <c r="T116" s="66" t="e">
        <v>#N/A</v>
      </c>
      <c r="U116" s="66" t="e">
        <v>#N/A</v>
      </c>
      <c r="V116" s="66" t="e">
        <v>#N/A</v>
      </c>
      <c r="W116" s="66" t="e">
        <v>#N/A</v>
      </c>
      <c r="X116" s="66" t="e">
        <v>#N/A</v>
      </c>
      <c r="Y116" s="66" t="e">
        <v>#N/A</v>
      </c>
      <c r="Z116" s="66" t="e">
        <v>#N/A</v>
      </c>
      <c r="AA116" s="66" t="e">
        <v>#N/A</v>
      </c>
      <c r="AB116" s="66" t="e">
        <v>#N/A</v>
      </c>
      <c r="AC116" s="66" t="e">
        <v>#N/A</v>
      </c>
    </row>
    <row r="117" spans="1:29" s="43" customFormat="1" x14ac:dyDescent="0.3">
      <c r="A117" s="3"/>
      <c r="B117" s="68" t="str">
        <v>Clarice</v>
      </c>
      <c r="C117" s="68"/>
      <c r="D117" s="68"/>
      <c r="E117" s="68"/>
      <c r="F117" s="95"/>
      <c r="G117" s="68"/>
      <c r="H117" s="67" t="e">
        <v>#VALUE!</v>
      </c>
      <c r="I117" s="66" t="e">
        <v>#N/A</v>
      </c>
      <c r="J117" s="66" t="e">
        <v>#N/A</v>
      </c>
      <c r="K117" s="66" t="e">
        <v>#N/A</v>
      </c>
      <c r="L117" s="66" t="e">
        <v>#N/A</v>
      </c>
      <c r="M117" s="66" t="e">
        <v>#N/A</v>
      </c>
      <c r="N117" s="66" t="e">
        <v>#N/A</v>
      </c>
      <c r="O117" s="66" t="e">
        <v>#N/A</v>
      </c>
      <c r="P117" s="66" t="e">
        <v>#N/A</v>
      </c>
      <c r="Q117" s="66" t="e">
        <v>#N/A</v>
      </c>
      <c r="R117" s="66" t="e">
        <v>#N/A</v>
      </c>
      <c r="S117" s="66" t="e">
        <v>#N/A</v>
      </c>
      <c r="T117" s="66" t="e">
        <v>#N/A</v>
      </c>
      <c r="U117" s="66" t="e">
        <v>#N/A</v>
      </c>
      <c r="V117" s="66" t="e">
        <v>#N/A</v>
      </c>
      <c r="W117" s="66" t="e">
        <v>#N/A</v>
      </c>
      <c r="X117" s="66" t="e">
        <v>#N/A</v>
      </c>
      <c r="Y117" s="66" t="e">
        <v>#N/A</v>
      </c>
      <c r="Z117" s="66" t="e">
        <v>#N/A</v>
      </c>
      <c r="AA117" s="66" t="e">
        <v>#N/A</v>
      </c>
      <c r="AB117" s="66" t="e">
        <v>#N/A</v>
      </c>
      <c r="AC117" s="66" t="e">
        <v>#N/A</v>
      </c>
    </row>
    <row r="118" spans="1:29" s="43" customFormat="1" x14ac:dyDescent="0.3">
      <c r="A118" s="3"/>
      <c r="F118" s="4"/>
      <c r="H118" s="67"/>
      <c r="I118" s="66"/>
      <c r="J118" s="66"/>
      <c r="K118" s="66"/>
      <c r="L118" s="66"/>
      <c r="M118" s="66"/>
      <c r="N118" s="66"/>
      <c r="O118" s="66"/>
      <c r="P118" s="66"/>
      <c r="Q118" s="66"/>
      <c r="R118" s="66"/>
      <c r="S118" s="66"/>
      <c r="T118" s="66"/>
      <c r="U118" s="66"/>
      <c r="V118" s="66"/>
      <c r="W118" s="66"/>
      <c r="X118" s="66"/>
      <c r="Y118" s="66"/>
      <c r="Z118" s="66"/>
      <c r="AA118" s="66"/>
      <c r="AB118" s="66"/>
      <c r="AC118" s="66"/>
    </row>
    <row r="119" spans="1:29" s="43" customFormat="1" x14ac:dyDescent="0.3">
      <c r="A119" s="3"/>
      <c r="F119" s="4"/>
      <c r="H119" s="45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</row>
    <row r="120" spans="1:29" s="43" customFormat="1" x14ac:dyDescent="0.3">
      <c r="A120" s="3"/>
      <c r="F120" s="4"/>
      <c r="H120" s="45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</row>
    <row r="121" spans="1:29" s="43" customFormat="1" x14ac:dyDescent="0.3">
      <c r="A121" s="3"/>
      <c r="F121" s="4"/>
      <c r="H121" s="45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</row>
    <row r="122" spans="1:29" s="43" customFormat="1" x14ac:dyDescent="0.3">
      <c r="A122" s="3"/>
      <c r="F122" s="4"/>
      <c r="H122" s="45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</row>
    <row r="123" spans="1:29" s="43" customFormat="1" x14ac:dyDescent="0.3">
      <c r="A123" s="3"/>
      <c r="F123" s="4"/>
      <c r="H123" s="45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</row>
    <row r="124" spans="1:29" s="43" customFormat="1" x14ac:dyDescent="0.3">
      <c r="A124" s="3"/>
      <c r="F124" s="4"/>
      <c r="H124" s="45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</row>
    <row r="125" spans="1:29" s="43" customFormat="1" x14ac:dyDescent="0.3">
      <c r="A125" s="3"/>
      <c r="F125" s="4"/>
      <c r="H125" s="45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</row>
    <row r="126" spans="1:29" s="43" customFormat="1" x14ac:dyDescent="0.3">
      <c r="A126" s="3"/>
      <c r="F126" s="4"/>
      <c r="H126" s="45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</row>
    <row r="127" spans="1:29" s="43" customFormat="1" x14ac:dyDescent="0.3">
      <c r="A127" s="3"/>
      <c r="F127" s="4"/>
      <c r="H127" s="45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</row>
    <row r="128" spans="1:29" x14ac:dyDescent="0.3">
      <c r="B128" s="43"/>
      <c r="C128" s="43"/>
      <c r="D128" s="43"/>
      <c r="E128" s="43"/>
      <c r="G128" s="43"/>
      <c r="H128" s="45"/>
      <c r="I128" s="43"/>
      <c r="J128" s="43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</row>
    <row r="129" spans="7:10" x14ac:dyDescent="0.3">
      <c r="G129"/>
      <c r="H129" s="3"/>
      <c r="I129"/>
      <c r="J129" s="5"/>
    </row>
    <row r="130" spans="7:10" x14ac:dyDescent="0.3">
      <c r="G130"/>
      <c r="H130" s="3"/>
      <c r="I130"/>
      <c r="J130" s="5"/>
    </row>
    <row r="131" spans="7:10" x14ac:dyDescent="0.3">
      <c r="G131"/>
      <c r="H131" s="3"/>
      <c r="I131"/>
      <c r="J131" s="5"/>
    </row>
    <row r="132" spans="7:10" x14ac:dyDescent="0.3">
      <c r="G132"/>
      <c r="H132" s="3"/>
      <c r="I132"/>
      <c r="J132" s="5"/>
    </row>
    <row r="133" spans="7:10" x14ac:dyDescent="0.3">
      <c r="G133"/>
      <c r="H133" s="3"/>
      <c r="I133"/>
      <c r="J133" s="5"/>
    </row>
    <row r="134" spans="7:10" x14ac:dyDescent="0.3">
      <c r="G134"/>
      <c r="H134" s="3"/>
      <c r="I134"/>
      <c r="J134" s="5"/>
    </row>
    <row r="135" spans="7:10" x14ac:dyDescent="0.3">
      <c r="G135"/>
      <c r="H135" s="3"/>
      <c r="I135"/>
      <c r="J135" s="5"/>
    </row>
    <row r="136" spans="7:10" x14ac:dyDescent="0.3">
      <c r="G136"/>
      <c r="H136" s="3"/>
      <c r="I136"/>
      <c r="J136" s="5"/>
    </row>
    <row r="137" spans="7:10" x14ac:dyDescent="0.3">
      <c r="G137"/>
      <c r="H137" s="3"/>
      <c r="I137"/>
      <c r="J137" s="5"/>
    </row>
    <row r="138" spans="7:10" x14ac:dyDescent="0.3">
      <c r="G138"/>
      <c r="H138" s="3"/>
      <c r="I138"/>
      <c r="J138" s="5"/>
    </row>
    <row r="139" spans="7:10" x14ac:dyDescent="0.3">
      <c r="G139"/>
      <c r="H139" s="3"/>
      <c r="I139"/>
      <c r="J139" s="5"/>
    </row>
  </sheetData>
  <conditionalFormatting sqref="G39:AC39 B90:F90 T50:AC50 F50:P50 R50 B40:AC41 F51:AC51 F42:AC49 F74:AC89 F52:Z73 AC73">
    <cfRule type="cellIs" dxfId="15" priority="4" operator="greaterThan">
      <formula>0</formula>
    </cfRule>
  </conditionalFormatting>
  <conditionalFormatting sqref="H92:AC118">
    <cfRule type="colorScale" priority="3">
      <colorScale>
        <cfvo type="min"/>
        <cfvo type="max"/>
        <color rgb="FFFCFCFF"/>
        <color rgb="FF63BE7B"/>
      </colorScale>
    </cfRule>
  </conditionalFormatting>
  <conditionalFormatting sqref="G2:G28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{DDA4AEAC-EB23-4415-92FD-36396C34B8FF}</x14:id>
        </ext>
      </extLst>
    </cfRule>
  </conditionalFormatting>
  <conditionalFormatting sqref="H2:AC28">
    <cfRule type="colorScale" priority="6">
      <colorScale>
        <cfvo type="min"/>
        <cfvo type="max"/>
        <color rgb="FFFCFCFF"/>
        <color rgb="FFF8696B"/>
      </colorScale>
    </cfRule>
  </conditionalFormatting>
  <conditionalFormatting sqref="H38:R3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{91281246-A4DD-4F64-9ACA-D39D1F227AF5}</x14:id>
        </ext>
      </extLst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A4AEAC-EB23-4415-92FD-36396C34B8FF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G2:G28</xm:sqref>
        </x14:conditionalFormatting>
        <x14:conditionalFormatting xmlns:xm="http://schemas.microsoft.com/office/excel/2006/main">
          <x14:cfRule type="dataBar" id="{91281246-A4DD-4F64-9ACA-D39D1F227AF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H38:R38</xm:sqref>
        </x14:conditionalFormatting>
        <x14:conditionalFormatting xmlns:xm="http://schemas.microsoft.com/office/excel/2006/main">
          <x14:cfRule type="iconSet" priority="2" id="{9F927015-1979-42CE-B106-644F084B42AC}">
            <x14:iconSet custom="1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  <x14:cfIcon iconSet="3Arrows" iconId="0"/>
              <x14:cfIcon iconSet="4RedToBlack" iconId="1"/>
              <x14:cfIcon iconSet="3Arrows" iconId="2"/>
            </x14:iconSet>
          </x14:cfRule>
          <xm:sqref>F2:F27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FB99DF-6272-4C6F-B990-0996A4553D93}">
  <dimension ref="A1:B4"/>
  <sheetViews>
    <sheetView workbookViewId="0">
      <selection activeCell="A3" sqref="A3"/>
    </sheetView>
  </sheetViews>
  <sheetFormatPr defaultRowHeight="14.4" x14ac:dyDescent="0.3"/>
  <cols>
    <col min="1" max="1" width="57.5546875" bestFit="1" customWidth="1"/>
    <col min="3" max="3" width="17.77734375" bestFit="1" customWidth="1"/>
  </cols>
  <sheetData>
    <row r="1" spans="1:2" x14ac:dyDescent="0.3">
      <c r="A1" t="s">
        <v>145</v>
      </c>
      <c r="B1" s="77" t="s">
        <v>146</v>
      </c>
    </row>
    <row r="2" spans="1:2" x14ac:dyDescent="0.3">
      <c r="A2" t="s">
        <v>147</v>
      </c>
      <c r="B2" s="77" t="s">
        <v>146</v>
      </c>
    </row>
    <row r="3" spans="1:2" x14ac:dyDescent="0.3">
      <c r="A3" t="s">
        <v>148</v>
      </c>
    </row>
    <row r="4" spans="1:2" x14ac:dyDescent="0.3">
      <c r="A4" t="s">
        <v>149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1D528-ED0A-434F-B2AE-8B705B1ACD5D}">
  <dimension ref="C3:W29"/>
  <sheetViews>
    <sheetView workbookViewId="0">
      <selection activeCell="K30" sqref="K30"/>
    </sheetView>
  </sheetViews>
  <sheetFormatPr defaultRowHeight="14.4" x14ac:dyDescent="0.3"/>
  <sheetData>
    <row r="3" spans="3:23" x14ac:dyDescent="0.3">
      <c r="I3" t="s">
        <v>201</v>
      </c>
      <c r="J3" t="s">
        <v>202</v>
      </c>
      <c r="K3" t="s">
        <v>203</v>
      </c>
      <c r="L3" t="s">
        <v>204</v>
      </c>
      <c r="P3">
        <v>0.25</v>
      </c>
      <c r="Q3">
        <v>0.5</v>
      </c>
      <c r="R3">
        <v>0.75</v>
      </c>
      <c r="S3">
        <v>1</v>
      </c>
      <c r="T3">
        <v>1.25</v>
      </c>
      <c r="U3">
        <v>1.5</v>
      </c>
      <c r="V3">
        <v>1.75</v>
      </c>
      <c r="W3">
        <v>2</v>
      </c>
    </row>
    <row r="4" spans="3:23" x14ac:dyDescent="0.3">
      <c r="C4">
        <v>1</v>
      </c>
      <c r="D4" t="s">
        <v>46</v>
      </c>
      <c r="E4">
        <v>85.5</v>
      </c>
      <c r="F4">
        <v>3</v>
      </c>
      <c r="G4">
        <v>1</v>
      </c>
      <c r="H4">
        <v>2</v>
      </c>
      <c r="J4">
        <f>AVERAGE(M4:M29)</f>
        <v>76.932692307692307</v>
      </c>
      <c r="K4">
        <f>_xlfn.STDEV.P(M4:M29)</f>
        <v>20.216325002275589</v>
      </c>
      <c r="L4">
        <f>SUM(M4:M29)</f>
        <v>2000.25</v>
      </c>
      <c r="M4">
        <v>110.5</v>
      </c>
      <c r="N4">
        <f>M4/$J$4</f>
        <v>1.4363204599425072</v>
      </c>
      <c r="O4">
        <f t="shared" ref="O4:O29" si="0">_xlfn.NORM.DIST(M4,$J$4,$K$4,FALSE)</f>
        <v>4.9721494290009037E-3</v>
      </c>
      <c r="P4">
        <f>IF($N4&lt;=P$3,$N4,0)</f>
        <v>0</v>
      </c>
      <c r="Q4">
        <f t="shared" ref="Q4:W19" si="1">IF($N4&lt;=Q$3,$N4,0)</f>
        <v>0</v>
      </c>
      <c r="R4">
        <f t="shared" si="1"/>
        <v>0</v>
      </c>
      <c r="S4">
        <f t="shared" si="1"/>
        <v>0</v>
      </c>
      <c r="T4">
        <f t="shared" si="1"/>
        <v>0</v>
      </c>
      <c r="U4" s="103">
        <f t="shared" si="1"/>
        <v>1.4363204599425072</v>
      </c>
      <c r="V4">
        <f t="shared" si="1"/>
        <v>1.4363204599425072</v>
      </c>
      <c r="W4">
        <f t="shared" si="1"/>
        <v>1.4363204599425072</v>
      </c>
    </row>
    <row r="5" spans="3:23" x14ac:dyDescent="0.3">
      <c r="C5">
        <v>2</v>
      </c>
      <c r="D5" t="s">
        <v>48</v>
      </c>
      <c r="E5">
        <v>84.5</v>
      </c>
      <c r="F5">
        <v>4</v>
      </c>
      <c r="G5">
        <v>2</v>
      </c>
      <c r="H5">
        <v>2</v>
      </c>
      <c r="M5">
        <v>109.5</v>
      </c>
      <c r="N5">
        <f t="shared" ref="N5:N29" si="2">M5/$J$4</f>
        <v>1.4233220847394077</v>
      </c>
      <c r="O5">
        <f t="shared" si="0"/>
        <v>5.3911610868546903E-3</v>
      </c>
      <c r="P5">
        <f t="shared" ref="P5:P29" si="3">IF(N5&lt;=$P$3,N5,0)</f>
        <v>0</v>
      </c>
      <c r="Q5">
        <f t="shared" si="1"/>
        <v>0</v>
      </c>
      <c r="R5">
        <f t="shared" si="1"/>
        <v>0</v>
      </c>
      <c r="S5">
        <f t="shared" si="1"/>
        <v>0</v>
      </c>
      <c r="T5">
        <f t="shared" si="1"/>
        <v>0</v>
      </c>
      <c r="U5" s="103">
        <f t="shared" si="1"/>
        <v>1.4233220847394077</v>
      </c>
      <c r="V5">
        <f t="shared" si="1"/>
        <v>1.4233220847394077</v>
      </c>
      <c r="W5">
        <f t="shared" si="1"/>
        <v>1.4233220847394077</v>
      </c>
    </row>
    <row r="6" spans="3:23" x14ac:dyDescent="0.3">
      <c r="C6">
        <v>3</v>
      </c>
      <c r="D6" t="s">
        <v>45</v>
      </c>
      <c r="E6">
        <v>95.5</v>
      </c>
      <c r="F6">
        <v>2</v>
      </c>
      <c r="G6">
        <v>3</v>
      </c>
      <c r="H6">
        <v>-1</v>
      </c>
      <c r="M6">
        <v>108</v>
      </c>
      <c r="N6">
        <f t="shared" si="2"/>
        <v>1.4038245219347583</v>
      </c>
      <c r="O6">
        <f t="shared" si="0"/>
        <v>6.0589461445767611E-3</v>
      </c>
      <c r="P6">
        <f t="shared" si="3"/>
        <v>0</v>
      </c>
      <c r="Q6">
        <f t="shared" si="1"/>
        <v>0</v>
      </c>
      <c r="R6">
        <f t="shared" si="1"/>
        <v>0</v>
      </c>
      <c r="S6">
        <f t="shared" si="1"/>
        <v>0</v>
      </c>
      <c r="T6">
        <f t="shared" si="1"/>
        <v>0</v>
      </c>
      <c r="U6" s="103">
        <f t="shared" si="1"/>
        <v>1.4038245219347583</v>
      </c>
      <c r="V6">
        <f t="shared" si="1"/>
        <v>1.4038245219347583</v>
      </c>
      <c r="W6">
        <f t="shared" si="1"/>
        <v>1.4038245219347583</v>
      </c>
    </row>
    <row r="7" spans="3:23" x14ac:dyDescent="0.3">
      <c r="C7">
        <v>4</v>
      </c>
      <c r="D7" t="s">
        <v>44</v>
      </c>
      <c r="E7">
        <v>106</v>
      </c>
      <c r="F7">
        <v>1</v>
      </c>
      <c r="G7">
        <v>4</v>
      </c>
      <c r="H7">
        <v>-3</v>
      </c>
      <c r="M7">
        <v>107</v>
      </c>
      <c r="N7">
        <f t="shared" si="2"/>
        <v>1.3908261467316585</v>
      </c>
      <c r="O7">
        <f t="shared" si="0"/>
        <v>6.5294810704919961E-3</v>
      </c>
      <c r="P7">
        <f t="shared" si="3"/>
        <v>0</v>
      </c>
      <c r="Q7">
        <f t="shared" si="1"/>
        <v>0</v>
      </c>
      <c r="R7">
        <f t="shared" si="1"/>
        <v>0</v>
      </c>
      <c r="S7">
        <f t="shared" si="1"/>
        <v>0</v>
      </c>
      <c r="T7">
        <f t="shared" si="1"/>
        <v>0</v>
      </c>
      <c r="U7" s="103">
        <f t="shared" si="1"/>
        <v>1.3908261467316585</v>
      </c>
      <c r="V7">
        <f t="shared" si="1"/>
        <v>1.3908261467316585</v>
      </c>
      <c r="W7">
        <f t="shared" si="1"/>
        <v>1.3908261467316585</v>
      </c>
    </row>
    <row r="8" spans="3:23" x14ac:dyDescent="0.3">
      <c r="C8">
        <v>5</v>
      </c>
      <c r="D8" t="s">
        <v>53</v>
      </c>
      <c r="E8">
        <v>75.5</v>
      </c>
      <c r="F8">
        <v>10</v>
      </c>
      <c r="G8">
        <v>5</v>
      </c>
      <c r="H8">
        <v>5</v>
      </c>
      <c r="M8">
        <v>100.5</v>
      </c>
      <c r="N8">
        <f t="shared" si="2"/>
        <v>1.3063367079115111</v>
      </c>
      <c r="O8">
        <f t="shared" si="0"/>
        <v>1.0002473926913539E-2</v>
      </c>
      <c r="P8">
        <f t="shared" si="3"/>
        <v>0</v>
      </c>
      <c r="Q8">
        <f t="shared" si="1"/>
        <v>0</v>
      </c>
      <c r="R8">
        <f t="shared" si="1"/>
        <v>0</v>
      </c>
      <c r="S8">
        <f t="shared" si="1"/>
        <v>0</v>
      </c>
      <c r="T8">
        <f t="shared" si="1"/>
        <v>0</v>
      </c>
      <c r="U8" s="103">
        <f t="shared" si="1"/>
        <v>1.3063367079115111</v>
      </c>
      <c r="V8">
        <f t="shared" si="1"/>
        <v>1.3063367079115111</v>
      </c>
      <c r="W8">
        <f t="shared" si="1"/>
        <v>1.3063367079115111</v>
      </c>
    </row>
    <row r="9" spans="3:23" x14ac:dyDescent="0.3">
      <c r="C9">
        <v>6</v>
      </c>
      <c r="D9" t="s">
        <v>50</v>
      </c>
      <c r="E9">
        <v>84</v>
      </c>
      <c r="F9">
        <v>6</v>
      </c>
      <c r="G9">
        <v>6</v>
      </c>
      <c r="H9">
        <v>0</v>
      </c>
      <c r="M9">
        <v>96.5</v>
      </c>
      <c r="N9">
        <f t="shared" si="2"/>
        <v>1.2543432070991127</v>
      </c>
      <c r="O9">
        <f t="shared" si="0"/>
        <v>1.235319337642031E-2</v>
      </c>
      <c r="P9">
        <f t="shared" si="3"/>
        <v>0</v>
      </c>
      <c r="Q9">
        <f t="shared" si="1"/>
        <v>0</v>
      </c>
      <c r="R9">
        <f t="shared" si="1"/>
        <v>0</v>
      </c>
      <c r="S9">
        <f t="shared" si="1"/>
        <v>0</v>
      </c>
      <c r="T9">
        <f t="shared" si="1"/>
        <v>0</v>
      </c>
      <c r="U9" s="103">
        <f t="shared" si="1"/>
        <v>1.2543432070991127</v>
      </c>
      <c r="V9">
        <f t="shared" si="1"/>
        <v>1.2543432070991127</v>
      </c>
      <c r="W9">
        <f t="shared" si="1"/>
        <v>1.2543432070991127</v>
      </c>
    </row>
    <row r="10" spans="3:23" x14ac:dyDescent="0.3">
      <c r="C10">
        <v>7</v>
      </c>
      <c r="D10" t="s">
        <v>57</v>
      </c>
      <c r="E10">
        <v>69.5</v>
      </c>
      <c r="F10">
        <v>14</v>
      </c>
      <c r="G10">
        <v>7</v>
      </c>
      <c r="H10">
        <v>7</v>
      </c>
      <c r="M10">
        <v>94.5</v>
      </c>
      <c r="N10">
        <f t="shared" si="2"/>
        <v>1.2283464566929134</v>
      </c>
      <c r="O10">
        <f t="shared" si="0"/>
        <v>1.352818077080723E-2</v>
      </c>
      <c r="P10">
        <f t="shared" si="3"/>
        <v>0</v>
      </c>
      <c r="Q10">
        <f t="shared" si="1"/>
        <v>0</v>
      </c>
      <c r="R10">
        <f t="shared" si="1"/>
        <v>0</v>
      </c>
      <c r="S10">
        <f t="shared" si="1"/>
        <v>0</v>
      </c>
      <c r="T10" s="103">
        <f t="shared" si="1"/>
        <v>1.2283464566929134</v>
      </c>
      <c r="U10">
        <f t="shared" si="1"/>
        <v>1.2283464566929134</v>
      </c>
      <c r="V10">
        <f t="shared" si="1"/>
        <v>1.2283464566929134</v>
      </c>
      <c r="W10">
        <f t="shared" si="1"/>
        <v>1.2283464566929134</v>
      </c>
    </row>
    <row r="11" spans="3:23" x14ac:dyDescent="0.3">
      <c r="C11">
        <v>8</v>
      </c>
      <c r="D11" t="s">
        <v>49</v>
      </c>
      <c r="E11">
        <v>84</v>
      </c>
      <c r="F11">
        <v>7</v>
      </c>
      <c r="G11">
        <v>8</v>
      </c>
      <c r="H11">
        <v>-1</v>
      </c>
      <c r="M11">
        <v>91.5</v>
      </c>
      <c r="N11">
        <f t="shared" si="2"/>
        <v>1.1893513310836146</v>
      </c>
      <c r="O11">
        <f t="shared" si="0"/>
        <v>1.522158755042829E-2</v>
      </c>
      <c r="P11">
        <f t="shared" si="3"/>
        <v>0</v>
      </c>
      <c r="Q11">
        <f t="shared" si="1"/>
        <v>0</v>
      </c>
      <c r="R11">
        <f t="shared" si="1"/>
        <v>0</v>
      </c>
      <c r="S11">
        <f t="shared" si="1"/>
        <v>0</v>
      </c>
      <c r="T11" s="103">
        <f t="shared" si="1"/>
        <v>1.1893513310836146</v>
      </c>
      <c r="U11">
        <f t="shared" si="1"/>
        <v>1.1893513310836146</v>
      </c>
      <c r="V11">
        <f t="shared" si="1"/>
        <v>1.1893513310836146</v>
      </c>
      <c r="W11">
        <f t="shared" si="1"/>
        <v>1.1893513310836146</v>
      </c>
    </row>
    <row r="12" spans="3:23" x14ac:dyDescent="0.3">
      <c r="C12">
        <v>9</v>
      </c>
      <c r="D12" t="s">
        <v>56</v>
      </c>
      <c r="E12">
        <v>71</v>
      </c>
      <c r="F12">
        <v>13</v>
      </c>
      <c r="G12">
        <v>9</v>
      </c>
      <c r="H12">
        <v>4</v>
      </c>
      <c r="M12">
        <v>86</v>
      </c>
      <c r="N12">
        <f t="shared" si="2"/>
        <v>1.1178602674665667</v>
      </c>
      <c r="O12">
        <f t="shared" si="0"/>
        <v>1.7845365361361228E-2</v>
      </c>
      <c r="P12">
        <f t="shared" si="3"/>
        <v>0</v>
      </c>
      <c r="Q12">
        <f t="shared" si="1"/>
        <v>0</v>
      </c>
      <c r="R12">
        <f t="shared" si="1"/>
        <v>0</v>
      </c>
      <c r="S12">
        <f t="shared" si="1"/>
        <v>0</v>
      </c>
      <c r="T12" s="103">
        <f t="shared" si="1"/>
        <v>1.1178602674665667</v>
      </c>
      <c r="U12">
        <f t="shared" si="1"/>
        <v>1.1178602674665667</v>
      </c>
      <c r="V12">
        <f t="shared" si="1"/>
        <v>1.1178602674665667</v>
      </c>
      <c r="W12">
        <f t="shared" si="1"/>
        <v>1.1178602674665667</v>
      </c>
    </row>
    <row r="13" spans="3:23" x14ac:dyDescent="0.3">
      <c r="C13">
        <v>10</v>
      </c>
      <c r="D13" t="s">
        <v>47</v>
      </c>
      <c r="E13">
        <v>84.5</v>
      </c>
      <c r="F13">
        <v>5</v>
      </c>
      <c r="G13">
        <v>10</v>
      </c>
      <c r="H13">
        <v>-5</v>
      </c>
      <c r="M13">
        <v>85.5</v>
      </c>
      <c r="N13">
        <f t="shared" si="2"/>
        <v>1.1113610798650169</v>
      </c>
      <c r="O13">
        <f t="shared" si="0"/>
        <v>1.8038905701912862E-2</v>
      </c>
      <c r="P13">
        <f t="shared" si="3"/>
        <v>0</v>
      </c>
      <c r="Q13">
        <f t="shared" si="1"/>
        <v>0</v>
      </c>
      <c r="R13">
        <f t="shared" si="1"/>
        <v>0</v>
      </c>
      <c r="S13">
        <f t="shared" si="1"/>
        <v>0</v>
      </c>
      <c r="T13" s="103">
        <f t="shared" si="1"/>
        <v>1.1113610798650169</v>
      </c>
      <c r="U13">
        <f t="shared" si="1"/>
        <v>1.1113610798650169</v>
      </c>
      <c r="V13">
        <f t="shared" si="1"/>
        <v>1.1113610798650169</v>
      </c>
      <c r="W13">
        <f t="shared" si="1"/>
        <v>1.1113610798650169</v>
      </c>
    </row>
    <row r="14" spans="3:23" x14ac:dyDescent="0.3">
      <c r="C14">
        <v>11</v>
      </c>
      <c r="D14" t="s">
        <v>51</v>
      </c>
      <c r="E14">
        <v>80.5</v>
      </c>
      <c r="F14">
        <v>8</v>
      </c>
      <c r="G14">
        <v>11</v>
      </c>
      <c r="H14">
        <v>-3</v>
      </c>
      <c r="M14">
        <v>81.5</v>
      </c>
      <c r="N14">
        <f t="shared" si="2"/>
        <v>1.0593675790526185</v>
      </c>
      <c r="O14">
        <f t="shared" si="0"/>
        <v>1.9236431958174888E-2</v>
      </c>
      <c r="P14">
        <f t="shared" si="3"/>
        <v>0</v>
      </c>
      <c r="Q14">
        <f t="shared" si="1"/>
        <v>0</v>
      </c>
      <c r="R14">
        <f t="shared" si="1"/>
        <v>0</v>
      </c>
      <c r="S14">
        <f t="shared" si="1"/>
        <v>0</v>
      </c>
      <c r="T14" s="103">
        <f t="shared" si="1"/>
        <v>1.0593675790526185</v>
      </c>
      <c r="U14">
        <f t="shared" si="1"/>
        <v>1.0593675790526185</v>
      </c>
      <c r="V14">
        <f t="shared" si="1"/>
        <v>1.0593675790526185</v>
      </c>
      <c r="W14">
        <f t="shared" si="1"/>
        <v>1.0593675790526185</v>
      </c>
    </row>
    <row r="15" spans="3:23" x14ac:dyDescent="0.3">
      <c r="C15">
        <v>12</v>
      </c>
      <c r="D15" t="s">
        <v>52</v>
      </c>
      <c r="E15">
        <v>76.25</v>
      </c>
      <c r="F15">
        <v>9</v>
      </c>
      <c r="G15">
        <v>12</v>
      </c>
      <c r="H15">
        <v>-3</v>
      </c>
      <c r="M15">
        <v>76.5</v>
      </c>
      <c r="N15">
        <f t="shared" si="2"/>
        <v>0.99437570303712042</v>
      </c>
      <c r="O15">
        <f t="shared" si="0"/>
        <v>1.9729150299583661E-2</v>
      </c>
      <c r="P15">
        <f t="shared" si="3"/>
        <v>0</v>
      </c>
      <c r="Q15">
        <f t="shared" si="1"/>
        <v>0</v>
      </c>
      <c r="R15">
        <f t="shared" si="1"/>
        <v>0</v>
      </c>
      <c r="S15" s="103">
        <f t="shared" si="1"/>
        <v>0.99437570303712042</v>
      </c>
      <c r="T15">
        <f t="shared" si="1"/>
        <v>0.99437570303712042</v>
      </c>
      <c r="U15">
        <f t="shared" si="1"/>
        <v>0.99437570303712042</v>
      </c>
      <c r="V15">
        <f t="shared" si="1"/>
        <v>0.99437570303712042</v>
      </c>
      <c r="W15">
        <f t="shared" si="1"/>
        <v>0.99437570303712042</v>
      </c>
    </row>
    <row r="16" spans="3:23" x14ac:dyDescent="0.3">
      <c r="C16">
        <v>13</v>
      </c>
      <c r="D16" t="s">
        <v>54</v>
      </c>
      <c r="E16">
        <v>75</v>
      </c>
      <c r="F16">
        <v>11</v>
      </c>
      <c r="G16">
        <v>13</v>
      </c>
      <c r="H16">
        <v>-2</v>
      </c>
      <c r="M16">
        <v>76</v>
      </c>
      <c r="N16">
        <f t="shared" si="2"/>
        <v>0.98787651543557053</v>
      </c>
      <c r="O16">
        <f t="shared" si="0"/>
        <v>1.9712679388423301E-2</v>
      </c>
      <c r="P16">
        <f t="shared" si="3"/>
        <v>0</v>
      </c>
      <c r="Q16">
        <f t="shared" si="1"/>
        <v>0</v>
      </c>
      <c r="R16">
        <f t="shared" si="1"/>
        <v>0</v>
      </c>
      <c r="S16" s="103">
        <f t="shared" si="1"/>
        <v>0.98787651543557053</v>
      </c>
      <c r="T16">
        <f t="shared" si="1"/>
        <v>0.98787651543557053</v>
      </c>
      <c r="U16">
        <f t="shared" si="1"/>
        <v>0.98787651543557053</v>
      </c>
      <c r="V16">
        <f t="shared" si="1"/>
        <v>0.98787651543557053</v>
      </c>
      <c r="W16">
        <f t="shared" si="1"/>
        <v>0.98787651543557053</v>
      </c>
    </row>
    <row r="17" spans="3:23" x14ac:dyDescent="0.3">
      <c r="C17">
        <v>14</v>
      </c>
      <c r="D17" t="s">
        <v>55</v>
      </c>
      <c r="E17">
        <v>72</v>
      </c>
      <c r="F17">
        <v>12</v>
      </c>
      <c r="G17">
        <v>14</v>
      </c>
      <c r="H17">
        <v>-2</v>
      </c>
      <c r="M17">
        <v>74</v>
      </c>
      <c r="N17">
        <f t="shared" si="2"/>
        <v>0.96187976502937134</v>
      </c>
      <c r="O17">
        <f t="shared" si="0"/>
        <v>1.9527120465561199E-2</v>
      </c>
      <c r="P17">
        <f t="shared" si="3"/>
        <v>0</v>
      </c>
      <c r="Q17">
        <f t="shared" si="1"/>
        <v>0</v>
      </c>
      <c r="R17">
        <f t="shared" si="1"/>
        <v>0</v>
      </c>
      <c r="S17" s="103">
        <f t="shared" si="1"/>
        <v>0.96187976502937134</v>
      </c>
      <c r="T17">
        <f t="shared" si="1"/>
        <v>0.96187976502937134</v>
      </c>
      <c r="U17">
        <f t="shared" si="1"/>
        <v>0.96187976502937134</v>
      </c>
      <c r="V17">
        <f t="shared" si="1"/>
        <v>0.96187976502937134</v>
      </c>
      <c r="W17">
        <f t="shared" si="1"/>
        <v>0.96187976502937134</v>
      </c>
    </row>
    <row r="18" spans="3:23" x14ac:dyDescent="0.3">
      <c r="C18">
        <v>15</v>
      </c>
      <c r="D18" t="s">
        <v>62</v>
      </c>
      <c r="E18">
        <v>58.5</v>
      </c>
      <c r="F18">
        <v>19</v>
      </c>
      <c r="G18">
        <v>15</v>
      </c>
      <c r="H18">
        <v>4</v>
      </c>
      <c r="M18">
        <v>71</v>
      </c>
      <c r="N18">
        <f t="shared" si="2"/>
        <v>0.92288463942007248</v>
      </c>
      <c r="O18">
        <f t="shared" si="0"/>
        <v>1.8901981816387279E-2</v>
      </c>
      <c r="P18">
        <f t="shared" si="3"/>
        <v>0</v>
      </c>
      <c r="Q18">
        <f t="shared" si="1"/>
        <v>0</v>
      </c>
      <c r="R18">
        <f t="shared" si="1"/>
        <v>0</v>
      </c>
      <c r="S18" s="103">
        <f t="shared" si="1"/>
        <v>0.92288463942007248</v>
      </c>
      <c r="T18">
        <f t="shared" si="1"/>
        <v>0.92288463942007248</v>
      </c>
      <c r="U18">
        <f t="shared" si="1"/>
        <v>0.92288463942007248</v>
      </c>
      <c r="V18">
        <f t="shared" si="1"/>
        <v>0.92288463942007248</v>
      </c>
      <c r="W18">
        <f t="shared" si="1"/>
        <v>0.92288463942007248</v>
      </c>
    </row>
    <row r="19" spans="3:23" x14ac:dyDescent="0.3">
      <c r="C19">
        <v>16</v>
      </c>
      <c r="D19" t="s">
        <v>65</v>
      </c>
      <c r="E19">
        <v>54.25</v>
      </c>
      <c r="F19">
        <v>22</v>
      </c>
      <c r="G19">
        <v>16</v>
      </c>
      <c r="H19">
        <v>6</v>
      </c>
      <c r="M19">
        <v>66.75</v>
      </c>
      <c r="N19">
        <f t="shared" si="2"/>
        <v>0.86764154480689915</v>
      </c>
      <c r="O19">
        <f t="shared" si="0"/>
        <v>1.7382712820256909E-2</v>
      </c>
      <c r="P19">
        <f t="shared" si="3"/>
        <v>0</v>
      </c>
      <c r="Q19">
        <f t="shared" si="1"/>
        <v>0</v>
      </c>
      <c r="R19">
        <f t="shared" si="1"/>
        <v>0</v>
      </c>
      <c r="S19" s="103">
        <f t="shared" si="1"/>
        <v>0.86764154480689915</v>
      </c>
      <c r="T19">
        <f t="shared" si="1"/>
        <v>0.86764154480689915</v>
      </c>
      <c r="U19">
        <f t="shared" si="1"/>
        <v>0.86764154480689915</v>
      </c>
      <c r="V19">
        <f t="shared" si="1"/>
        <v>0.86764154480689915</v>
      </c>
      <c r="W19">
        <f t="shared" si="1"/>
        <v>0.86764154480689915</v>
      </c>
    </row>
    <row r="20" spans="3:23" x14ac:dyDescent="0.3">
      <c r="C20">
        <v>17</v>
      </c>
      <c r="D20" t="s">
        <v>59</v>
      </c>
      <c r="E20">
        <v>63</v>
      </c>
      <c r="F20">
        <v>16</v>
      </c>
      <c r="G20">
        <v>17</v>
      </c>
      <c r="H20">
        <v>-1</v>
      </c>
      <c r="M20">
        <v>64</v>
      </c>
      <c r="N20">
        <f t="shared" si="2"/>
        <v>0.83189601299837523</v>
      </c>
      <c r="O20">
        <f t="shared" si="0"/>
        <v>1.608212601961553E-2</v>
      </c>
      <c r="P20">
        <f t="shared" si="3"/>
        <v>0</v>
      </c>
      <c r="Q20">
        <f t="shared" ref="Q20:W29" si="4">IF($N20&lt;=Q$3,$N20,0)</f>
        <v>0</v>
      </c>
      <c r="R20">
        <f t="shared" si="4"/>
        <v>0</v>
      </c>
      <c r="S20" s="103">
        <f t="shared" si="4"/>
        <v>0.83189601299837523</v>
      </c>
      <c r="T20">
        <f t="shared" si="4"/>
        <v>0.83189601299837523</v>
      </c>
      <c r="U20">
        <f t="shared" si="4"/>
        <v>0.83189601299837523</v>
      </c>
      <c r="V20">
        <f t="shared" si="4"/>
        <v>0.83189601299837523</v>
      </c>
      <c r="W20">
        <f t="shared" si="4"/>
        <v>0.83189601299837523</v>
      </c>
    </row>
    <row r="21" spans="3:23" x14ac:dyDescent="0.3">
      <c r="C21">
        <v>18</v>
      </c>
      <c r="D21" t="s">
        <v>58</v>
      </c>
      <c r="E21">
        <v>64</v>
      </c>
      <c r="F21">
        <v>15</v>
      </c>
      <c r="G21">
        <v>18</v>
      </c>
      <c r="H21">
        <v>-3</v>
      </c>
      <c r="M21">
        <v>64</v>
      </c>
      <c r="N21">
        <f t="shared" si="2"/>
        <v>0.83189601299837523</v>
      </c>
      <c r="O21">
        <f t="shared" si="0"/>
        <v>1.608212601961553E-2</v>
      </c>
      <c r="P21">
        <f t="shared" si="3"/>
        <v>0</v>
      </c>
      <c r="Q21">
        <f t="shared" si="4"/>
        <v>0</v>
      </c>
      <c r="R21">
        <f t="shared" si="4"/>
        <v>0</v>
      </c>
      <c r="S21" s="103">
        <f t="shared" si="4"/>
        <v>0.83189601299837523</v>
      </c>
      <c r="T21">
        <f t="shared" si="4"/>
        <v>0.83189601299837523</v>
      </c>
      <c r="U21">
        <f t="shared" si="4"/>
        <v>0.83189601299837523</v>
      </c>
      <c r="V21">
        <f t="shared" si="4"/>
        <v>0.83189601299837523</v>
      </c>
      <c r="W21">
        <f t="shared" si="4"/>
        <v>0.83189601299837523</v>
      </c>
    </row>
    <row r="22" spans="3:23" x14ac:dyDescent="0.3">
      <c r="C22">
        <v>19</v>
      </c>
      <c r="D22" t="s">
        <v>61</v>
      </c>
      <c r="E22">
        <v>60.5</v>
      </c>
      <c r="F22">
        <v>18</v>
      </c>
      <c r="G22">
        <v>19</v>
      </c>
      <c r="H22">
        <v>-1</v>
      </c>
      <c r="M22">
        <v>62.5</v>
      </c>
      <c r="N22">
        <f t="shared" si="2"/>
        <v>0.81239845019372581</v>
      </c>
      <c r="O22">
        <f t="shared" si="0"/>
        <v>1.5294458716747268E-2</v>
      </c>
      <c r="P22">
        <f t="shared" si="3"/>
        <v>0</v>
      </c>
      <c r="Q22">
        <f t="shared" si="4"/>
        <v>0</v>
      </c>
      <c r="R22">
        <f t="shared" si="4"/>
        <v>0</v>
      </c>
      <c r="S22" s="103">
        <f t="shared" si="4"/>
        <v>0.81239845019372581</v>
      </c>
      <c r="T22">
        <f t="shared" si="4"/>
        <v>0.81239845019372581</v>
      </c>
      <c r="U22">
        <f t="shared" si="4"/>
        <v>0.81239845019372581</v>
      </c>
      <c r="V22">
        <f t="shared" si="4"/>
        <v>0.81239845019372581</v>
      </c>
      <c r="W22">
        <f t="shared" si="4"/>
        <v>0.81239845019372581</v>
      </c>
    </row>
    <row r="23" spans="3:23" x14ac:dyDescent="0.3">
      <c r="C23">
        <v>20</v>
      </c>
      <c r="D23" t="s">
        <v>60</v>
      </c>
      <c r="E23">
        <v>62.5</v>
      </c>
      <c r="F23">
        <v>17</v>
      </c>
      <c r="G23">
        <v>20</v>
      </c>
      <c r="H23">
        <v>-3</v>
      </c>
      <c r="M23">
        <v>62.5</v>
      </c>
      <c r="N23">
        <f t="shared" si="2"/>
        <v>0.81239845019372581</v>
      </c>
      <c r="O23">
        <f t="shared" si="0"/>
        <v>1.5294458716747268E-2</v>
      </c>
      <c r="P23">
        <f t="shared" si="3"/>
        <v>0</v>
      </c>
      <c r="Q23">
        <f t="shared" si="4"/>
        <v>0</v>
      </c>
      <c r="R23">
        <f t="shared" si="4"/>
        <v>0</v>
      </c>
      <c r="S23" s="103">
        <f t="shared" si="4"/>
        <v>0.81239845019372581</v>
      </c>
      <c r="T23">
        <f t="shared" si="4"/>
        <v>0.81239845019372581</v>
      </c>
      <c r="U23">
        <f t="shared" si="4"/>
        <v>0.81239845019372581</v>
      </c>
      <c r="V23">
        <f t="shared" si="4"/>
        <v>0.81239845019372581</v>
      </c>
      <c r="W23">
        <f t="shared" si="4"/>
        <v>0.81239845019372581</v>
      </c>
    </row>
    <row r="24" spans="3:23" x14ac:dyDescent="0.3">
      <c r="C24">
        <v>21</v>
      </c>
      <c r="D24" t="s">
        <v>68</v>
      </c>
      <c r="E24">
        <v>46</v>
      </c>
      <c r="F24">
        <v>24</v>
      </c>
      <c r="G24">
        <v>21</v>
      </c>
      <c r="H24">
        <v>3</v>
      </c>
      <c r="M24">
        <v>58.5</v>
      </c>
      <c r="N24">
        <f t="shared" si="2"/>
        <v>0.7604049493813273</v>
      </c>
      <c r="O24">
        <f t="shared" si="0"/>
        <v>1.3022278386586397E-2</v>
      </c>
      <c r="P24">
        <f t="shared" si="3"/>
        <v>0</v>
      </c>
      <c r="Q24">
        <f t="shared" si="4"/>
        <v>0</v>
      </c>
      <c r="R24">
        <f t="shared" si="4"/>
        <v>0</v>
      </c>
      <c r="S24" s="103">
        <f t="shared" si="4"/>
        <v>0.7604049493813273</v>
      </c>
      <c r="T24">
        <f t="shared" si="4"/>
        <v>0.7604049493813273</v>
      </c>
      <c r="U24">
        <f t="shared" si="4"/>
        <v>0.7604049493813273</v>
      </c>
      <c r="V24">
        <f t="shared" si="4"/>
        <v>0.7604049493813273</v>
      </c>
      <c r="W24">
        <f t="shared" si="4"/>
        <v>0.7604049493813273</v>
      </c>
    </row>
    <row r="25" spans="3:23" x14ac:dyDescent="0.3">
      <c r="C25">
        <v>22</v>
      </c>
      <c r="D25" t="s">
        <v>63</v>
      </c>
      <c r="E25">
        <v>56</v>
      </c>
      <c r="F25">
        <v>20</v>
      </c>
      <c r="G25">
        <v>22</v>
      </c>
      <c r="H25">
        <v>-2</v>
      </c>
      <c r="M25">
        <v>57</v>
      </c>
      <c r="N25">
        <f t="shared" si="2"/>
        <v>0.74090738657667787</v>
      </c>
      <c r="O25">
        <f t="shared" si="0"/>
        <v>1.2136989396893441E-2</v>
      </c>
      <c r="P25">
        <f t="shared" si="3"/>
        <v>0</v>
      </c>
      <c r="Q25">
        <f t="shared" si="4"/>
        <v>0</v>
      </c>
      <c r="R25" s="103">
        <f t="shared" si="4"/>
        <v>0.74090738657667787</v>
      </c>
      <c r="S25">
        <f t="shared" si="4"/>
        <v>0.74090738657667787</v>
      </c>
      <c r="T25">
        <f t="shared" si="4"/>
        <v>0.74090738657667787</v>
      </c>
      <c r="U25">
        <f t="shared" si="4"/>
        <v>0.74090738657667787</v>
      </c>
      <c r="V25">
        <f t="shared" si="4"/>
        <v>0.74090738657667787</v>
      </c>
      <c r="W25">
        <f t="shared" si="4"/>
        <v>0.74090738657667787</v>
      </c>
    </row>
    <row r="26" spans="3:23" x14ac:dyDescent="0.3">
      <c r="C26">
        <v>23</v>
      </c>
      <c r="D26" t="s">
        <v>64</v>
      </c>
      <c r="E26">
        <v>55</v>
      </c>
      <c r="F26">
        <v>21</v>
      </c>
      <c r="G26">
        <v>23</v>
      </c>
      <c r="H26">
        <v>-2</v>
      </c>
      <c r="M26">
        <v>55</v>
      </c>
      <c r="N26">
        <f t="shared" si="2"/>
        <v>0.71491063617047867</v>
      </c>
      <c r="O26">
        <f t="shared" si="0"/>
        <v>1.0955287581715141E-2</v>
      </c>
      <c r="P26">
        <f t="shared" si="3"/>
        <v>0</v>
      </c>
      <c r="Q26">
        <f t="shared" si="4"/>
        <v>0</v>
      </c>
      <c r="R26" s="103">
        <f t="shared" si="4"/>
        <v>0.71491063617047867</v>
      </c>
      <c r="S26">
        <f t="shared" si="4"/>
        <v>0.71491063617047867</v>
      </c>
      <c r="T26">
        <f t="shared" si="4"/>
        <v>0.71491063617047867</v>
      </c>
      <c r="U26">
        <f t="shared" si="4"/>
        <v>0.71491063617047867</v>
      </c>
      <c r="V26">
        <f t="shared" si="4"/>
        <v>0.71491063617047867</v>
      </c>
      <c r="W26">
        <f t="shared" si="4"/>
        <v>0.71491063617047867</v>
      </c>
    </row>
    <row r="27" spans="3:23" x14ac:dyDescent="0.3">
      <c r="C27">
        <v>24</v>
      </c>
      <c r="D27" t="s">
        <v>67</v>
      </c>
      <c r="E27">
        <v>46</v>
      </c>
      <c r="F27">
        <v>25</v>
      </c>
      <c r="G27">
        <v>24</v>
      </c>
      <c r="H27">
        <v>1</v>
      </c>
      <c r="M27">
        <v>53.5</v>
      </c>
      <c r="N27">
        <f t="shared" si="2"/>
        <v>0.69541307336582925</v>
      </c>
      <c r="O27">
        <f t="shared" si="0"/>
        <v>1.0080196547497765E-2</v>
      </c>
      <c r="P27">
        <f t="shared" si="3"/>
        <v>0</v>
      </c>
      <c r="Q27">
        <f t="shared" si="4"/>
        <v>0</v>
      </c>
      <c r="R27" s="103">
        <f t="shared" si="4"/>
        <v>0.69541307336582925</v>
      </c>
      <c r="S27">
        <f t="shared" si="4"/>
        <v>0.69541307336582925</v>
      </c>
      <c r="T27">
        <f t="shared" si="4"/>
        <v>0.69541307336582925</v>
      </c>
      <c r="U27">
        <f t="shared" si="4"/>
        <v>0.69541307336582925</v>
      </c>
      <c r="V27">
        <f t="shared" si="4"/>
        <v>0.69541307336582925</v>
      </c>
      <c r="W27">
        <f t="shared" si="4"/>
        <v>0.69541307336582925</v>
      </c>
    </row>
    <row r="28" spans="3:23" x14ac:dyDescent="0.3">
      <c r="C28">
        <v>25</v>
      </c>
      <c r="D28" t="s">
        <v>66</v>
      </c>
      <c r="E28">
        <v>49</v>
      </c>
      <c r="F28">
        <v>23</v>
      </c>
      <c r="G28">
        <v>25</v>
      </c>
      <c r="H28">
        <v>-2</v>
      </c>
      <c r="M28">
        <v>51</v>
      </c>
      <c r="N28">
        <f t="shared" si="2"/>
        <v>0.66291713535808028</v>
      </c>
      <c r="O28">
        <f t="shared" si="0"/>
        <v>8.6675809521073056E-3</v>
      </c>
      <c r="P28">
        <f t="shared" si="3"/>
        <v>0</v>
      </c>
      <c r="Q28">
        <f t="shared" si="4"/>
        <v>0</v>
      </c>
      <c r="R28" s="103">
        <f t="shared" si="4"/>
        <v>0.66291713535808028</v>
      </c>
      <c r="S28">
        <f t="shared" si="4"/>
        <v>0.66291713535808028</v>
      </c>
      <c r="T28">
        <f t="shared" si="4"/>
        <v>0.66291713535808028</v>
      </c>
      <c r="U28">
        <f t="shared" si="4"/>
        <v>0.66291713535808028</v>
      </c>
      <c r="V28">
        <f t="shared" si="4"/>
        <v>0.66291713535808028</v>
      </c>
      <c r="W28">
        <f t="shared" si="4"/>
        <v>0.66291713535808028</v>
      </c>
    </row>
    <row r="29" spans="3:23" x14ac:dyDescent="0.3">
      <c r="C29">
        <v>26</v>
      </c>
      <c r="D29" t="s">
        <v>69</v>
      </c>
      <c r="E29">
        <v>35</v>
      </c>
      <c r="F29">
        <v>26</v>
      </c>
      <c r="G29">
        <v>26</v>
      </c>
      <c r="H29">
        <v>0</v>
      </c>
      <c r="M29">
        <v>37</v>
      </c>
      <c r="N29">
        <f t="shared" si="2"/>
        <v>0.48093988251468567</v>
      </c>
      <c r="O29">
        <f t="shared" si="0"/>
        <v>2.8052181072260487E-3</v>
      </c>
      <c r="P29">
        <f t="shared" si="3"/>
        <v>0</v>
      </c>
      <c r="Q29" s="103">
        <f t="shared" si="4"/>
        <v>0.48093988251468567</v>
      </c>
      <c r="R29">
        <f t="shared" si="4"/>
        <v>0.48093988251468567</v>
      </c>
      <c r="S29">
        <f t="shared" si="4"/>
        <v>0.48093988251468567</v>
      </c>
      <c r="T29">
        <f t="shared" si="4"/>
        <v>0.48093988251468567</v>
      </c>
      <c r="U29">
        <f t="shared" si="4"/>
        <v>0.48093988251468567</v>
      </c>
      <c r="V29">
        <f t="shared" si="4"/>
        <v>0.48093988251468567</v>
      </c>
      <c r="W29">
        <f t="shared" si="4"/>
        <v>0.48093988251468567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D0569-2D46-4D44-97BB-D38DA5E949C4}">
  <sheetPr codeName="Sheet2">
    <tabColor rgb="FFFF0000"/>
  </sheetPr>
  <dimension ref="A1:I99"/>
  <sheetViews>
    <sheetView showGridLines="0" workbookViewId="0">
      <selection activeCell="H84" sqref="H84"/>
    </sheetView>
  </sheetViews>
  <sheetFormatPr defaultColWidth="27.5546875" defaultRowHeight="14.4" x14ac:dyDescent="0.3"/>
  <cols>
    <col min="1" max="1" width="18" style="24" bestFit="1" customWidth="1"/>
    <col min="2" max="2" width="14.5546875" style="24" bestFit="1" customWidth="1"/>
    <col min="3" max="3" width="21.21875" style="24" bestFit="1" customWidth="1"/>
    <col min="4" max="5" width="29.77734375" style="24" bestFit="1" customWidth="1"/>
    <col min="6" max="6" width="1.44140625" customWidth="1"/>
    <col min="7" max="7" width="11" style="41" customWidth="1"/>
    <col min="8" max="8" width="2" customWidth="1"/>
  </cols>
  <sheetData>
    <row r="1" spans="1:8" s="2" customFormat="1" x14ac:dyDescent="0.3">
      <c r="A1" s="26"/>
      <c r="B1" s="26"/>
      <c r="C1" s="26"/>
      <c r="D1" s="26"/>
      <c r="E1" s="26"/>
      <c r="F1" s="30"/>
      <c r="G1" s="40"/>
    </row>
    <row r="2" spans="1:8" ht="15" thickBot="1" x14ac:dyDescent="0.35">
      <c r="A2" s="25"/>
      <c r="B2" s="25"/>
      <c r="C2" s="25"/>
      <c r="D2" s="25"/>
      <c r="E2" s="25"/>
      <c r="F2" s="22"/>
    </row>
    <row r="3" spans="1:8" ht="15" thickBot="1" x14ac:dyDescent="0.35">
      <c r="A3" s="23"/>
      <c r="B3" s="23"/>
      <c r="C3" s="23"/>
      <c r="D3" s="23"/>
      <c r="E3" s="23"/>
      <c r="F3" s="22"/>
    </row>
    <row r="4" spans="1:8" ht="15" thickBot="1" x14ac:dyDescent="0.35">
      <c r="A4" s="23"/>
      <c r="B4" s="23"/>
      <c r="C4" s="23"/>
      <c r="D4" s="23"/>
      <c r="E4" s="23"/>
      <c r="F4" s="22"/>
    </row>
    <row r="5" spans="1:8" ht="15" thickBot="1" x14ac:dyDescent="0.35">
      <c r="A5" s="23"/>
      <c r="B5" s="23"/>
      <c r="C5" s="23"/>
      <c r="D5" s="23"/>
      <c r="E5" s="23"/>
      <c r="F5" s="22"/>
    </row>
    <row r="6" spans="1:8" ht="15" thickBot="1" x14ac:dyDescent="0.35">
      <c r="A6" s="23"/>
      <c r="B6" s="23"/>
      <c r="C6" s="23"/>
      <c r="D6" s="23"/>
      <c r="E6" s="23"/>
      <c r="F6" s="22"/>
    </row>
    <row r="7" spans="1:8" ht="15" thickBot="1" x14ac:dyDescent="0.35">
      <c r="A7" s="23"/>
      <c r="B7" s="23"/>
      <c r="C7" s="23"/>
      <c r="D7" s="23"/>
      <c r="E7" s="23"/>
      <c r="F7" s="22"/>
    </row>
    <row r="8" spans="1:8" ht="15" thickBot="1" x14ac:dyDescent="0.35">
      <c r="A8" s="23"/>
      <c r="B8" s="23"/>
      <c r="C8" s="23"/>
      <c r="D8" s="23"/>
      <c r="E8" s="23"/>
      <c r="F8" s="22"/>
    </row>
    <row r="9" spans="1:8" ht="15" thickBot="1" x14ac:dyDescent="0.35">
      <c r="A9" s="23"/>
      <c r="B9" s="23"/>
      <c r="C9" s="23"/>
      <c r="D9" s="23"/>
      <c r="E9" s="23"/>
      <c r="F9" s="22"/>
    </row>
    <row r="10" spans="1:8" ht="15" thickBot="1" x14ac:dyDescent="0.35">
      <c r="A10" s="23"/>
      <c r="B10" s="23"/>
      <c r="C10" s="23"/>
      <c r="D10" s="23"/>
      <c r="E10" s="23"/>
      <c r="F10" s="22"/>
      <c r="H10" s="21"/>
    </row>
    <row r="11" spans="1:8" ht="15" thickBot="1" x14ac:dyDescent="0.35">
      <c r="A11" s="23"/>
      <c r="B11" s="23"/>
      <c r="C11" s="23"/>
      <c r="D11" s="23"/>
      <c r="E11" s="23"/>
      <c r="F11" s="22"/>
    </row>
    <row r="12" spans="1:8" ht="15" thickBot="1" x14ac:dyDescent="0.35">
      <c r="A12" s="23"/>
      <c r="B12" s="23"/>
      <c r="C12" s="23"/>
      <c r="D12" s="23"/>
      <c r="E12" s="23"/>
      <c r="F12" s="22"/>
    </row>
    <row r="13" spans="1:8" ht="15" thickBot="1" x14ac:dyDescent="0.35">
      <c r="A13" s="23"/>
      <c r="B13" s="23"/>
      <c r="C13" s="23"/>
      <c r="D13" s="23"/>
      <c r="E13" s="23"/>
      <c r="F13" s="22"/>
    </row>
    <row r="14" spans="1:8" ht="15" thickBot="1" x14ac:dyDescent="0.35">
      <c r="A14" s="23"/>
      <c r="B14" s="23"/>
      <c r="C14" s="23"/>
      <c r="D14" s="23"/>
      <c r="E14" s="23"/>
      <c r="F14" s="22"/>
    </row>
    <row r="15" spans="1:8" ht="15" thickBot="1" x14ac:dyDescent="0.35">
      <c r="A15" s="23"/>
      <c r="B15" s="23"/>
      <c r="C15" s="23"/>
      <c r="D15" s="23"/>
      <c r="E15" s="23"/>
      <c r="F15" s="22"/>
    </row>
    <row r="16" spans="1:8" ht="15" thickBot="1" x14ac:dyDescent="0.35">
      <c r="A16" s="23"/>
      <c r="B16" s="23"/>
      <c r="C16" s="23"/>
      <c r="D16" s="23"/>
      <c r="E16" s="23"/>
      <c r="F16" s="22"/>
    </row>
    <row r="17" spans="1:6" ht="15" thickBot="1" x14ac:dyDescent="0.35">
      <c r="A17" s="23"/>
      <c r="B17" s="23"/>
      <c r="C17" s="23"/>
      <c r="D17" s="23"/>
      <c r="E17" s="23"/>
      <c r="F17" s="22"/>
    </row>
    <row r="18" spans="1:6" ht="15" thickBot="1" x14ac:dyDescent="0.35">
      <c r="A18" s="23"/>
      <c r="B18" s="23"/>
      <c r="C18" s="23"/>
      <c r="D18" s="23"/>
      <c r="E18" s="23"/>
      <c r="F18" s="22"/>
    </row>
    <row r="19" spans="1:6" ht="15" thickBot="1" x14ac:dyDescent="0.35">
      <c r="A19" s="23"/>
      <c r="B19" s="23"/>
      <c r="C19" s="23"/>
      <c r="D19" s="23"/>
      <c r="E19" s="23"/>
      <c r="F19" s="22"/>
    </row>
    <row r="20" spans="1:6" ht="15" thickBot="1" x14ac:dyDescent="0.35">
      <c r="A20" s="23"/>
      <c r="B20" s="23"/>
      <c r="C20" s="23"/>
      <c r="D20" s="23"/>
      <c r="E20" s="23"/>
      <c r="F20" s="22"/>
    </row>
    <row r="21" spans="1:6" ht="15" thickBot="1" x14ac:dyDescent="0.35">
      <c r="A21" s="23"/>
      <c r="B21" s="23"/>
      <c r="C21" s="23"/>
      <c r="D21" s="23"/>
      <c r="E21" s="23"/>
      <c r="F21" s="22"/>
    </row>
    <row r="22" spans="1:6" ht="15" thickBot="1" x14ac:dyDescent="0.35">
      <c r="A22" s="23"/>
      <c r="B22" s="23"/>
      <c r="C22" s="23"/>
      <c r="D22" s="23"/>
      <c r="E22" s="23"/>
      <c r="F22" s="22"/>
    </row>
    <row r="23" spans="1:6" ht="15" thickBot="1" x14ac:dyDescent="0.35">
      <c r="A23" s="23"/>
      <c r="B23" s="23"/>
      <c r="C23" s="23"/>
      <c r="D23" s="23"/>
      <c r="E23" s="23"/>
      <c r="F23" s="22"/>
    </row>
    <row r="24" spans="1:6" ht="15" thickBot="1" x14ac:dyDescent="0.35">
      <c r="A24" s="23"/>
      <c r="B24" s="23"/>
      <c r="C24" s="23"/>
      <c r="D24" s="23"/>
      <c r="E24" s="23"/>
      <c r="F24" s="22"/>
    </row>
    <row r="25" spans="1:6" ht="15" thickBot="1" x14ac:dyDescent="0.35">
      <c r="A25" s="23"/>
      <c r="B25" s="23"/>
      <c r="C25" s="23"/>
      <c r="D25" s="23"/>
      <c r="E25" s="23"/>
      <c r="F25" s="22"/>
    </row>
    <row r="26" spans="1:6" ht="15" thickBot="1" x14ac:dyDescent="0.35">
      <c r="A26" s="23"/>
      <c r="B26" s="23"/>
      <c r="C26" s="23"/>
      <c r="D26" s="23"/>
      <c r="E26" s="23"/>
      <c r="F26" s="22"/>
    </row>
    <row r="27" spans="1:6" ht="15" thickBot="1" x14ac:dyDescent="0.35">
      <c r="A27" s="23"/>
      <c r="B27" s="23"/>
      <c r="C27" s="23"/>
      <c r="D27" s="23"/>
      <c r="E27" s="23"/>
      <c r="F27" s="22"/>
    </row>
    <row r="28" spans="1:6" ht="15" thickBot="1" x14ac:dyDescent="0.35">
      <c r="A28" s="23"/>
      <c r="B28" s="23"/>
      <c r="C28" s="23"/>
      <c r="D28" s="23"/>
      <c r="E28" s="23"/>
      <c r="F28" s="22"/>
    </row>
    <row r="29" spans="1:6" ht="15" thickBot="1" x14ac:dyDescent="0.35">
      <c r="A29" s="23"/>
      <c r="B29" s="23"/>
      <c r="C29" s="23"/>
      <c r="D29" s="23"/>
      <c r="E29" s="23"/>
      <c r="F29" s="22"/>
    </row>
    <row r="30" spans="1:6" ht="15" thickBot="1" x14ac:dyDescent="0.35">
      <c r="A30" s="23"/>
      <c r="B30" s="23"/>
      <c r="C30" s="23"/>
      <c r="D30" s="23"/>
      <c r="E30" s="23"/>
      <c r="F30" s="22"/>
    </row>
    <row r="31" spans="1:6" ht="15" thickBot="1" x14ac:dyDescent="0.35">
      <c r="A31" s="23"/>
      <c r="B31" s="23"/>
      <c r="C31" s="23"/>
      <c r="D31" s="23"/>
      <c r="E31" s="23"/>
      <c r="F31" s="22"/>
    </row>
    <row r="32" spans="1:6" ht="15" thickBot="1" x14ac:dyDescent="0.35">
      <c r="A32" s="23"/>
      <c r="B32" s="23"/>
      <c r="C32" s="23"/>
      <c r="D32" s="23"/>
      <c r="E32" s="23"/>
      <c r="F32" s="22"/>
    </row>
    <row r="33" spans="1:6" ht="15" thickBot="1" x14ac:dyDescent="0.35">
      <c r="A33" s="23"/>
      <c r="B33" s="23"/>
      <c r="C33" s="23"/>
      <c r="D33" s="23"/>
      <c r="E33" s="23"/>
      <c r="F33" s="22"/>
    </row>
    <row r="34" spans="1:6" ht="15" thickBot="1" x14ac:dyDescent="0.35">
      <c r="A34" s="23"/>
      <c r="B34" s="23"/>
      <c r="C34" s="23"/>
      <c r="D34" s="23"/>
      <c r="E34" s="23"/>
      <c r="F34" s="22"/>
    </row>
    <row r="35" spans="1:6" ht="15" thickBot="1" x14ac:dyDescent="0.35">
      <c r="A35" s="23"/>
      <c r="B35" s="23"/>
      <c r="C35" s="23"/>
      <c r="D35" s="23"/>
      <c r="E35" s="23"/>
      <c r="F35" s="22"/>
    </row>
    <row r="36" spans="1:6" ht="15" thickBot="1" x14ac:dyDescent="0.35">
      <c r="A36" s="23"/>
      <c r="B36" s="23"/>
      <c r="C36" s="23"/>
      <c r="D36" s="23"/>
      <c r="E36" s="23"/>
      <c r="F36" s="22"/>
    </row>
    <row r="37" spans="1:6" ht="15" thickBot="1" x14ac:dyDescent="0.35">
      <c r="A37" s="23"/>
      <c r="B37" s="23"/>
      <c r="C37" s="23"/>
      <c r="D37" s="23"/>
      <c r="E37" s="23"/>
      <c r="F37" s="22"/>
    </row>
    <row r="38" spans="1:6" ht="15" thickBot="1" x14ac:dyDescent="0.35">
      <c r="A38" s="23"/>
      <c r="B38" s="23"/>
      <c r="C38" s="23"/>
      <c r="D38" s="23"/>
      <c r="E38" s="23"/>
      <c r="F38" s="22"/>
    </row>
    <row r="39" spans="1:6" ht="15" thickBot="1" x14ac:dyDescent="0.35">
      <c r="A39" s="23"/>
      <c r="B39" s="23"/>
      <c r="C39" s="23"/>
      <c r="D39" s="23"/>
      <c r="E39" s="23"/>
      <c r="F39" s="22"/>
    </row>
    <row r="40" spans="1:6" ht="15" thickBot="1" x14ac:dyDescent="0.35">
      <c r="A40" s="23"/>
      <c r="B40" s="23"/>
      <c r="C40" s="23"/>
      <c r="D40" s="23"/>
      <c r="E40" s="23"/>
      <c r="F40" s="22"/>
    </row>
    <row r="41" spans="1:6" ht="15" thickBot="1" x14ac:dyDescent="0.35">
      <c r="A41" s="23"/>
      <c r="B41" s="23"/>
      <c r="C41" s="23"/>
      <c r="D41" s="23"/>
      <c r="E41" s="23"/>
      <c r="F41" s="22"/>
    </row>
    <row r="42" spans="1:6" ht="15" thickBot="1" x14ac:dyDescent="0.35">
      <c r="A42" s="23"/>
      <c r="B42" s="23"/>
      <c r="C42" s="23"/>
      <c r="D42" s="23"/>
      <c r="E42" s="23"/>
      <c r="F42" s="22"/>
    </row>
    <row r="43" spans="1:6" ht="15" thickBot="1" x14ac:dyDescent="0.35">
      <c r="A43" s="23"/>
      <c r="B43" s="23"/>
      <c r="C43" s="23"/>
      <c r="D43" s="23"/>
      <c r="E43" s="23"/>
      <c r="F43" s="22"/>
    </row>
    <row r="44" spans="1:6" ht="12.75" customHeight="1" thickBot="1" x14ac:dyDescent="0.35">
      <c r="A44" s="23"/>
      <c r="B44" s="23"/>
      <c r="C44" s="23"/>
      <c r="D44" s="23"/>
      <c r="E44" s="23"/>
      <c r="F44" s="22"/>
    </row>
    <row r="45" spans="1:6" ht="15" thickBot="1" x14ac:dyDescent="0.35">
      <c r="A45" s="23"/>
      <c r="B45" s="23"/>
      <c r="C45" s="23"/>
      <c r="D45" s="23"/>
      <c r="E45" s="23"/>
      <c r="F45" s="22"/>
    </row>
    <row r="46" spans="1:6" ht="15" thickBot="1" x14ac:dyDescent="0.35">
      <c r="A46" s="23"/>
      <c r="B46" s="23"/>
      <c r="C46" s="23"/>
      <c r="D46" s="23"/>
      <c r="E46" s="23"/>
      <c r="F46" s="22"/>
    </row>
    <row r="47" spans="1:6" ht="15" thickBot="1" x14ac:dyDescent="0.35">
      <c r="A47" s="23"/>
      <c r="B47" s="23"/>
      <c r="C47" s="23"/>
      <c r="D47" s="23"/>
      <c r="E47" s="23"/>
      <c r="F47" s="22"/>
    </row>
    <row r="48" spans="1:6" ht="15" thickBot="1" x14ac:dyDescent="0.35">
      <c r="A48" s="23"/>
      <c r="B48" s="23"/>
      <c r="C48" s="23"/>
      <c r="D48" s="23"/>
      <c r="E48" s="23"/>
      <c r="F48" s="22"/>
    </row>
    <row r="49" spans="1:9" ht="15" customHeight="1" thickBot="1" x14ac:dyDescent="0.35">
      <c r="A49" s="23"/>
      <c r="B49" s="23"/>
      <c r="C49" s="23"/>
      <c r="D49" s="23"/>
      <c r="E49" s="23"/>
      <c r="F49" s="22"/>
    </row>
    <row r="50" spans="1:9" ht="15" customHeight="1" thickBot="1" x14ac:dyDescent="0.35">
      <c r="A50" s="23"/>
      <c r="B50" s="23"/>
      <c r="C50" s="23"/>
      <c r="D50" s="23"/>
      <c r="E50" s="33"/>
      <c r="F50" s="22"/>
      <c r="I50" s="75"/>
    </row>
    <row r="51" spans="1:9" ht="15" customHeight="1" thickBot="1" x14ac:dyDescent="0.35">
      <c r="A51" s="23"/>
      <c r="B51" s="23"/>
      <c r="C51" s="23"/>
      <c r="D51" s="23"/>
      <c r="E51" s="33"/>
      <c r="F51" s="22"/>
      <c r="I51" s="75"/>
    </row>
    <row r="52" spans="1:9" ht="15" customHeight="1" thickBot="1" x14ac:dyDescent="0.35">
      <c r="A52" s="23"/>
      <c r="B52" s="23"/>
      <c r="C52" s="23"/>
      <c r="D52" s="23"/>
      <c r="E52" s="23"/>
      <c r="F52" s="22"/>
      <c r="I52" s="75"/>
    </row>
    <row r="53" spans="1:9" ht="15" customHeight="1" thickBot="1" x14ac:dyDescent="0.35">
      <c r="A53" s="23"/>
      <c r="B53" s="23"/>
      <c r="C53" s="23"/>
      <c r="D53" s="23"/>
      <c r="E53" s="23"/>
      <c r="F53" s="35"/>
      <c r="I53" s="75"/>
    </row>
    <row r="54" spans="1:9" ht="15" customHeight="1" thickBot="1" x14ac:dyDescent="0.35">
      <c r="A54" s="23"/>
      <c r="B54" s="23"/>
      <c r="C54" s="23"/>
      <c r="D54" s="23"/>
      <c r="E54" s="23"/>
      <c r="F54" s="22"/>
      <c r="I54" s="75"/>
    </row>
    <row r="55" spans="1:9" ht="15" customHeight="1" thickBot="1" x14ac:dyDescent="0.35">
      <c r="A55" s="23"/>
      <c r="B55" s="23"/>
      <c r="C55" s="23"/>
      <c r="D55" s="23"/>
      <c r="E55" s="23"/>
      <c r="F55" s="22"/>
      <c r="I55" s="75"/>
    </row>
    <row r="56" spans="1:9" ht="15" customHeight="1" thickBot="1" x14ac:dyDescent="0.35">
      <c r="A56" s="23"/>
      <c r="B56" s="23"/>
      <c r="C56" s="23"/>
      <c r="D56" s="23"/>
      <c r="E56" s="23"/>
      <c r="F56" s="22"/>
      <c r="I56" s="75"/>
    </row>
    <row r="57" spans="1:9" ht="15" customHeight="1" thickBot="1" x14ac:dyDescent="0.35">
      <c r="A57" s="23"/>
      <c r="B57" s="23"/>
      <c r="C57" s="23"/>
      <c r="D57" s="23"/>
      <c r="E57" s="23"/>
      <c r="F57" s="22"/>
      <c r="I57" s="75"/>
    </row>
    <row r="58" spans="1:9" ht="15" customHeight="1" thickBot="1" x14ac:dyDescent="0.35">
      <c r="A58" s="23"/>
      <c r="B58" s="23"/>
      <c r="C58" s="23"/>
      <c r="D58" s="33"/>
      <c r="E58" s="23"/>
      <c r="F58" s="36"/>
      <c r="I58" s="75"/>
    </row>
    <row r="59" spans="1:9" ht="15" customHeight="1" thickBot="1" x14ac:dyDescent="0.35">
      <c r="A59" s="23"/>
      <c r="B59" s="23"/>
      <c r="C59" s="23"/>
      <c r="D59" s="23"/>
      <c r="E59" s="23"/>
      <c r="F59" s="22"/>
      <c r="I59" s="75"/>
    </row>
    <row r="60" spans="1:9" ht="15" customHeight="1" thickBot="1" x14ac:dyDescent="0.35">
      <c r="A60" s="23"/>
      <c r="B60" s="23"/>
      <c r="C60" s="23"/>
      <c r="D60" s="23"/>
      <c r="E60" s="23"/>
      <c r="F60" s="22"/>
      <c r="I60" s="75"/>
    </row>
    <row r="61" spans="1:9" ht="15" customHeight="1" thickBot="1" x14ac:dyDescent="0.35">
      <c r="A61" s="23"/>
      <c r="B61" s="23"/>
      <c r="C61" s="23"/>
      <c r="D61" s="23"/>
      <c r="E61" s="23"/>
      <c r="F61" s="22"/>
      <c r="I61" s="75"/>
    </row>
    <row r="62" spans="1:9" ht="15" customHeight="1" thickBot="1" x14ac:dyDescent="0.35">
      <c r="A62" s="23"/>
      <c r="B62" s="23"/>
      <c r="C62" s="23"/>
      <c r="D62" s="33"/>
      <c r="E62" s="23"/>
      <c r="F62" s="22"/>
      <c r="I62" s="75"/>
    </row>
    <row r="63" spans="1:9" ht="15" customHeight="1" thickBot="1" x14ac:dyDescent="0.35">
      <c r="A63" s="23"/>
      <c r="B63" s="23"/>
      <c r="C63" s="23"/>
      <c r="D63" s="23"/>
      <c r="E63" s="23"/>
      <c r="F63" s="35"/>
      <c r="I63" s="75"/>
    </row>
    <row r="64" spans="1:9" ht="15" customHeight="1" thickBot="1" x14ac:dyDescent="0.35">
      <c r="A64" s="23"/>
      <c r="B64" s="23"/>
      <c r="C64" s="23"/>
      <c r="D64" s="23"/>
      <c r="E64" s="23"/>
      <c r="F64" s="22"/>
      <c r="I64" s="75"/>
    </row>
    <row r="65" spans="1:9" ht="15" customHeight="1" thickBot="1" x14ac:dyDescent="0.35">
      <c r="A65" s="23"/>
      <c r="B65" s="23"/>
      <c r="C65" s="23"/>
      <c r="D65" s="23"/>
      <c r="E65" s="34"/>
      <c r="F65" s="35"/>
      <c r="I65" s="75"/>
    </row>
    <row r="66" spans="1:9" ht="15" customHeight="1" thickBot="1" x14ac:dyDescent="0.35">
      <c r="A66" s="23"/>
      <c r="B66" s="23"/>
      <c r="C66" s="23"/>
      <c r="D66" s="23"/>
      <c r="E66" s="23"/>
      <c r="F66" s="22"/>
      <c r="I66" s="75"/>
    </row>
    <row r="67" spans="1:9" ht="15" customHeight="1" thickBot="1" x14ac:dyDescent="0.35">
      <c r="A67" s="23"/>
      <c r="B67" s="23"/>
      <c r="C67" s="23"/>
      <c r="D67" s="23"/>
      <c r="E67" s="23"/>
      <c r="F67" s="22"/>
      <c r="I67" s="75"/>
    </row>
    <row r="68" spans="1:9" ht="15" customHeight="1" thickBot="1" x14ac:dyDescent="0.35">
      <c r="A68" s="23"/>
      <c r="B68" s="23"/>
      <c r="C68" s="23"/>
      <c r="D68" s="23"/>
      <c r="E68" s="23"/>
      <c r="F68" s="22"/>
      <c r="I68" s="75"/>
    </row>
    <row r="69" spans="1:9" ht="15" customHeight="1" thickBot="1" x14ac:dyDescent="0.35">
      <c r="A69" s="23"/>
      <c r="B69" s="23"/>
      <c r="C69" s="23"/>
      <c r="D69" s="23"/>
      <c r="E69" s="23"/>
      <c r="F69" s="22"/>
      <c r="I69" s="75"/>
    </row>
    <row r="70" spans="1:9" ht="15" customHeight="1" thickBot="1" x14ac:dyDescent="0.35">
      <c r="A70" s="23"/>
      <c r="B70" s="23"/>
      <c r="C70" s="23"/>
      <c r="D70" s="23"/>
      <c r="E70" s="33"/>
      <c r="F70" s="22"/>
      <c r="I70" s="75"/>
    </row>
    <row r="71" spans="1:9" ht="15" customHeight="1" thickBot="1" x14ac:dyDescent="0.35">
      <c r="A71" s="23"/>
      <c r="B71" s="23"/>
      <c r="C71" s="23"/>
      <c r="D71" s="23"/>
      <c r="E71" s="23"/>
      <c r="F71" s="22"/>
      <c r="I71" s="75"/>
    </row>
    <row r="72" spans="1:9" ht="15" customHeight="1" thickBot="1" x14ac:dyDescent="0.35">
      <c r="A72" s="23"/>
      <c r="B72" s="23"/>
      <c r="C72" s="23"/>
      <c r="D72" s="33"/>
      <c r="E72" s="23"/>
      <c r="F72" s="36"/>
      <c r="I72" s="75"/>
    </row>
    <row r="73" spans="1:9" ht="15" customHeight="1" thickBot="1" x14ac:dyDescent="0.35">
      <c r="A73" s="23"/>
      <c r="B73" s="23"/>
      <c r="C73" s="23"/>
      <c r="D73" s="23"/>
      <c r="E73" s="23"/>
      <c r="F73" s="22"/>
      <c r="I73" s="75"/>
    </row>
    <row r="74" spans="1:9" ht="15" customHeight="1" thickBot="1" x14ac:dyDescent="0.35">
      <c r="A74" s="23"/>
      <c r="B74" s="23"/>
      <c r="C74" s="23"/>
      <c r="D74" s="23"/>
      <c r="E74" s="23"/>
      <c r="F74" s="22"/>
      <c r="I74" s="75"/>
    </row>
    <row r="75" spans="1:9" ht="15" customHeight="1" thickBot="1" x14ac:dyDescent="0.35">
      <c r="A75" s="23"/>
      <c r="B75" s="23"/>
      <c r="C75" s="23"/>
      <c r="D75" s="23"/>
      <c r="E75" s="47"/>
    </row>
    <row r="76" spans="1:9" ht="15" customHeight="1" thickBot="1" x14ac:dyDescent="0.35">
      <c r="A76" s="23"/>
      <c r="B76" s="23"/>
      <c r="C76" s="23"/>
      <c r="D76" s="23"/>
      <c r="E76" s="48"/>
    </row>
    <row r="77" spans="1:9" ht="15" customHeight="1" thickBot="1" x14ac:dyDescent="0.35">
      <c r="A77" s="23"/>
      <c r="B77" s="23"/>
      <c r="C77" s="23"/>
      <c r="D77" s="23"/>
      <c r="E77" s="48"/>
    </row>
    <row r="78" spans="1:9" ht="15" customHeight="1" thickBot="1" x14ac:dyDescent="0.35">
      <c r="A78" s="23"/>
      <c r="B78" s="23"/>
      <c r="C78" s="23"/>
      <c r="D78" s="23"/>
      <c r="E78" s="48"/>
    </row>
    <row r="79" spans="1:9" ht="15" customHeight="1" thickBot="1" x14ac:dyDescent="0.35">
      <c r="A79" s="23"/>
      <c r="B79" s="23"/>
      <c r="C79" s="23"/>
      <c r="D79" s="23"/>
      <c r="E79" s="48"/>
    </row>
    <row r="80" spans="1:9" ht="15" customHeight="1" thickBot="1" x14ac:dyDescent="0.35">
      <c r="A80" s="23"/>
      <c r="B80" s="23"/>
      <c r="C80" s="23"/>
      <c r="D80" s="23"/>
      <c r="E80" s="48"/>
    </row>
    <row r="81" spans="1:5" ht="15" customHeight="1" thickBot="1" x14ac:dyDescent="0.35">
      <c r="A81" s="23"/>
      <c r="B81" s="23"/>
      <c r="C81" s="23"/>
      <c r="D81" s="23"/>
      <c r="E81" s="48"/>
    </row>
    <row r="82" spans="1:5" ht="15" customHeight="1" thickBot="1" x14ac:dyDescent="0.35">
      <c r="A82" s="23"/>
      <c r="B82" s="23"/>
      <c r="C82" s="23"/>
      <c r="D82" s="23"/>
      <c r="E82" s="48"/>
    </row>
    <row r="83" spans="1:5" ht="15" customHeight="1" thickBot="1" x14ac:dyDescent="0.35">
      <c r="A83" s="23"/>
      <c r="B83" s="23"/>
      <c r="C83" s="23"/>
      <c r="D83" s="23"/>
      <c r="E83" s="48"/>
    </row>
    <row r="84" spans="1:5" ht="15" customHeight="1" thickBot="1" x14ac:dyDescent="0.35">
      <c r="A84" s="23"/>
      <c r="B84" s="23"/>
      <c r="C84" s="23"/>
      <c r="D84" s="23"/>
      <c r="E84" s="48"/>
    </row>
    <row r="85" spans="1:5" ht="15" customHeight="1" thickBot="1" x14ac:dyDescent="0.35">
      <c r="A85" s="23"/>
      <c r="B85" s="23"/>
      <c r="C85" s="23"/>
      <c r="D85" s="23"/>
      <c r="E85" s="48"/>
    </row>
    <row r="86" spans="1:5" ht="15" customHeight="1" thickBot="1" x14ac:dyDescent="0.35">
      <c r="A86" s="23"/>
      <c r="B86" s="23"/>
      <c r="C86" s="23"/>
      <c r="D86" s="23"/>
      <c r="E86" s="48"/>
    </row>
    <row r="87" spans="1:5" ht="15" customHeight="1" thickBot="1" x14ac:dyDescent="0.35">
      <c r="A87" s="23"/>
      <c r="B87" s="23"/>
      <c r="C87" s="23"/>
      <c r="D87" s="23"/>
      <c r="E87" s="48"/>
    </row>
    <row r="88" spans="1:5" ht="15" customHeight="1" thickBot="1" x14ac:dyDescent="0.35">
      <c r="A88" s="23"/>
      <c r="B88" s="23"/>
      <c r="C88" s="23"/>
      <c r="D88" s="23"/>
      <c r="E88" s="48"/>
    </row>
    <row r="89" spans="1:5" ht="15" customHeight="1" thickBot="1" x14ac:dyDescent="0.35">
      <c r="A89" s="23"/>
      <c r="B89" s="23"/>
      <c r="C89" s="23"/>
      <c r="D89" s="23"/>
      <c r="E89" s="48"/>
    </row>
    <row r="90" spans="1:5" ht="15" customHeight="1" thickBot="1" x14ac:dyDescent="0.35">
      <c r="A90" s="23"/>
      <c r="B90" s="23"/>
      <c r="C90" s="23"/>
      <c r="D90" s="23"/>
      <c r="E90" s="48"/>
    </row>
    <row r="91" spans="1:5" ht="15" customHeight="1" thickBot="1" x14ac:dyDescent="0.35">
      <c r="A91" s="23"/>
      <c r="B91" s="23"/>
      <c r="C91" s="23"/>
      <c r="D91" s="23"/>
      <c r="E91" s="48"/>
    </row>
    <row r="92" spans="1:5" ht="15" customHeight="1" thickBot="1" x14ac:dyDescent="0.35">
      <c r="A92" s="23"/>
      <c r="B92" s="23"/>
      <c r="C92" s="23"/>
      <c r="D92" s="23"/>
      <c r="E92" s="48"/>
    </row>
    <row r="93" spans="1:5" ht="15" customHeight="1" thickBot="1" x14ac:dyDescent="0.35">
      <c r="A93" s="23"/>
      <c r="B93" s="23"/>
      <c r="C93" s="23"/>
      <c r="D93" s="23"/>
      <c r="E93" s="48"/>
    </row>
    <row r="94" spans="1:5" ht="15" customHeight="1" thickBot="1" x14ac:dyDescent="0.35">
      <c r="A94" s="23"/>
      <c r="B94" s="23"/>
      <c r="C94" s="23"/>
      <c r="D94" s="23"/>
      <c r="E94" s="48"/>
    </row>
    <row r="95" spans="1:5" ht="15" customHeight="1" thickBot="1" x14ac:dyDescent="0.35">
      <c r="A95" s="23"/>
      <c r="B95" s="23"/>
      <c r="C95" s="23"/>
      <c r="D95" s="23"/>
      <c r="E95" s="48"/>
    </row>
    <row r="96" spans="1:5" ht="15" customHeight="1" thickBot="1" x14ac:dyDescent="0.35">
      <c r="A96" s="23"/>
      <c r="B96" s="23"/>
      <c r="C96" s="23"/>
      <c r="D96" s="23"/>
      <c r="E96" s="48"/>
    </row>
    <row r="97" spans="1:5" ht="15" customHeight="1" thickBot="1" x14ac:dyDescent="0.35">
      <c r="A97" s="23"/>
      <c r="B97" s="23"/>
      <c r="C97" s="23"/>
      <c r="D97" s="23"/>
      <c r="E97" s="48"/>
    </row>
    <row r="98" spans="1:5" ht="15" customHeight="1" thickBot="1" x14ac:dyDescent="0.35">
      <c r="A98" s="23"/>
      <c r="B98" s="23"/>
      <c r="C98" s="23"/>
      <c r="D98" s="23"/>
      <c r="E98" s="48"/>
    </row>
    <row r="99" spans="1:5" ht="15" customHeight="1" thickBot="1" x14ac:dyDescent="0.35">
      <c r="A99" s="23"/>
      <c r="B99" s="37"/>
      <c r="C99" s="37"/>
      <c r="D99" s="37"/>
      <c r="E99" s="49"/>
    </row>
  </sheetData>
  <conditionalFormatting sqref="G2:G838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{6EA5EDBE-0616-4533-A4DE-75DC6509A9B8}</x14:id>
        </ext>
      </extLst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EA5EDBE-0616-4533-A4DE-75DC6509A9B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G2:G838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715E37-9B81-4860-858E-DDE95B9DEC14}">
  <sheetPr codeName="Sheet4"/>
  <dimension ref="B2:E47"/>
  <sheetViews>
    <sheetView workbookViewId="0">
      <selection activeCell="E26" sqref="E26"/>
    </sheetView>
  </sheetViews>
  <sheetFormatPr defaultRowHeight="14.4" x14ac:dyDescent="0.3"/>
  <sheetData>
    <row r="2" spans="2:5" ht="18" x14ac:dyDescent="0.35">
      <c r="B2" s="16" t="s">
        <v>144</v>
      </c>
      <c r="C2" s="17"/>
      <c r="D2" s="18"/>
      <c r="E2" s="18"/>
    </row>
    <row r="3" spans="2:5" x14ac:dyDescent="0.3">
      <c r="B3" s="15" t="s">
        <v>150</v>
      </c>
      <c r="C3" s="17" t="e">
        <f>SUM(#REF!)</f>
        <v>#REF!</v>
      </c>
      <c r="D3" s="18">
        <v>0</v>
      </c>
      <c r="E3" s="18">
        <v>0</v>
      </c>
    </row>
    <row r="4" spans="2:5" x14ac:dyDescent="0.3">
      <c r="B4" s="15" t="s">
        <v>151</v>
      </c>
      <c r="C4" s="17" t="e">
        <f>SUM(#REF!)</f>
        <v>#REF!</v>
      </c>
      <c r="D4" s="18">
        <v>0</v>
      </c>
      <c r="E4" s="18">
        <v>0</v>
      </c>
    </row>
    <row r="5" spans="2:5" x14ac:dyDescent="0.3">
      <c r="B5" s="15" t="s">
        <v>152</v>
      </c>
      <c r="C5" s="17" t="e">
        <f>SUM(#REF!)</f>
        <v>#REF!</v>
      </c>
      <c r="D5" s="18">
        <v>0</v>
      </c>
      <c r="E5" s="19">
        <v>15</v>
      </c>
    </row>
    <row r="6" spans="2:5" ht="28.8" x14ac:dyDescent="0.3">
      <c r="B6" s="15" t="s">
        <v>153</v>
      </c>
      <c r="C6" s="17" t="e">
        <f>SUM(#REF!)</f>
        <v>#REF!</v>
      </c>
      <c r="D6" s="18">
        <v>2</v>
      </c>
      <c r="E6" s="18" t="s">
        <v>154</v>
      </c>
    </row>
    <row r="7" spans="2:5" x14ac:dyDescent="0.3">
      <c r="B7" s="15" t="s">
        <v>155</v>
      </c>
      <c r="C7" s="17" t="e">
        <f>SUM(#REF!)</f>
        <v>#REF!</v>
      </c>
      <c r="D7" s="20">
        <v>18</v>
      </c>
      <c r="E7" s="18" t="s">
        <v>156</v>
      </c>
    </row>
    <row r="8" spans="2:5" x14ac:dyDescent="0.3">
      <c r="B8" s="15" t="s">
        <v>157</v>
      </c>
      <c r="C8" s="17" t="e">
        <f>SUM(#REF!)</f>
        <v>#REF!</v>
      </c>
      <c r="D8" s="18">
        <v>1</v>
      </c>
      <c r="E8" s="18">
        <v>0</v>
      </c>
    </row>
    <row r="9" spans="2:5" x14ac:dyDescent="0.3">
      <c r="B9" s="15" t="s">
        <v>158</v>
      </c>
      <c r="C9" s="17" t="e">
        <f>SUM(#REF!)</f>
        <v>#REF!</v>
      </c>
      <c r="D9" s="18">
        <v>10</v>
      </c>
      <c r="E9" s="18">
        <v>8</v>
      </c>
    </row>
    <row r="10" spans="2:5" x14ac:dyDescent="0.3">
      <c r="B10" t="s">
        <v>159</v>
      </c>
      <c r="C10" s="5" t="e">
        <f>SUM(#REF!)</f>
        <v>#REF!</v>
      </c>
      <c r="D10" s="9">
        <v>8</v>
      </c>
      <c r="E10" s="9">
        <v>0</v>
      </c>
    </row>
    <row r="11" spans="2:5" x14ac:dyDescent="0.3">
      <c r="B11" t="s">
        <v>160</v>
      </c>
      <c r="C11" s="7" t="e">
        <f>SUM(#REF!)</f>
        <v>#REF!</v>
      </c>
      <c r="D11" s="10">
        <v>25</v>
      </c>
      <c r="E11" s="9">
        <v>0</v>
      </c>
    </row>
    <row r="12" spans="2:5" x14ac:dyDescent="0.3">
      <c r="B12" t="s">
        <v>161</v>
      </c>
      <c r="C12" s="5" t="e">
        <f>SUM(#REF!)</f>
        <v>#REF!</v>
      </c>
      <c r="D12" s="9">
        <v>0</v>
      </c>
      <c r="E12" s="9">
        <v>4</v>
      </c>
    </row>
    <row r="13" spans="2:5" x14ac:dyDescent="0.3">
      <c r="B13" t="s">
        <v>162</v>
      </c>
      <c r="C13" s="5" t="e">
        <f>SUM(#REF!)</f>
        <v>#REF!</v>
      </c>
      <c r="D13" s="9">
        <v>12</v>
      </c>
      <c r="E13" s="9" t="s">
        <v>163</v>
      </c>
    </row>
    <row r="14" spans="2:5" x14ac:dyDescent="0.3">
      <c r="B14" t="s">
        <v>164</v>
      </c>
      <c r="C14" s="5" t="e">
        <f>SUM(#REF!)</f>
        <v>#REF!</v>
      </c>
      <c r="D14" s="9">
        <v>0</v>
      </c>
      <c r="E14" s="9">
        <v>1</v>
      </c>
    </row>
    <row r="15" spans="2:5" x14ac:dyDescent="0.3">
      <c r="B15" t="s">
        <v>165</v>
      </c>
      <c r="C15" s="5" t="e">
        <f>SUM(#REF!)</f>
        <v>#REF!</v>
      </c>
      <c r="D15" s="9">
        <v>0.5</v>
      </c>
      <c r="E15" s="9">
        <v>12</v>
      </c>
    </row>
    <row r="16" spans="2:5" x14ac:dyDescent="0.3">
      <c r="B16" t="s">
        <v>166</v>
      </c>
      <c r="C16" s="5" t="e">
        <f>SUM(#REF!)</f>
        <v>#REF!</v>
      </c>
      <c r="D16" s="9">
        <v>0</v>
      </c>
      <c r="E16" s="9">
        <v>0</v>
      </c>
    </row>
    <row r="17" spans="2:5" x14ac:dyDescent="0.3">
      <c r="B17" t="s">
        <v>167</v>
      </c>
      <c r="C17" s="5" t="e">
        <f>SUM(#REF!)</f>
        <v>#REF!</v>
      </c>
      <c r="D17" s="9">
        <v>4</v>
      </c>
      <c r="E17" s="9">
        <v>10</v>
      </c>
    </row>
    <row r="18" spans="2:5" x14ac:dyDescent="0.3">
      <c r="B18" t="s">
        <v>168</v>
      </c>
      <c r="C18" s="5" t="e">
        <f>SUM(#REF!)</f>
        <v>#REF!</v>
      </c>
      <c r="D18" s="9">
        <v>0</v>
      </c>
      <c r="E18" s="9">
        <v>0</v>
      </c>
    </row>
    <row r="19" spans="2:5" x14ac:dyDescent="0.3">
      <c r="B19" t="s">
        <v>169</v>
      </c>
      <c r="C19" s="5" t="e">
        <f>SUM(#REF!)</f>
        <v>#REF!</v>
      </c>
      <c r="D19" s="9">
        <v>0</v>
      </c>
      <c r="E19" s="9">
        <v>0</v>
      </c>
    </row>
    <row r="20" spans="2:5" x14ac:dyDescent="0.3">
      <c r="B20" t="s">
        <v>170</v>
      </c>
      <c r="C20" s="6" t="e">
        <f>SUM(#REF!)</f>
        <v>#REF!</v>
      </c>
      <c r="D20" s="12">
        <v>15</v>
      </c>
      <c r="E20" s="10">
        <v>25</v>
      </c>
    </row>
    <row r="21" spans="2:5" x14ac:dyDescent="0.3">
      <c r="B21" t="s">
        <v>171</v>
      </c>
      <c r="C21" s="5" t="e">
        <f>SUM(#REF!)</f>
        <v>#REF!</v>
      </c>
      <c r="D21" s="9">
        <v>0</v>
      </c>
      <c r="E21" s="9">
        <v>0</v>
      </c>
    </row>
    <row r="22" spans="2:5" x14ac:dyDescent="0.3">
      <c r="B22" t="s">
        <v>172</v>
      </c>
      <c r="C22" s="8" t="e">
        <f>SUM(#REF!)</f>
        <v>#REF!</v>
      </c>
      <c r="D22" s="9">
        <v>6</v>
      </c>
      <c r="E22" s="11">
        <v>18</v>
      </c>
    </row>
    <row r="23" spans="2:5" x14ac:dyDescent="0.3">
      <c r="C23" s="5"/>
      <c r="D23" s="9"/>
      <c r="E23" s="9"/>
    </row>
    <row r="24" spans="2:5" ht="18" x14ac:dyDescent="0.35">
      <c r="B24" s="1" t="s">
        <v>173</v>
      </c>
      <c r="C24" s="5"/>
      <c r="D24" s="9"/>
      <c r="E24" s="9"/>
    </row>
    <row r="25" spans="2:5" x14ac:dyDescent="0.3">
      <c r="B25" t="s">
        <v>150</v>
      </c>
      <c r="C25" s="5"/>
      <c r="D25" s="9"/>
      <c r="E25" s="9" t="s">
        <v>174</v>
      </c>
    </row>
    <row r="26" spans="2:5" x14ac:dyDescent="0.3">
      <c r="B26" t="s">
        <v>151</v>
      </c>
      <c r="C26" s="5"/>
      <c r="D26" s="9"/>
      <c r="E26" s="9" t="s">
        <v>175</v>
      </c>
    </row>
    <row r="27" spans="2:5" x14ac:dyDescent="0.3">
      <c r="B27" t="s">
        <v>152</v>
      </c>
      <c r="C27" s="5"/>
      <c r="D27" s="9"/>
      <c r="E27" s="9" t="s">
        <v>176</v>
      </c>
    </row>
    <row r="28" spans="2:5" x14ac:dyDescent="0.3">
      <c r="B28" t="s">
        <v>153</v>
      </c>
      <c r="C28" s="5"/>
      <c r="D28" s="9"/>
      <c r="E28" s="9" t="s">
        <v>177</v>
      </c>
    </row>
    <row r="29" spans="2:5" x14ac:dyDescent="0.3">
      <c r="B29" t="s">
        <v>155</v>
      </c>
      <c r="C29" s="5"/>
      <c r="D29" s="9"/>
      <c r="E29" s="9" t="s">
        <v>178</v>
      </c>
    </row>
    <row r="30" spans="2:5" x14ac:dyDescent="0.3">
      <c r="B30" t="s">
        <v>157</v>
      </c>
      <c r="C30" s="5"/>
      <c r="D30" s="9"/>
      <c r="E30" s="9" t="s">
        <v>179</v>
      </c>
    </row>
    <row r="31" spans="2:5" x14ac:dyDescent="0.3">
      <c r="B31" t="s">
        <v>158</v>
      </c>
      <c r="C31" s="5"/>
      <c r="D31" s="9"/>
      <c r="E31" s="9" t="s">
        <v>180</v>
      </c>
    </row>
    <row r="32" spans="2:5" x14ac:dyDescent="0.3">
      <c r="B32" t="s">
        <v>159</v>
      </c>
      <c r="C32" s="5"/>
      <c r="D32" s="9"/>
      <c r="E32" s="9" t="s">
        <v>181</v>
      </c>
    </row>
    <row r="33" spans="2:5" x14ac:dyDescent="0.3">
      <c r="B33" t="s">
        <v>160</v>
      </c>
      <c r="C33" s="5"/>
      <c r="D33" s="9"/>
      <c r="E33" s="9" t="s">
        <v>182</v>
      </c>
    </row>
    <row r="34" spans="2:5" x14ac:dyDescent="0.3">
      <c r="B34" t="s">
        <v>161</v>
      </c>
      <c r="C34" s="5"/>
      <c r="D34" s="9"/>
      <c r="E34" s="9" t="s">
        <v>183</v>
      </c>
    </row>
    <row r="35" spans="2:5" x14ac:dyDescent="0.3">
      <c r="B35" t="s">
        <v>162</v>
      </c>
      <c r="C35" s="5"/>
      <c r="D35" s="9"/>
      <c r="E35" s="9" t="s">
        <v>184</v>
      </c>
    </row>
    <row r="36" spans="2:5" x14ac:dyDescent="0.3">
      <c r="B36" t="s">
        <v>164</v>
      </c>
      <c r="C36" s="5"/>
      <c r="D36" s="9"/>
      <c r="E36" s="9" t="s">
        <v>185</v>
      </c>
    </row>
    <row r="37" spans="2:5" x14ac:dyDescent="0.3">
      <c r="B37" t="s">
        <v>165</v>
      </c>
      <c r="C37" s="5"/>
      <c r="D37" s="9"/>
      <c r="E37" s="9" t="s">
        <v>186</v>
      </c>
    </row>
    <row r="38" spans="2:5" x14ac:dyDescent="0.3">
      <c r="B38" t="s">
        <v>166</v>
      </c>
      <c r="C38" s="5"/>
      <c r="D38" s="9"/>
      <c r="E38" s="9" t="s">
        <v>187</v>
      </c>
    </row>
    <row r="39" spans="2:5" x14ac:dyDescent="0.3">
      <c r="B39" t="s">
        <v>167</v>
      </c>
      <c r="C39" s="5"/>
      <c r="D39" s="9"/>
      <c r="E39" s="9" t="s">
        <v>188</v>
      </c>
    </row>
    <row r="40" spans="2:5" x14ac:dyDescent="0.3">
      <c r="B40" t="s">
        <v>168</v>
      </c>
      <c r="C40" s="5"/>
      <c r="D40" s="9"/>
      <c r="E40" s="9" t="s">
        <v>189</v>
      </c>
    </row>
    <row r="41" spans="2:5" x14ac:dyDescent="0.3">
      <c r="B41" t="s">
        <v>169</v>
      </c>
      <c r="C41" s="5"/>
      <c r="D41" s="9"/>
      <c r="E41" s="9" t="s">
        <v>190</v>
      </c>
    </row>
    <row r="42" spans="2:5" x14ac:dyDescent="0.3">
      <c r="B42" t="s">
        <v>170</v>
      </c>
      <c r="C42" s="5"/>
      <c r="D42" s="9"/>
      <c r="E42" s="9" t="s">
        <v>191</v>
      </c>
    </row>
    <row r="43" spans="2:5" x14ac:dyDescent="0.3">
      <c r="B43" t="s">
        <v>171</v>
      </c>
      <c r="C43" s="5"/>
      <c r="D43" s="9"/>
      <c r="E43" s="9" t="s">
        <v>192</v>
      </c>
    </row>
    <row r="44" spans="2:5" x14ac:dyDescent="0.3">
      <c r="B44" t="s">
        <v>172</v>
      </c>
      <c r="C44" s="5"/>
      <c r="D44" s="9"/>
      <c r="E44" s="9" t="s">
        <v>193</v>
      </c>
    </row>
    <row r="45" spans="2:5" x14ac:dyDescent="0.3">
      <c r="B45" s="3"/>
      <c r="E45" s="3"/>
    </row>
    <row r="46" spans="2:5" x14ac:dyDescent="0.3">
      <c r="B46" s="3"/>
      <c r="E46" s="3"/>
    </row>
    <row r="47" spans="2:5" x14ac:dyDescent="0.3">
      <c r="B47" s="3"/>
      <c r="E47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B40D16C-80B2-4AAF-9C5C-80EF7CF9B96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Points</vt:lpstr>
      <vt:lpstr>Sheet1</vt:lpstr>
      <vt:lpstr>Race Results</vt:lpstr>
      <vt:lpstr>DriverNameMapping</vt:lpstr>
      <vt:lpstr>Results (2)</vt:lpstr>
      <vt:lpstr>Todo</vt:lpstr>
      <vt:lpstr>Stats</vt:lpstr>
      <vt:lpstr>Guesses</vt:lpstr>
      <vt:lpstr>SS</vt:lpstr>
      <vt:lpstr>'Results (2)'!max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Lee Bell</dc:creator>
  <cp:keywords/>
  <dc:description/>
  <cp:lastModifiedBy>Frank Kusel</cp:lastModifiedBy>
  <cp:revision/>
  <dcterms:created xsi:type="dcterms:W3CDTF">2023-03-19T18:02:24Z</dcterms:created>
  <dcterms:modified xsi:type="dcterms:W3CDTF">2024-03-09T19:41:52Z</dcterms:modified>
  <cp:category/>
  <cp:contentStatus/>
</cp:coreProperties>
</file>