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ank\F1-pole-predictor\"/>
    </mc:Choice>
  </mc:AlternateContent>
  <xr:revisionPtr revIDLastSave="0" documentId="13_ncr:1_{001B1179-0C9B-45D3-9A74-44DF20C5473C}" xr6:coauthVersionLast="47" xr6:coauthVersionMax="47" xr10:uidLastSave="{00000000-0000-0000-0000-000000000000}"/>
  <bookViews>
    <workbookView xWindow="18888" yWindow="3672" windowWidth="16356" windowHeight="20280" tabRatio="803" firstSheet="4" activeTab="9" xr2:uid="{180F4083-D0CF-442F-8840-C1C1F906FB2A}"/>
  </bookViews>
  <sheets>
    <sheet name="Instructions" sheetId="14" r:id="rId1"/>
    <sheet name="Sheet1" sheetId="17" r:id="rId2"/>
    <sheet name="Google Forms" sheetId="12" r:id="rId3"/>
    <sheet name="Race Results" sheetId="5" r:id="rId4"/>
    <sheet name="Driver Stats" sheetId="6" r:id="rId5"/>
    <sheet name="Snapshot" sheetId="10" r:id="rId6"/>
    <sheet name="DriverNameMapping" sheetId="7" r:id="rId7"/>
    <sheet name="Results (2)" sheetId="16" r:id="rId8"/>
    <sheet name="Results - ss" sheetId="1" r:id="rId9"/>
    <sheet name="Results" sheetId="18" r:id="rId10"/>
    <sheet name="Todo" sheetId="8" state="hidden" r:id="rId11"/>
    <sheet name="Stats" sheetId="15" state="hidden" r:id="rId12"/>
    <sheet name="Guesses" sheetId="2" state="hidden" r:id="rId13"/>
    <sheet name="SS" sheetId="4" state="hidden" r:id="rId14"/>
  </sheets>
  <definedNames>
    <definedName name="_xlnm._FilterDatabase" localSheetId="4" hidden="1">'Driver Stats'!$B$2:$Z$2</definedName>
    <definedName name="_xlnm._FilterDatabase" localSheetId="12" hidden="1">Guesses!$A$1:$G$838</definedName>
    <definedName name="ExternalData_1" localSheetId="2" hidden="1">'Google Forms'!$A$3:$I$518</definedName>
    <definedName name="ExternalData_1" localSheetId="3" hidden="1">'Race Results'!$A$2:$D$22</definedName>
    <definedName name="max" localSheetId="9">Results!#REF!</definedName>
    <definedName name="max" localSheetId="7">'Results (2)'!$G$34</definedName>
    <definedName name="max">'Results - ss'!#REF!</definedName>
  </definedNames>
  <calcPr calcId="191028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" i="16" l="1" a="1"/>
  <c r="B92" i="16" s="1"/>
  <c r="J90" i="16"/>
  <c r="I90" i="16"/>
  <c r="H90" i="16"/>
  <c r="H92" i="16" s="1" a="1"/>
  <c r="H92" i="16" s="1"/>
  <c r="I92" i="16" s="1" a="1"/>
  <c r="I92" i="16" s="1"/>
  <c r="J92" i="16" s="1" a="1"/>
  <c r="J92" i="16" s="1"/>
  <c r="C89" i="16"/>
  <c r="D89" i="16" s="1"/>
  <c r="J39" i="16" a="1"/>
  <c r="J39" i="16" s="1"/>
  <c r="I39" i="16" a="1"/>
  <c r="I39" i="16" s="1"/>
  <c r="H39" i="16" a="1"/>
  <c r="H39" i="16" s="1"/>
  <c r="AC27" i="16" a="1"/>
  <c r="AC27" i="16" s="1"/>
  <c r="AB27" i="16" a="1"/>
  <c r="AB27" i="16" s="1"/>
  <c r="AA27" i="16" a="1"/>
  <c r="AA27" i="16" s="1"/>
  <c r="Z27" i="16" a="1"/>
  <c r="Z27" i="16" s="1"/>
  <c r="Y27" i="16" a="1"/>
  <c r="Y27" i="16" s="1"/>
  <c r="X27" i="16" a="1"/>
  <c r="X27" i="16" s="1"/>
  <c r="W27" i="16" a="1"/>
  <c r="W27" i="16" s="1"/>
  <c r="V27" i="16" a="1"/>
  <c r="V27" i="16" s="1"/>
  <c r="U27" i="16" a="1"/>
  <c r="U27" i="16" s="1"/>
  <c r="T27" i="16" a="1"/>
  <c r="T27" i="16" s="1"/>
  <c r="S27" i="16" a="1"/>
  <c r="S27" i="16" s="1"/>
  <c r="R27" i="16" a="1"/>
  <c r="R27" i="16" s="1"/>
  <c r="Q27" i="16" a="1"/>
  <c r="Q27" i="16" s="1"/>
  <c r="P27" i="16" a="1"/>
  <c r="P27" i="16" s="1"/>
  <c r="O27" i="16" a="1"/>
  <c r="O27" i="16" s="1"/>
  <c r="N27" i="16" a="1"/>
  <c r="N27" i="16" s="1"/>
  <c r="M27" i="16" a="1"/>
  <c r="M27" i="16" s="1"/>
  <c r="L27" i="16" a="1"/>
  <c r="L27" i="16" s="1"/>
  <c r="K27" i="16" a="1"/>
  <c r="K27" i="16" s="1"/>
  <c r="AC26" i="16" a="1"/>
  <c r="AC26" i="16" s="1"/>
  <c r="AB26" i="16" a="1"/>
  <c r="AB26" i="16" s="1"/>
  <c r="AA26" i="16" a="1"/>
  <c r="AA26" i="16" s="1"/>
  <c r="Z26" i="16" a="1"/>
  <c r="Z26" i="16" s="1"/>
  <c r="Y26" i="16" a="1"/>
  <c r="Y26" i="16" s="1"/>
  <c r="X26" i="16" a="1"/>
  <c r="X26" i="16" s="1"/>
  <c r="W26" i="16" a="1"/>
  <c r="W26" i="16" s="1"/>
  <c r="V26" i="16" a="1"/>
  <c r="V26" i="16" s="1"/>
  <c r="U26" i="16" a="1"/>
  <c r="U26" i="16" s="1"/>
  <c r="T26" i="16" a="1"/>
  <c r="T26" i="16" s="1"/>
  <c r="S26" i="16" a="1"/>
  <c r="S26" i="16" s="1"/>
  <c r="R26" i="16" a="1"/>
  <c r="R26" i="16" s="1"/>
  <c r="Q26" i="16" a="1"/>
  <c r="Q26" i="16" s="1"/>
  <c r="P26" i="16" a="1"/>
  <c r="P26" i="16" s="1"/>
  <c r="O26" i="16" a="1"/>
  <c r="O26" i="16" s="1"/>
  <c r="N26" i="16" a="1"/>
  <c r="N26" i="16" s="1"/>
  <c r="M26" i="16" a="1"/>
  <c r="M26" i="16" s="1"/>
  <c r="L26" i="16" a="1"/>
  <c r="L26" i="16" s="1"/>
  <c r="K26" i="16" a="1"/>
  <c r="K26" i="16" s="1"/>
  <c r="AC25" i="16" a="1"/>
  <c r="AC25" i="16" s="1"/>
  <c r="AB25" i="16" a="1"/>
  <c r="AB25" i="16" s="1"/>
  <c r="AA25" i="16" a="1"/>
  <c r="AA25" i="16" s="1"/>
  <c r="Z25" i="16" a="1"/>
  <c r="Z25" i="16" s="1"/>
  <c r="Y25" i="16" a="1"/>
  <c r="Y25" i="16" s="1"/>
  <c r="X25" i="16" a="1"/>
  <c r="X25" i="16" s="1"/>
  <c r="W25" i="16" a="1"/>
  <c r="W25" i="16" s="1"/>
  <c r="V25" i="16" a="1"/>
  <c r="V25" i="16" s="1"/>
  <c r="U25" i="16" a="1"/>
  <c r="U25" i="16" s="1"/>
  <c r="T25" i="16" a="1"/>
  <c r="T25" i="16" s="1"/>
  <c r="S25" i="16" a="1"/>
  <c r="S25" i="16" s="1"/>
  <c r="R25" i="16" a="1"/>
  <c r="R25" i="16" s="1"/>
  <c r="Q25" i="16" a="1"/>
  <c r="Q25" i="16" s="1"/>
  <c r="P25" i="16" a="1"/>
  <c r="P25" i="16" s="1"/>
  <c r="O25" i="16" a="1"/>
  <c r="O25" i="16" s="1"/>
  <c r="N25" i="16" a="1"/>
  <c r="N25" i="16" s="1"/>
  <c r="M25" i="16" a="1"/>
  <c r="M25" i="16" s="1"/>
  <c r="L25" i="16" a="1"/>
  <c r="L25" i="16" s="1"/>
  <c r="K25" i="16" a="1"/>
  <c r="K25" i="16" s="1"/>
  <c r="AC24" i="16" a="1"/>
  <c r="AC24" i="16" s="1"/>
  <c r="AB24" i="16" a="1"/>
  <c r="AB24" i="16" s="1"/>
  <c r="AA24" i="16" a="1"/>
  <c r="AA24" i="16" s="1"/>
  <c r="Z24" i="16" a="1"/>
  <c r="Z24" i="16" s="1"/>
  <c r="Y24" i="16" a="1"/>
  <c r="Y24" i="16" s="1"/>
  <c r="X24" i="16" a="1"/>
  <c r="X24" i="16" s="1"/>
  <c r="W24" i="16" a="1"/>
  <c r="W24" i="16" s="1"/>
  <c r="V24" i="16" a="1"/>
  <c r="V24" i="16" s="1"/>
  <c r="U24" i="16" a="1"/>
  <c r="U24" i="16" s="1"/>
  <c r="T24" i="16" a="1"/>
  <c r="T24" i="16" s="1"/>
  <c r="S24" i="16" a="1"/>
  <c r="S24" i="16" s="1"/>
  <c r="R24" i="16" a="1"/>
  <c r="R24" i="16" s="1"/>
  <c r="Q24" i="16" a="1"/>
  <c r="Q24" i="16" s="1"/>
  <c r="P24" i="16" a="1"/>
  <c r="P24" i="16" s="1"/>
  <c r="O24" i="16" a="1"/>
  <c r="O24" i="16" s="1"/>
  <c r="N24" i="16" a="1"/>
  <c r="N24" i="16" s="1"/>
  <c r="M24" i="16" a="1"/>
  <c r="M24" i="16" s="1"/>
  <c r="L24" i="16" a="1"/>
  <c r="L24" i="16" s="1"/>
  <c r="K24" i="16" a="1"/>
  <c r="K24" i="16" s="1"/>
  <c r="AC23" i="16" a="1"/>
  <c r="AC23" i="16" s="1"/>
  <c r="AB23" i="16" a="1"/>
  <c r="AB23" i="16" s="1"/>
  <c r="AA23" i="16" a="1"/>
  <c r="AA23" i="16" s="1"/>
  <c r="Z23" i="16" a="1"/>
  <c r="Z23" i="16" s="1"/>
  <c r="Y23" i="16" a="1"/>
  <c r="Y23" i="16" s="1"/>
  <c r="X23" i="16" a="1"/>
  <c r="X23" i="16" s="1"/>
  <c r="W23" i="16" a="1"/>
  <c r="W23" i="16" s="1"/>
  <c r="V23" i="16" a="1"/>
  <c r="V23" i="16" s="1"/>
  <c r="U23" i="16" a="1"/>
  <c r="U23" i="16" s="1"/>
  <c r="T23" i="16" a="1"/>
  <c r="T23" i="16" s="1"/>
  <c r="S23" i="16" a="1"/>
  <c r="S23" i="16" s="1"/>
  <c r="R23" i="16" a="1"/>
  <c r="R23" i="16" s="1"/>
  <c r="Q23" i="16" a="1"/>
  <c r="Q23" i="16" s="1"/>
  <c r="P23" i="16" a="1"/>
  <c r="P23" i="16" s="1"/>
  <c r="O23" i="16" a="1"/>
  <c r="O23" i="16" s="1"/>
  <c r="N23" i="16" a="1"/>
  <c r="N23" i="16" s="1"/>
  <c r="M23" i="16" a="1"/>
  <c r="M23" i="16" s="1"/>
  <c r="L23" i="16" a="1"/>
  <c r="L23" i="16" s="1"/>
  <c r="K23" i="16" a="1"/>
  <c r="K23" i="16" s="1"/>
  <c r="AC22" i="16" a="1"/>
  <c r="AC22" i="16" s="1"/>
  <c r="AB22" i="16" a="1"/>
  <c r="AB22" i="16" s="1"/>
  <c r="AA22" i="16" a="1"/>
  <c r="AA22" i="16" s="1"/>
  <c r="Z22" i="16" a="1"/>
  <c r="Z22" i="16" s="1"/>
  <c r="Y22" i="16" a="1"/>
  <c r="Y22" i="16" s="1"/>
  <c r="X22" i="16" a="1"/>
  <c r="X22" i="16" s="1"/>
  <c r="W22" i="16" a="1"/>
  <c r="W22" i="16" s="1"/>
  <c r="V22" i="16" a="1"/>
  <c r="V22" i="16" s="1"/>
  <c r="U22" i="16" a="1"/>
  <c r="U22" i="16" s="1"/>
  <c r="T22" i="16" a="1"/>
  <c r="T22" i="16" s="1"/>
  <c r="S22" i="16" a="1"/>
  <c r="S22" i="16" s="1"/>
  <c r="R22" i="16" a="1"/>
  <c r="R22" i="16" s="1"/>
  <c r="Q22" i="16" a="1"/>
  <c r="Q22" i="16" s="1"/>
  <c r="P22" i="16" a="1"/>
  <c r="P22" i="16" s="1"/>
  <c r="O22" i="16" a="1"/>
  <c r="O22" i="16" s="1"/>
  <c r="N22" i="16" a="1"/>
  <c r="N22" i="16" s="1"/>
  <c r="M22" i="16" a="1"/>
  <c r="M22" i="16" s="1"/>
  <c r="L22" i="16" a="1"/>
  <c r="L22" i="16" s="1"/>
  <c r="K22" i="16" a="1"/>
  <c r="K22" i="16" s="1"/>
  <c r="AC21" i="16" a="1"/>
  <c r="AC21" i="16" s="1"/>
  <c r="AB21" i="16" a="1"/>
  <c r="AB21" i="16" s="1"/>
  <c r="AA21" i="16" a="1"/>
  <c r="AA21" i="16" s="1"/>
  <c r="Z21" i="16" a="1"/>
  <c r="Z21" i="16" s="1"/>
  <c r="Y21" i="16" a="1"/>
  <c r="Y21" i="16" s="1"/>
  <c r="X21" i="16" a="1"/>
  <c r="X21" i="16" s="1"/>
  <c r="W21" i="16" a="1"/>
  <c r="W21" i="16" s="1"/>
  <c r="V21" i="16" a="1"/>
  <c r="V21" i="16" s="1"/>
  <c r="U21" i="16" a="1"/>
  <c r="U21" i="16" s="1"/>
  <c r="T21" i="16" a="1"/>
  <c r="T21" i="16" s="1"/>
  <c r="S21" i="16" a="1"/>
  <c r="S21" i="16" s="1"/>
  <c r="R21" i="16" a="1"/>
  <c r="R21" i="16" s="1"/>
  <c r="Q21" i="16" a="1"/>
  <c r="Q21" i="16" s="1"/>
  <c r="P21" i="16" a="1"/>
  <c r="P21" i="16" s="1"/>
  <c r="O21" i="16" a="1"/>
  <c r="O21" i="16" s="1"/>
  <c r="N21" i="16" a="1"/>
  <c r="N21" i="16" s="1"/>
  <c r="M21" i="16" a="1"/>
  <c r="M21" i="16" s="1"/>
  <c r="L21" i="16" a="1"/>
  <c r="L21" i="16" s="1"/>
  <c r="K21" i="16" a="1"/>
  <c r="K21" i="16" s="1"/>
  <c r="AC20" i="16" a="1"/>
  <c r="AC20" i="16" s="1"/>
  <c r="AB20" i="16" a="1"/>
  <c r="AB20" i="16" s="1"/>
  <c r="AA20" i="16" a="1"/>
  <c r="AA20" i="16" s="1"/>
  <c r="Z20" i="16" a="1"/>
  <c r="Z20" i="16" s="1"/>
  <c r="Y20" i="16" a="1"/>
  <c r="Y20" i="16" s="1"/>
  <c r="X20" i="16" a="1"/>
  <c r="X20" i="16" s="1"/>
  <c r="W20" i="16" a="1"/>
  <c r="W20" i="16" s="1"/>
  <c r="V20" i="16" a="1"/>
  <c r="V20" i="16" s="1"/>
  <c r="U20" i="16" a="1"/>
  <c r="U20" i="16" s="1"/>
  <c r="T20" i="16" a="1"/>
  <c r="T20" i="16" s="1"/>
  <c r="S20" i="16" a="1"/>
  <c r="S20" i="16" s="1"/>
  <c r="R20" i="16" a="1"/>
  <c r="R20" i="16" s="1"/>
  <c r="Q20" i="16" a="1"/>
  <c r="Q20" i="16" s="1"/>
  <c r="P20" i="16" a="1"/>
  <c r="P20" i="16" s="1"/>
  <c r="O20" i="16" a="1"/>
  <c r="O20" i="16" s="1"/>
  <c r="N20" i="16" a="1"/>
  <c r="N20" i="16" s="1"/>
  <c r="M20" i="16" a="1"/>
  <c r="M20" i="16" s="1"/>
  <c r="L20" i="16" a="1"/>
  <c r="L20" i="16" s="1"/>
  <c r="K20" i="16" a="1"/>
  <c r="K20" i="16" s="1"/>
  <c r="AC19" i="16" a="1"/>
  <c r="AC19" i="16" s="1"/>
  <c r="AB19" i="16" a="1"/>
  <c r="AB19" i="16" s="1"/>
  <c r="AA19" i="16" a="1"/>
  <c r="AA19" i="16" s="1"/>
  <c r="Z19" i="16" a="1"/>
  <c r="Z19" i="16" s="1"/>
  <c r="Y19" i="16" a="1"/>
  <c r="Y19" i="16" s="1"/>
  <c r="X19" i="16" a="1"/>
  <c r="X19" i="16" s="1"/>
  <c r="W19" i="16" a="1"/>
  <c r="W19" i="16" s="1"/>
  <c r="V19" i="16" a="1"/>
  <c r="V19" i="16" s="1"/>
  <c r="U19" i="16" a="1"/>
  <c r="U19" i="16" s="1"/>
  <c r="T19" i="16" a="1"/>
  <c r="T19" i="16" s="1"/>
  <c r="S19" i="16" a="1"/>
  <c r="S19" i="16" s="1"/>
  <c r="R19" i="16" a="1"/>
  <c r="R19" i="16" s="1"/>
  <c r="Q19" i="16" a="1"/>
  <c r="Q19" i="16" s="1"/>
  <c r="P19" i="16" a="1"/>
  <c r="P19" i="16" s="1"/>
  <c r="O19" i="16" a="1"/>
  <c r="O19" i="16" s="1"/>
  <c r="N19" i="16" a="1"/>
  <c r="N19" i="16" s="1"/>
  <c r="M19" i="16" a="1"/>
  <c r="M19" i="16" s="1"/>
  <c r="L19" i="16" a="1"/>
  <c r="L19" i="16" s="1"/>
  <c r="K19" i="16" a="1"/>
  <c r="K19" i="16" s="1"/>
  <c r="G19" i="16" s="1"/>
  <c r="AC18" i="16" a="1"/>
  <c r="AC18" i="16" s="1"/>
  <c r="AB18" i="16" a="1"/>
  <c r="AB18" i="16" s="1"/>
  <c r="AA18" i="16" a="1"/>
  <c r="AA18" i="16" s="1"/>
  <c r="Z18" i="16" a="1"/>
  <c r="Z18" i="16" s="1"/>
  <c r="Y18" i="16" a="1"/>
  <c r="Y18" i="16" s="1"/>
  <c r="X18" i="16" a="1"/>
  <c r="X18" i="16" s="1"/>
  <c r="W18" i="16" a="1"/>
  <c r="W18" i="16" s="1"/>
  <c r="V18" i="16" a="1"/>
  <c r="V18" i="16" s="1"/>
  <c r="U18" i="16" a="1"/>
  <c r="U18" i="16" s="1"/>
  <c r="T18" i="16" a="1"/>
  <c r="T18" i="16" s="1"/>
  <c r="S18" i="16" a="1"/>
  <c r="S18" i="16" s="1"/>
  <c r="R18" i="16" a="1"/>
  <c r="R18" i="16" s="1"/>
  <c r="Q18" i="16" a="1"/>
  <c r="Q18" i="16" s="1"/>
  <c r="P18" i="16" a="1"/>
  <c r="P18" i="16" s="1"/>
  <c r="O18" i="16" a="1"/>
  <c r="O18" i="16" s="1"/>
  <c r="N18" i="16" a="1"/>
  <c r="N18" i="16" s="1"/>
  <c r="M18" i="16" a="1"/>
  <c r="M18" i="16" s="1"/>
  <c r="L18" i="16" a="1"/>
  <c r="L18" i="16" s="1"/>
  <c r="K18" i="16" a="1"/>
  <c r="K18" i="16" s="1"/>
  <c r="AC17" i="16" a="1"/>
  <c r="AC17" i="16" s="1"/>
  <c r="AB17" i="16" a="1"/>
  <c r="AB17" i="16" s="1"/>
  <c r="AA17" i="16" a="1"/>
  <c r="AA17" i="16" s="1"/>
  <c r="Z17" i="16" a="1"/>
  <c r="Z17" i="16" s="1"/>
  <c r="Y17" i="16" a="1"/>
  <c r="Y17" i="16" s="1"/>
  <c r="X17" i="16" a="1"/>
  <c r="X17" i="16" s="1"/>
  <c r="W17" i="16" a="1"/>
  <c r="W17" i="16" s="1"/>
  <c r="V17" i="16" a="1"/>
  <c r="V17" i="16" s="1"/>
  <c r="U17" i="16" a="1"/>
  <c r="U17" i="16" s="1"/>
  <c r="T17" i="16" a="1"/>
  <c r="T17" i="16" s="1"/>
  <c r="S17" i="16" a="1"/>
  <c r="S17" i="16" s="1"/>
  <c r="R17" i="16" a="1"/>
  <c r="R17" i="16" s="1"/>
  <c r="Q17" i="16" a="1"/>
  <c r="Q17" i="16" s="1"/>
  <c r="P17" i="16" a="1"/>
  <c r="P17" i="16" s="1"/>
  <c r="O17" i="16" a="1"/>
  <c r="O17" i="16" s="1"/>
  <c r="N17" i="16" a="1"/>
  <c r="N17" i="16" s="1"/>
  <c r="M17" i="16" a="1"/>
  <c r="M17" i="16" s="1"/>
  <c r="L17" i="16" a="1"/>
  <c r="L17" i="16" s="1"/>
  <c r="K17" i="16" a="1"/>
  <c r="K17" i="16" s="1"/>
  <c r="AC16" i="16" a="1"/>
  <c r="AC16" i="16" s="1"/>
  <c r="AB16" i="16" a="1"/>
  <c r="AB16" i="16" s="1"/>
  <c r="AA16" i="16" a="1"/>
  <c r="AA16" i="16" s="1"/>
  <c r="Z16" i="16" a="1"/>
  <c r="Z16" i="16" s="1"/>
  <c r="Y16" i="16" a="1"/>
  <c r="Y16" i="16" s="1"/>
  <c r="X16" i="16" a="1"/>
  <c r="X16" i="16" s="1"/>
  <c r="W16" i="16" a="1"/>
  <c r="W16" i="16" s="1"/>
  <c r="V16" i="16" a="1"/>
  <c r="V16" i="16" s="1"/>
  <c r="U16" i="16" a="1"/>
  <c r="U16" i="16" s="1"/>
  <c r="T16" i="16" a="1"/>
  <c r="T16" i="16" s="1"/>
  <c r="S16" i="16" a="1"/>
  <c r="S16" i="16" s="1"/>
  <c r="R16" i="16" a="1"/>
  <c r="R16" i="16" s="1"/>
  <c r="Q16" i="16" a="1"/>
  <c r="Q16" i="16" s="1"/>
  <c r="P16" i="16" a="1"/>
  <c r="P16" i="16" s="1"/>
  <c r="O16" i="16" a="1"/>
  <c r="O16" i="16" s="1"/>
  <c r="N16" i="16" a="1"/>
  <c r="N16" i="16" s="1"/>
  <c r="M16" i="16" a="1"/>
  <c r="M16" i="16" s="1"/>
  <c r="L16" i="16" a="1"/>
  <c r="L16" i="16" s="1"/>
  <c r="K16" i="16" a="1"/>
  <c r="K16" i="16" s="1"/>
  <c r="AC15" i="16" a="1"/>
  <c r="AC15" i="16" s="1"/>
  <c r="AB15" i="16" a="1"/>
  <c r="AB15" i="16" s="1"/>
  <c r="AA15" i="16" a="1"/>
  <c r="AA15" i="16" s="1"/>
  <c r="Z15" i="16" a="1"/>
  <c r="Z15" i="16" s="1"/>
  <c r="Y15" i="16" a="1"/>
  <c r="Y15" i="16" s="1"/>
  <c r="X15" i="16" a="1"/>
  <c r="X15" i="16" s="1"/>
  <c r="W15" i="16" a="1"/>
  <c r="W15" i="16" s="1"/>
  <c r="V15" i="16" a="1"/>
  <c r="V15" i="16" s="1"/>
  <c r="U15" i="16" a="1"/>
  <c r="U15" i="16" s="1"/>
  <c r="T15" i="16" a="1"/>
  <c r="T15" i="16" s="1"/>
  <c r="S15" i="16" a="1"/>
  <c r="S15" i="16" s="1"/>
  <c r="R15" i="16" a="1"/>
  <c r="R15" i="16" s="1"/>
  <c r="Q15" i="16" a="1"/>
  <c r="Q15" i="16" s="1"/>
  <c r="P15" i="16" a="1"/>
  <c r="P15" i="16" s="1"/>
  <c r="O15" i="16" a="1"/>
  <c r="O15" i="16" s="1"/>
  <c r="N15" i="16" a="1"/>
  <c r="N15" i="16" s="1"/>
  <c r="M15" i="16" a="1"/>
  <c r="M15" i="16" s="1"/>
  <c r="L15" i="16" a="1"/>
  <c r="L15" i="16" s="1"/>
  <c r="K15" i="16" a="1"/>
  <c r="K15" i="16" s="1"/>
  <c r="AC14" i="16" a="1"/>
  <c r="AC14" i="16" s="1"/>
  <c r="AB14" i="16" a="1"/>
  <c r="AB14" i="16" s="1"/>
  <c r="AA14" i="16" a="1"/>
  <c r="AA14" i="16" s="1"/>
  <c r="Z14" i="16" a="1"/>
  <c r="Z14" i="16" s="1"/>
  <c r="Y14" i="16" a="1"/>
  <c r="Y14" i="16" s="1"/>
  <c r="X14" i="16" a="1"/>
  <c r="X14" i="16" s="1"/>
  <c r="W14" i="16" a="1"/>
  <c r="W14" i="16" s="1"/>
  <c r="V14" i="16" a="1"/>
  <c r="V14" i="16" s="1"/>
  <c r="U14" i="16" a="1"/>
  <c r="U14" i="16" s="1"/>
  <c r="T14" i="16" a="1"/>
  <c r="T14" i="16" s="1"/>
  <c r="S14" i="16" a="1"/>
  <c r="S14" i="16" s="1"/>
  <c r="R14" i="16" a="1"/>
  <c r="R14" i="16" s="1"/>
  <c r="Q14" i="16" a="1"/>
  <c r="Q14" i="16" s="1"/>
  <c r="P14" i="16" a="1"/>
  <c r="P14" i="16" s="1"/>
  <c r="O14" i="16" a="1"/>
  <c r="O14" i="16" s="1"/>
  <c r="N14" i="16" a="1"/>
  <c r="N14" i="16" s="1"/>
  <c r="M14" i="16" a="1"/>
  <c r="M14" i="16" s="1"/>
  <c r="L14" i="16" a="1"/>
  <c r="L14" i="16" s="1"/>
  <c r="K14" i="16" a="1"/>
  <c r="K14" i="16" s="1"/>
  <c r="AC13" i="16" a="1"/>
  <c r="AC13" i="16" s="1"/>
  <c r="AB13" i="16" a="1"/>
  <c r="AB13" i="16" s="1"/>
  <c r="AA13" i="16" a="1"/>
  <c r="AA13" i="16" s="1"/>
  <c r="Z13" i="16" a="1"/>
  <c r="Z13" i="16" s="1"/>
  <c r="Y13" i="16" a="1"/>
  <c r="Y13" i="16" s="1"/>
  <c r="X13" i="16" a="1"/>
  <c r="X13" i="16" s="1"/>
  <c r="W13" i="16" a="1"/>
  <c r="W13" i="16" s="1"/>
  <c r="V13" i="16" a="1"/>
  <c r="V13" i="16" s="1"/>
  <c r="U13" i="16" a="1"/>
  <c r="U13" i="16" s="1"/>
  <c r="T13" i="16" a="1"/>
  <c r="T13" i="16" s="1"/>
  <c r="S13" i="16" a="1"/>
  <c r="S13" i="16" s="1"/>
  <c r="R13" i="16" a="1"/>
  <c r="R13" i="16" s="1"/>
  <c r="Q13" i="16" a="1"/>
  <c r="Q13" i="16" s="1"/>
  <c r="P13" i="16" a="1"/>
  <c r="P13" i="16" s="1"/>
  <c r="O13" i="16" a="1"/>
  <c r="O13" i="16" s="1"/>
  <c r="N13" i="16" a="1"/>
  <c r="N13" i="16" s="1"/>
  <c r="M13" i="16" a="1"/>
  <c r="M13" i="16" s="1"/>
  <c r="L13" i="16" a="1"/>
  <c r="L13" i="16" s="1"/>
  <c r="K13" i="16" a="1"/>
  <c r="K13" i="16" s="1"/>
  <c r="AC12" i="16" a="1"/>
  <c r="AC12" i="16" s="1"/>
  <c r="AB12" i="16" a="1"/>
  <c r="AB12" i="16" s="1"/>
  <c r="AA12" i="16" a="1"/>
  <c r="AA12" i="16" s="1"/>
  <c r="Z12" i="16" a="1"/>
  <c r="Z12" i="16" s="1"/>
  <c r="Y12" i="16" a="1"/>
  <c r="Y12" i="16" s="1"/>
  <c r="X12" i="16" a="1"/>
  <c r="X12" i="16" s="1"/>
  <c r="W12" i="16" a="1"/>
  <c r="W12" i="16" s="1"/>
  <c r="V12" i="16" a="1"/>
  <c r="V12" i="16" s="1"/>
  <c r="U12" i="16" a="1"/>
  <c r="U12" i="16" s="1"/>
  <c r="T12" i="16" a="1"/>
  <c r="T12" i="16" s="1"/>
  <c r="S12" i="16" a="1"/>
  <c r="S12" i="16" s="1"/>
  <c r="R12" i="16" a="1"/>
  <c r="R12" i="16" s="1"/>
  <c r="Q12" i="16" a="1"/>
  <c r="Q12" i="16" s="1"/>
  <c r="P12" i="16" a="1"/>
  <c r="P12" i="16" s="1"/>
  <c r="O12" i="16" a="1"/>
  <c r="O12" i="16" s="1"/>
  <c r="N12" i="16" a="1"/>
  <c r="N12" i="16" s="1"/>
  <c r="M12" i="16" a="1"/>
  <c r="M12" i="16" s="1"/>
  <c r="L12" i="16" a="1"/>
  <c r="L12" i="16" s="1"/>
  <c r="K12" i="16" a="1"/>
  <c r="K12" i="16" s="1"/>
  <c r="AC11" i="16" a="1"/>
  <c r="AC11" i="16" s="1"/>
  <c r="AB11" i="16" a="1"/>
  <c r="AB11" i="16" s="1"/>
  <c r="AA11" i="16" a="1"/>
  <c r="AA11" i="16" s="1"/>
  <c r="Z11" i="16" a="1"/>
  <c r="Z11" i="16" s="1"/>
  <c r="Y11" i="16" a="1"/>
  <c r="Y11" i="16" s="1"/>
  <c r="X11" i="16" a="1"/>
  <c r="X11" i="16" s="1"/>
  <c r="W11" i="16" a="1"/>
  <c r="W11" i="16" s="1"/>
  <c r="V11" i="16" a="1"/>
  <c r="V11" i="16" s="1"/>
  <c r="U11" i="16" a="1"/>
  <c r="U11" i="16" s="1"/>
  <c r="T11" i="16" a="1"/>
  <c r="T11" i="16" s="1"/>
  <c r="S11" i="16" a="1"/>
  <c r="S11" i="16" s="1"/>
  <c r="R11" i="16" a="1"/>
  <c r="R11" i="16" s="1"/>
  <c r="Q11" i="16" a="1"/>
  <c r="Q11" i="16" s="1"/>
  <c r="P11" i="16" a="1"/>
  <c r="P11" i="16" s="1"/>
  <c r="O11" i="16" a="1"/>
  <c r="O11" i="16" s="1"/>
  <c r="N11" i="16" a="1"/>
  <c r="N11" i="16" s="1"/>
  <c r="M11" i="16" a="1"/>
  <c r="M11" i="16" s="1"/>
  <c r="L11" i="16" a="1"/>
  <c r="L11" i="16" s="1"/>
  <c r="K11" i="16" a="1"/>
  <c r="K11" i="16" s="1"/>
  <c r="AC10" i="16" a="1"/>
  <c r="AC10" i="16" s="1"/>
  <c r="AB10" i="16" a="1"/>
  <c r="AB10" i="16" s="1"/>
  <c r="AA10" i="16" a="1"/>
  <c r="AA10" i="16" s="1"/>
  <c r="Z10" i="16" a="1"/>
  <c r="Z10" i="16" s="1"/>
  <c r="Y10" i="16" a="1"/>
  <c r="Y10" i="16" s="1"/>
  <c r="X10" i="16" a="1"/>
  <c r="X10" i="16" s="1"/>
  <c r="W10" i="16" a="1"/>
  <c r="W10" i="16" s="1"/>
  <c r="V10" i="16" a="1"/>
  <c r="V10" i="16" s="1"/>
  <c r="U10" i="16" a="1"/>
  <c r="U10" i="16" s="1"/>
  <c r="T10" i="16" a="1"/>
  <c r="T10" i="16" s="1"/>
  <c r="S10" i="16" a="1"/>
  <c r="S10" i="16" s="1"/>
  <c r="R10" i="16" a="1"/>
  <c r="R10" i="16" s="1"/>
  <c r="Q10" i="16" a="1"/>
  <c r="Q10" i="16" s="1"/>
  <c r="P10" i="16" a="1"/>
  <c r="P10" i="16" s="1"/>
  <c r="O10" i="16" a="1"/>
  <c r="O10" i="16" s="1"/>
  <c r="N10" i="16" a="1"/>
  <c r="N10" i="16" s="1"/>
  <c r="M10" i="16" a="1"/>
  <c r="M10" i="16" s="1"/>
  <c r="L10" i="16" a="1"/>
  <c r="L10" i="16" s="1"/>
  <c r="K10" i="16" a="1"/>
  <c r="K10" i="16" s="1"/>
  <c r="AC9" i="16" a="1"/>
  <c r="AC9" i="16" s="1"/>
  <c r="AB9" i="16" a="1"/>
  <c r="AB9" i="16" s="1"/>
  <c r="AA9" i="16" a="1"/>
  <c r="AA9" i="16" s="1"/>
  <c r="Z9" i="16" a="1"/>
  <c r="Z9" i="16" s="1"/>
  <c r="Y9" i="16" a="1"/>
  <c r="Y9" i="16" s="1"/>
  <c r="X9" i="16" a="1"/>
  <c r="X9" i="16" s="1"/>
  <c r="W9" i="16" a="1"/>
  <c r="W9" i="16" s="1"/>
  <c r="V9" i="16" a="1"/>
  <c r="V9" i="16" s="1"/>
  <c r="U9" i="16" a="1"/>
  <c r="U9" i="16" s="1"/>
  <c r="T9" i="16" a="1"/>
  <c r="T9" i="16" s="1"/>
  <c r="S9" i="16" a="1"/>
  <c r="S9" i="16" s="1"/>
  <c r="R9" i="16" a="1"/>
  <c r="R9" i="16" s="1"/>
  <c r="Q9" i="16" a="1"/>
  <c r="Q9" i="16" s="1"/>
  <c r="P9" i="16" a="1"/>
  <c r="P9" i="16" s="1"/>
  <c r="O9" i="16" a="1"/>
  <c r="O9" i="16" s="1"/>
  <c r="N9" i="16" a="1"/>
  <c r="N9" i="16" s="1"/>
  <c r="M9" i="16" a="1"/>
  <c r="M9" i="16" s="1"/>
  <c r="L9" i="16" a="1"/>
  <c r="L9" i="16" s="1"/>
  <c r="K9" i="16" a="1"/>
  <c r="K9" i="16" s="1"/>
  <c r="AC8" i="16" a="1"/>
  <c r="AC8" i="16" s="1"/>
  <c r="AB8" i="16" a="1"/>
  <c r="AB8" i="16" s="1"/>
  <c r="AA8" i="16" a="1"/>
  <c r="AA8" i="16" s="1"/>
  <c r="Z8" i="16" a="1"/>
  <c r="Z8" i="16" s="1"/>
  <c r="Y8" i="16" a="1"/>
  <c r="Y8" i="16" s="1"/>
  <c r="X8" i="16" a="1"/>
  <c r="X8" i="16" s="1"/>
  <c r="W8" i="16" a="1"/>
  <c r="W8" i="16" s="1"/>
  <c r="V8" i="16" a="1"/>
  <c r="V8" i="16" s="1"/>
  <c r="U8" i="16" a="1"/>
  <c r="U8" i="16" s="1"/>
  <c r="T8" i="16" a="1"/>
  <c r="T8" i="16" s="1"/>
  <c r="S8" i="16" a="1"/>
  <c r="S8" i="16" s="1"/>
  <c r="R8" i="16" a="1"/>
  <c r="R8" i="16" s="1"/>
  <c r="Q8" i="16" a="1"/>
  <c r="Q8" i="16" s="1"/>
  <c r="P8" i="16" a="1"/>
  <c r="P8" i="16" s="1"/>
  <c r="O8" i="16" a="1"/>
  <c r="O8" i="16" s="1"/>
  <c r="N8" i="16" a="1"/>
  <c r="N8" i="16" s="1"/>
  <c r="M8" i="16" a="1"/>
  <c r="M8" i="16" s="1"/>
  <c r="L8" i="16" a="1"/>
  <c r="L8" i="16" s="1"/>
  <c r="K8" i="16" a="1"/>
  <c r="K8" i="16" s="1"/>
  <c r="AC7" i="16" a="1"/>
  <c r="AC7" i="16" s="1"/>
  <c r="AB7" i="16" a="1"/>
  <c r="AB7" i="16" s="1"/>
  <c r="AA7" i="16" a="1"/>
  <c r="AA7" i="16" s="1"/>
  <c r="Z7" i="16" a="1"/>
  <c r="Z7" i="16" s="1"/>
  <c r="Y7" i="16" a="1"/>
  <c r="Y7" i="16" s="1"/>
  <c r="X7" i="16" a="1"/>
  <c r="X7" i="16" s="1"/>
  <c r="W7" i="16" a="1"/>
  <c r="W7" i="16" s="1"/>
  <c r="V7" i="16" a="1"/>
  <c r="V7" i="16" s="1"/>
  <c r="U7" i="16" a="1"/>
  <c r="U7" i="16" s="1"/>
  <c r="T7" i="16" a="1"/>
  <c r="T7" i="16" s="1"/>
  <c r="S7" i="16" a="1"/>
  <c r="S7" i="16" s="1"/>
  <c r="R7" i="16" a="1"/>
  <c r="R7" i="16" s="1"/>
  <c r="Q7" i="16" a="1"/>
  <c r="Q7" i="16" s="1"/>
  <c r="P7" i="16" a="1"/>
  <c r="P7" i="16" s="1"/>
  <c r="O7" i="16" a="1"/>
  <c r="O7" i="16" s="1"/>
  <c r="N7" i="16" a="1"/>
  <c r="N7" i="16" s="1"/>
  <c r="M7" i="16" a="1"/>
  <c r="M7" i="16" s="1"/>
  <c r="L7" i="16" a="1"/>
  <c r="L7" i="16" s="1"/>
  <c r="K7" i="16" a="1"/>
  <c r="K7" i="16" s="1"/>
  <c r="AC6" i="16" a="1"/>
  <c r="AC6" i="16" s="1"/>
  <c r="AB6" i="16" a="1"/>
  <c r="AB6" i="16" s="1"/>
  <c r="AA6" i="16" a="1"/>
  <c r="AA6" i="16" s="1"/>
  <c r="Z6" i="16" a="1"/>
  <c r="Z6" i="16" s="1"/>
  <c r="Y6" i="16" a="1"/>
  <c r="Y6" i="16" s="1"/>
  <c r="X6" i="16" a="1"/>
  <c r="X6" i="16" s="1"/>
  <c r="W6" i="16" a="1"/>
  <c r="W6" i="16" s="1"/>
  <c r="V6" i="16" a="1"/>
  <c r="V6" i="16" s="1"/>
  <c r="U6" i="16" a="1"/>
  <c r="U6" i="16" s="1"/>
  <c r="T6" i="16" a="1"/>
  <c r="T6" i="16" s="1"/>
  <c r="S6" i="16" a="1"/>
  <c r="S6" i="16" s="1"/>
  <c r="R6" i="16" a="1"/>
  <c r="R6" i="16" s="1"/>
  <c r="Q6" i="16" a="1"/>
  <c r="Q6" i="16" s="1"/>
  <c r="P6" i="16" a="1"/>
  <c r="P6" i="16" s="1"/>
  <c r="O6" i="16" a="1"/>
  <c r="O6" i="16" s="1"/>
  <c r="N6" i="16" a="1"/>
  <c r="N6" i="16" s="1"/>
  <c r="M6" i="16" a="1"/>
  <c r="M6" i="16" s="1"/>
  <c r="L6" i="16" a="1"/>
  <c r="L6" i="16" s="1"/>
  <c r="K6" i="16" a="1"/>
  <c r="K6" i="16" s="1"/>
  <c r="AC5" i="16" a="1"/>
  <c r="AC5" i="16" s="1"/>
  <c r="AB5" i="16" a="1"/>
  <c r="AB5" i="16" s="1"/>
  <c r="AA5" i="16" a="1"/>
  <c r="AA5" i="16" s="1"/>
  <c r="Z5" i="16" a="1"/>
  <c r="Z5" i="16" s="1"/>
  <c r="Y5" i="16" a="1"/>
  <c r="Y5" i="16" s="1"/>
  <c r="X5" i="16" a="1"/>
  <c r="X5" i="16" s="1"/>
  <c r="W5" i="16" a="1"/>
  <c r="W5" i="16" s="1"/>
  <c r="V5" i="16" a="1"/>
  <c r="V5" i="16" s="1"/>
  <c r="U5" i="16" a="1"/>
  <c r="U5" i="16" s="1"/>
  <c r="T5" i="16" a="1"/>
  <c r="T5" i="16" s="1"/>
  <c r="S5" i="16" a="1"/>
  <c r="S5" i="16" s="1"/>
  <c r="R5" i="16" a="1"/>
  <c r="R5" i="16" s="1"/>
  <c r="Q5" i="16" a="1"/>
  <c r="Q5" i="16" s="1"/>
  <c r="P5" i="16" a="1"/>
  <c r="P5" i="16" s="1"/>
  <c r="O5" i="16" a="1"/>
  <c r="O5" i="16" s="1"/>
  <c r="N5" i="16" a="1"/>
  <c r="N5" i="16" s="1"/>
  <c r="M5" i="16" a="1"/>
  <c r="M5" i="16" s="1"/>
  <c r="L5" i="16" a="1"/>
  <c r="L5" i="16" s="1"/>
  <c r="K5" i="16" a="1"/>
  <c r="K5" i="16" s="1"/>
  <c r="AC4" i="16" a="1"/>
  <c r="AC4" i="16" s="1"/>
  <c r="AB4" i="16" a="1"/>
  <c r="AB4" i="16" s="1"/>
  <c r="AA4" i="16" a="1"/>
  <c r="AA4" i="16" s="1"/>
  <c r="Z4" i="16" a="1"/>
  <c r="Z4" i="16" s="1"/>
  <c r="Y4" i="16" a="1"/>
  <c r="Y4" i="16" s="1"/>
  <c r="X4" i="16" a="1"/>
  <c r="X4" i="16" s="1"/>
  <c r="W4" i="16" a="1"/>
  <c r="W4" i="16" s="1"/>
  <c r="V4" i="16" a="1"/>
  <c r="V4" i="16" s="1"/>
  <c r="U4" i="16" a="1"/>
  <c r="U4" i="16" s="1"/>
  <c r="T4" i="16" a="1"/>
  <c r="T4" i="16" s="1"/>
  <c r="S4" i="16" a="1"/>
  <c r="S4" i="16" s="1"/>
  <c r="R4" i="16" a="1"/>
  <c r="R4" i="16" s="1"/>
  <c r="Q4" i="16" a="1"/>
  <c r="Q4" i="16" s="1"/>
  <c r="P4" i="16" a="1"/>
  <c r="P4" i="16" s="1"/>
  <c r="O4" i="16" a="1"/>
  <c r="O4" i="16" s="1"/>
  <c r="N4" i="16" a="1"/>
  <c r="N4" i="16" s="1"/>
  <c r="M4" i="16" a="1"/>
  <c r="M4" i="16" s="1"/>
  <c r="L4" i="16" a="1"/>
  <c r="L4" i="16" s="1"/>
  <c r="K4" i="16" a="1"/>
  <c r="K4" i="16" s="1"/>
  <c r="AC3" i="16" a="1"/>
  <c r="AC3" i="16" s="1"/>
  <c r="AB3" i="16" a="1"/>
  <c r="AB3" i="16" s="1"/>
  <c r="AA3" i="16" a="1"/>
  <c r="AA3" i="16" s="1"/>
  <c r="Z3" i="16" a="1"/>
  <c r="Z3" i="16" s="1"/>
  <c r="Y3" i="16" a="1"/>
  <c r="Y3" i="16" s="1"/>
  <c r="X3" i="16" a="1"/>
  <c r="X3" i="16" s="1"/>
  <c r="W3" i="16" a="1"/>
  <c r="W3" i="16" s="1"/>
  <c r="V3" i="16" a="1"/>
  <c r="V3" i="16" s="1"/>
  <c r="U3" i="16" a="1"/>
  <c r="U3" i="16" s="1"/>
  <c r="T3" i="16" a="1"/>
  <c r="T3" i="16" s="1"/>
  <c r="S3" i="16" a="1"/>
  <c r="S3" i="16" s="1"/>
  <c r="R3" i="16" a="1"/>
  <c r="R3" i="16" s="1"/>
  <c r="Q3" i="16" a="1"/>
  <c r="Q3" i="16" s="1"/>
  <c r="P3" i="16" a="1"/>
  <c r="P3" i="16" s="1"/>
  <c r="O3" i="16" a="1"/>
  <c r="O3" i="16" s="1"/>
  <c r="N3" i="16" a="1"/>
  <c r="N3" i="16" s="1"/>
  <c r="M3" i="16" a="1"/>
  <c r="M3" i="16" s="1"/>
  <c r="L3" i="16" a="1"/>
  <c r="L3" i="16" s="1"/>
  <c r="K3" i="16" a="1"/>
  <c r="K3" i="16" s="1"/>
  <c r="AC2" i="16" a="1"/>
  <c r="AC2" i="16" s="1"/>
  <c r="AB2" i="16" a="1"/>
  <c r="AB2" i="16" s="1"/>
  <c r="AA2" i="16" a="1"/>
  <c r="AA2" i="16" s="1"/>
  <c r="Z2" i="16" a="1"/>
  <c r="Z2" i="16" s="1"/>
  <c r="Y2" i="16" a="1"/>
  <c r="Y2" i="16" s="1"/>
  <c r="X2" i="16" a="1"/>
  <c r="X2" i="16" s="1"/>
  <c r="W2" i="16" a="1"/>
  <c r="W2" i="16" s="1"/>
  <c r="V2" i="16" a="1"/>
  <c r="V2" i="16" s="1"/>
  <c r="U2" i="16" a="1"/>
  <c r="U2" i="16" s="1"/>
  <c r="T2" i="16" a="1"/>
  <c r="T2" i="16" s="1"/>
  <c r="S2" i="16" a="1"/>
  <c r="S2" i="16" s="1"/>
  <c r="R2" i="16" a="1"/>
  <c r="R2" i="16" s="1"/>
  <c r="Q2" i="16" a="1"/>
  <c r="Q2" i="16" s="1"/>
  <c r="P2" i="16" a="1"/>
  <c r="P2" i="16" s="1"/>
  <c r="O2" i="16" a="1"/>
  <c r="O2" i="16" s="1"/>
  <c r="N2" i="16" a="1"/>
  <c r="N2" i="16" s="1"/>
  <c r="M2" i="16" a="1"/>
  <c r="M2" i="16" s="1"/>
  <c r="L2" i="16" a="1"/>
  <c r="L2" i="16" s="1"/>
  <c r="K2" i="16" a="1"/>
  <c r="K2" i="16" s="1"/>
  <c r="E22" i="1" a="1"/>
  <c r="E22" i="1" s="1"/>
  <c r="F22" i="1" a="1"/>
  <c r="F22" i="1" s="1"/>
  <c r="G22" i="1" a="1"/>
  <c r="G22" i="1" s="1"/>
  <c r="H22" i="1" a="1"/>
  <c r="H22" i="1" s="1"/>
  <c r="I22" i="1" a="1"/>
  <c r="I22" i="1" s="1"/>
  <c r="J22" i="1" a="1"/>
  <c r="J22" i="1" s="1"/>
  <c r="K22" i="1" a="1"/>
  <c r="K22" i="1" s="1"/>
  <c r="L22" i="1" a="1"/>
  <c r="L22" i="1" s="1"/>
  <c r="M22" i="1" a="1"/>
  <c r="M22" i="1" s="1"/>
  <c r="N22" i="1" a="1"/>
  <c r="N22" i="1" s="1"/>
  <c r="O22" i="1" a="1"/>
  <c r="O22" i="1" s="1"/>
  <c r="P22" i="1" a="1"/>
  <c r="P22" i="1" s="1"/>
  <c r="Q22" i="1" a="1"/>
  <c r="Q22" i="1" s="1"/>
  <c r="R22" i="1" a="1"/>
  <c r="R22" i="1" s="1"/>
  <c r="S22" i="1" a="1"/>
  <c r="S22" i="1" s="1"/>
  <c r="T22" i="1" a="1"/>
  <c r="T22" i="1" s="1"/>
  <c r="U22" i="1" a="1"/>
  <c r="U22" i="1" s="1"/>
  <c r="V22" i="1" a="1"/>
  <c r="V22" i="1" s="1"/>
  <c r="W22" i="1" a="1"/>
  <c r="W22" i="1" s="1"/>
  <c r="X34" i="6"/>
  <c r="K424" i="12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G47" i="10"/>
  <c r="H47" i="10"/>
  <c r="S13" i="1" a="1"/>
  <c r="S13" i="1" s="1"/>
  <c r="S38" i="6"/>
  <c r="K344" i="12"/>
  <c r="R23" i="6"/>
  <c r="G33" i="10"/>
  <c r="O12" i="6"/>
  <c r="P12" i="6"/>
  <c r="Q12" i="6"/>
  <c r="T12" i="6"/>
  <c r="U12" i="6"/>
  <c r="V12" i="6"/>
  <c r="W12" i="6"/>
  <c r="Y12" i="6"/>
  <c r="Z12" i="6"/>
  <c r="O32" i="6"/>
  <c r="P32" i="6"/>
  <c r="Q32" i="6"/>
  <c r="T32" i="6"/>
  <c r="U32" i="6"/>
  <c r="V32" i="6"/>
  <c r="W32" i="6"/>
  <c r="Y32" i="6"/>
  <c r="Z32" i="6"/>
  <c r="D32" i="6"/>
  <c r="E32" i="6"/>
  <c r="F32" i="6"/>
  <c r="G32" i="6"/>
  <c r="H32" i="6"/>
  <c r="I32" i="6"/>
  <c r="J32" i="6"/>
  <c r="K32" i="6"/>
  <c r="L32" i="6"/>
  <c r="M32" i="6"/>
  <c r="N32" i="6"/>
  <c r="D12" i="6"/>
  <c r="E12" i="6"/>
  <c r="F12" i="6"/>
  <c r="G12" i="6"/>
  <c r="H12" i="6"/>
  <c r="I12" i="6"/>
  <c r="J12" i="6"/>
  <c r="K12" i="6"/>
  <c r="L12" i="6"/>
  <c r="M12" i="6"/>
  <c r="N12" i="6"/>
  <c r="G43" i="10"/>
  <c r="H43" i="10"/>
  <c r="G37" i="10"/>
  <c r="G36" i="10"/>
  <c r="G35" i="10"/>
  <c r="G39" i="10"/>
  <c r="G49" i="10"/>
  <c r="G53" i="10"/>
  <c r="G38" i="10"/>
  <c r="G48" i="10"/>
  <c r="G34" i="10"/>
  <c r="G51" i="10"/>
  <c r="G42" i="10"/>
  <c r="G41" i="10"/>
  <c r="G45" i="10"/>
  <c r="G40" i="10"/>
  <c r="G52" i="10"/>
  <c r="G50" i="10"/>
  <c r="G54" i="10"/>
  <c r="G46" i="10"/>
  <c r="G44" i="10"/>
  <c r="Q5" i="15"/>
  <c r="R5" i="15"/>
  <c r="S5" i="15"/>
  <c r="T5" i="15"/>
  <c r="U5" i="15"/>
  <c r="V5" i="15"/>
  <c r="W5" i="15"/>
  <c r="Q6" i="15"/>
  <c r="R6" i="15"/>
  <c r="S6" i="15"/>
  <c r="T6" i="15"/>
  <c r="U6" i="15"/>
  <c r="V6" i="15"/>
  <c r="W6" i="15"/>
  <c r="Q7" i="15"/>
  <c r="R7" i="15"/>
  <c r="S7" i="15"/>
  <c r="T7" i="15"/>
  <c r="U7" i="15"/>
  <c r="V7" i="15"/>
  <c r="W7" i="15"/>
  <c r="Q8" i="15"/>
  <c r="R8" i="15"/>
  <c r="S8" i="15"/>
  <c r="T8" i="15"/>
  <c r="U8" i="15"/>
  <c r="V8" i="15"/>
  <c r="W8" i="15"/>
  <c r="Q9" i="15"/>
  <c r="R9" i="15"/>
  <c r="S9" i="15"/>
  <c r="T9" i="15"/>
  <c r="U9" i="15"/>
  <c r="V9" i="15"/>
  <c r="W9" i="15"/>
  <c r="Q10" i="15"/>
  <c r="R10" i="15"/>
  <c r="S10" i="15"/>
  <c r="T10" i="15"/>
  <c r="U10" i="15"/>
  <c r="V10" i="15"/>
  <c r="W10" i="15"/>
  <c r="Q11" i="15"/>
  <c r="R11" i="15"/>
  <c r="S11" i="15"/>
  <c r="T11" i="15"/>
  <c r="U11" i="15"/>
  <c r="V11" i="15"/>
  <c r="W11" i="15"/>
  <c r="Q12" i="15"/>
  <c r="R12" i="15"/>
  <c r="S12" i="15"/>
  <c r="T12" i="15"/>
  <c r="U12" i="15"/>
  <c r="V12" i="15"/>
  <c r="W12" i="15"/>
  <c r="Q13" i="15"/>
  <c r="R13" i="15"/>
  <c r="S13" i="15"/>
  <c r="T13" i="15"/>
  <c r="U13" i="15"/>
  <c r="V13" i="15"/>
  <c r="W13" i="15"/>
  <c r="Q14" i="15"/>
  <c r="R14" i="15"/>
  <c r="S14" i="15"/>
  <c r="T14" i="15"/>
  <c r="U14" i="15"/>
  <c r="V14" i="15"/>
  <c r="W14" i="15"/>
  <c r="Q15" i="15"/>
  <c r="R15" i="15"/>
  <c r="S15" i="15"/>
  <c r="T15" i="15"/>
  <c r="U15" i="15"/>
  <c r="V15" i="15"/>
  <c r="W15" i="15"/>
  <c r="Q16" i="15"/>
  <c r="R16" i="15"/>
  <c r="S16" i="15"/>
  <c r="T16" i="15"/>
  <c r="U16" i="15"/>
  <c r="V16" i="15"/>
  <c r="W16" i="15"/>
  <c r="Q17" i="15"/>
  <c r="R17" i="15"/>
  <c r="S17" i="15"/>
  <c r="T17" i="15"/>
  <c r="U17" i="15"/>
  <c r="V17" i="15"/>
  <c r="W17" i="15"/>
  <c r="Q18" i="15"/>
  <c r="R18" i="15"/>
  <c r="S18" i="15"/>
  <c r="T18" i="15"/>
  <c r="U18" i="15"/>
  <c r="V18" i="15"/>
  <c r="W18" i="15"/>
  <c r="Q19" i="15"/>
  <c r="R19" i="15"/>
  <c r="S19" i="15"/>
  <c r="T19" i="15"/>
  <c r="U19" i="15"/>
  <c r="V19" i="15"/>
  <c r="W19" i="15"/>
  <c r="Q20" i="15"/>
  <c r="R20" i="15"/>
  <c r="S20" i="15"/>
  <c r="T20" i="15"/>
  <c r="U20" i="15"/>
  <c r="V20" i="15"/>
  <c r="W20" i="15"/>
  <c r="Q21" i="15"/>
  <c r="R21" i="15"/>
  <c r="S21" i="15"/>
  <c r="T21" i="15"/>
  <c r="U21" i="15"/>
  <c r="V21" i="15"/>
  <c r="W21" i="15"/>
  <c r="Q22" i="15"/>
  <c r="R22" i="15"/>
  <c r="S22" i="15"/>
  <c r="T22" i="15"/>
  <c r="U22" i="15"/>
  <c r="V22" i="15"/>
  <c r="W22" i="15"/>
  <c r="Q23" i="15"/>
  <c r="R23" i="15"/>
  <c r="S23" i="15"/>
  <c r="T23" i="15"/>
  <c r="U23" i="15"/>
  <c r="V23" i="15"/>
  <c r="W23" i="15"/>
  <c r="Q24" i="15"/>
  <c r="R24" i="15"/>
  <c r="S24" i="15"/>
  <c r="T24" i="15"/>
  <c r="U24" i="15"/>
  <c r="V24" i="15"/>
  <c r="W24" i="15"/>
  <c r="Q25" i="15"/>
  <c r="R25" i="15"/>
  <c r="S25" i="15"/>
  <c r="T25" i="15"/>
  <c r="U25" i="15"/>
  <c r="V25" i="15"/>
  <c r="W25" i="15"/>
  <c r="Q26" i="15"/>
  <c r="R26" i="15"/>
  <c r="S26" i="15"/>
  <c r="T26" i="15"/>
  <c r="U26" i="15"/>
  <c r="V26" i="15"/>
  <c r="W26" i="15"/>
  <c r="Q27" i="15"/>
  <c r="R27" i="15"/>
  <c r="S27" i="15"/>
  <c r="T27" i="15"/>
  <c r="U27" i="15"/>
  <c r="V27" i="15"/>
  <c r="W27" i="15"/>
  <c r="Q28" i="15"/>
  <c r="R28" i="15"/>
  <c r="S28" i="15"/>
  <c r="T28" i="15"/>
  <c r="U28" i="15"/>
  <c r="V28" i="15"/>
  <c r="W28" i="15"/>
  <c r="Q29" i="15"/>
  <c r="R29" i="15"/>
  <c r="S29" i="15"/>
  <c r="T29" i="15"/>
  <c r="U29" i="15"/>
  <c r="V29" i="15"/>
  <c r="W29" i="15"/>
  <c r="Q4" i="15"/>
  <c r="R4" i="15"/>
  <c r="S4" i="15"/>
  <c r="T4" i="15"/>
  <c r="U4" i="15"/>
  <c r="V4" i="15"/>
  <c r="W4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4" i="15"/>
  <c r="K4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J4" i="15"/>
  <c r="L4" i="15"/>
  <c r="J13" i="1" a="1"/>
  <c r="J13" i="1" s="1"/>
  <c r="L16" i="6"/>
  <c r="L9" i="6"/>
  <c r="L10" i="6"/>
  <c r="E26" i="1" a="1"/>
  <c r="E26" i="1" s="1"/>
  <c r="F26" i="1" a="1"/>
  <c r="F26" i="1" s="1"/>
  <c r="N26" i="1" a="1"/>
  <c r="N26" i="1" s="1"/>
  <c r="O26" i="1" a="1"/>
  <c r="O26" i="1" s="1"/>
  <c r="P26" i="1" a="1"/>
  <c r="P26" i="1" s="1"/>
  <c r="Q26" i="1" a="1"/>
  <c r="Q26" i="1" s="1"/>
  <c r="S26" i="1" a="1"/>
  <c r="S26" i="1" s="1"/>
  <c r="T26" i="1" a="1"/>
  <c r="T26" i="1" s="1"/>
  <c r="U26" i="1" a="1"/>
  <c r="U26" i="1" s="1"/>
  <c r="V26" i="1" a="1"/>
  <c r="V26" i="1" s="1"/>
  <c r="W26" i="1" a="1"/>
  <c r="W26" i="1" s="1"/>
  <c r="G4" i="5"/>
  <c r="F13" i="1" a="1"/>
  <c r="F13" i="1" s="1"/>
  <c r="G5" i="5"/>
  <c r="K5" i="5" s="1"/>
  <c r="G3" i="5"/>
  <c r="J3" i="5" s="1"/>
  <c r="G6" i="5"/>
  <c r="J6" i="5" s="1"/>
  <c r="G7" i="5"/>
  <c r="J7" i="5" s="1"/>
  <c r="G8" i="5"/>
  <c r="J8" i="5" s="1"/>
  <c r="G9" i="5"/>
  <c r="J9" i="5" s="1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W13" i="1" a="1"/>
  <c r="W13" i="1" s="1"/>
  <c r="W5" i="1" a="1"/>
  <c r="W5" i="1" s="1"/>
  <c r="W4" i="1" a="1"/>
  <c r="W4" i="1" s="1"/>
  <c r="W16" i="1" a="1"/>
  <c r="W16" i="1" s="1"/>
  <c r="W9" i="1" a="1"/>
  <c r="W9" i="1" s="1"/>
  <c r="W2" i="1" a="1"/>
  <c r="W2" i="1" s="1"/>
  <c r="W12" i="1" a="1"/>
  <c r="W12" i="1" s="1"/>
  <c r="W8" i="1" a="1"/>
  <c r="W8" i="1" s="1"/>
  <c r="W17" i="1" a="1"/>
  <c r="W17" i="1" s="1"/>
  <c r="W7" i="1" a="1"/>
  <c r="W7" i="1" s="1"/>
  <c r="W20" i="1" a="1"/>
  <c r="W20" i="1" s="1"/>
  <c r="W18" i="1" a="1"/>
  <c r="W18" i="1" s="1"/>
  <c r="W6" i="1" a="1"/>
  <c r="W6" i="1" s="1"/>
  <c r="W15" i="1" a="1"/>
  <c r="W15" i="1" s="1"/>
  <c r="W14" i="1" a="1"/>
  <c r="W14" i="1" s="1"/>
  <c r="W21" i="1" a="1"/>
  <c r="W21" i="1" s="1"/>
  <c r="W3" i="1" a="1"/>
  <c r="W3" i="1" s="1"/>
  <c r="W23" i="1" a="1"/>
  <c r="W23" i="1" s="1"/>
  <c r="W27" i="1" a="1"/>
  <c r="W27" i="1" s="1"/>
  <c r="W11" i="1" a="1"/>
  <c r="W11" i="1" s="1"/>
  <c r="W24" i="1" a="1"/>
  <c r="W24" i="1" s="1"/>
  <c r="W10" i="1" a="1"/>
  <c r="W10" i="1" s="1"/>
  <c r="W19" i="1" a="1"/>
  <c r="W19" i="1" s="1"/>
  <c r="W25" i="1" a="1"/>
  <c r="W25" i="1" s="1"/>
  <c r="V13" i="1" a="1"/>
  <c r="V13" i="1" s="1"/>
  <c r="V5" i="1" a="1"/>
  <c r="V5" i="1" s="1"/>
  <c r="V4" i="1" a="1"/>
  <c r="V4" i="1" s="1"/>
  <c r="V16" i="1" a="1"/>
  <c r="V16" i="1" s="1"/>
  <c r="V9" i="1" a="1"/>
  <c r="V9" i="1" s="1"/>
  <c r="V2" i="1" a="1"/>
  <c r="V2" i="1" s="1"/>
  <c r="V12" i="1" a="1"/>
  <c r="V12" i="1" s="1"/>
  <c r="V8" i="1" a="1"/>
  <c r="V8" i="1" s="1"/>
  <c r="V17" i="1" a="1"/>
  <c r="V17" i="1" s="1"/>
  <c r="V7" i="1" a="1"/>
  <c r="V7" i="1" s="1"/>
  <c r="V20" i="1" a="1"/>
  <c r="V20" i="1" s="1"/>
  <c r="V18" i="1" a="1"/>
  <c r="V18" i="1" s="1"/>
  <c r="V6" i="1" a="1"/>
  <c r="V6" i="1" s="1"/>
  <c r="V15" i="1" a="1"/>
  <c r="V15" i="1" s="1"/>
  <c r="V14" i="1" a="1"/>
  <c r="V14" i="1" s="1"/>
  <c r="V21" i="1" a="1"/>
  <c r="V21" i="1" s="1"/>
  <c r="V3" i="1" a="1"/>
  <c r="V3" i="1" s="1"/>
  <c r="V23" i="1" a="1"/>
  <c r="V23" i="1" s="1"/>
  <c r="V27" i="1" a="1"/>
  <c r="V27" i="1" s="1"/>
  <c r="V11" i="1" a="1"/>
  <c r="V11" i="1" s="1"/>
  <c r="V24" i="1" a="1"/>
  <c r="V24" i="1" s="1"/>
  <c r="V10" i="1" a="1"/>
  <c r="V10" i="1" s="1"/>
  <c r="V19" i="1" a="1"/>
  <c r="V19" i="1" s="1"/>
  <c r="V25" i="1" a="1"/>
  <c r="V25" i="1" s="1"/>
  <c r="U13" i="1" a="1"/>
  <c r="U13" i="1" s="1"/>
  <c r="U5" i="1" a="1"/>
  <c r="U5" i="1" s="1"/>
  <c r="U4" i="1" a="1"/>
  <c r="U4" i="1" s="1"/>
  <c r="U16" i="1" a="1"/>
  <c r="U16" i="1" s="1"/>
  <c r="U9" i="1" a="1"/>
  <c r="U9" i="1" s="1"/>
  <c r="U2" i="1" a="1"/>
  <c r="U2" i="1" s="1"/>
  <c r="U12" i="1" a="1"/>
  <c r="U12" i="1" s="1"/>
  <c r="U8" i="1" a="1"/>
  <c r="U8" i="1" s="1"/>
  <c r="U17" i="1" a="1"/>
  <c r="U17" i="1" s="1"/>
  <c r="U7" i="1" a="1"/>
  <c r="U7" i="1" s="1"/>
  <c r="U20" i="1" a="1"/>
  <c r="U20" i="1" s="1"/>
  <c r="U18" i="1" a="1"/>
  <c r="U18" i="1" s="1"/>
  <c r="U6" i="1" a="1"/>
  <c r="U6" i="1" s="1"/>
  <c r="U15" i="1" a="1"/>
  <c r="U15" i="1" s="1"/>
  <c r="U14" i="1" a="1"/>
  <c r="U14" i="1" s="1"/>
  <c r="U21" i="1" a="1"/>
  <c r="U21" i="1" s="1"/>
  <c r="U3" i="1" a="1"/>
  <c r="U3" i="1" s="1"/>
  <c r="U23" i="1" a="1"/>
  <c r="U23" i="1" s="1"/>
  <c r="U27" i="1" a="1"/>
  <c r="U27" i="1" s="1"/>
  <c r="U11" i="1" a="1"/>
  <c r="U11" i="1" s="1"/>
  <c r="U24" i="1" a="1"/>
  <c r="U24" i="1" s="1"/>
  <c r="U10" i="1" a="1"/>
  <c r="U10" i="1" s="1"/>
  <c r="U19" i="1" a="1"/>
  <c r="U19" i="1" s="1"/>
  <c r="U25" i="1" a="1"/>
  <c r="U25" i="1" s="1"/>
  <c r="T13" i="1" a="1"/>
  <c r="T13" i="1" s="1"/>
  <c r="T5" i="1" a="1"/>
  <c r="T5" i="1" s="1"/>
  <c r="T4" i="1" a="1"/>
  <c r="T4" i="1" s="1"/>
  <c r="T16" i="1" a="1"/>
  <c r="T16" i="1" s="1"/>
  <c r="T9" i="1" a="1"/>
  <c r="T9" i="1" s="1"/>
  <c r="T2" i="1" a="1"/>
  <c r="T2" i="1" s="1"/>
  <c r="T12" i="1" a="1"/>
  <c r="T12" i="1" s="1"/>
  <c r="T8" i="1" a="1"/>
  <c r="T8" i="1" s="1"/>
  <c r="T17" i="1" a="1"/>
  <c r="T17" i="1" s="1"/>
  <c r="T7" i="1" a="1"/>
  <c r="T7" i="1" s="1"/>
  <c r="T20" i="1" a="1"/>
  <c r="T20" i="1" s="1"/>
  <c r="T18" i="1" a="1"/>
  <c r="T18" i="1" s="1"/>
  <c r="T6" i="1" a="1"/>
  <c r="T6" i="1" s="1"/>
  <c r="T15" i="1" a="1"/>
  <c r="T15" i="1" s="1"/>
  <c r="T14" i="1" a="1"/>
  <c r="T14" i="1" s="1"/>
  <c r="T3" i="1" a="1"/>
  <c r="T3" i="1" s="1"/>
  <c r="T23" i="1" a="1"/>
  <c r="T23" i="1" s="1"/>
  <c r="T27" i="1" a="1"/>
  <c r="T27" i="1" s="1"/>
  <c r="T11" i="1" a="1"/>
  <c r="T11" i="1" s="1"/>
  <c r="T24" i="1" a="1"/>
  <c r="T24" i="1" s="1"/>
  <c r="T10" i="1" a="1"/>
  <c r="T10" i="1" s="1"/>
  <c r="T19" i="1" a="1"/>
  <c r="T19" i="1" s="1"/>
  <c r="T25" i="1" a="1"/>
  <c r="T25" i="1" s="1"/>
  <c r="S5" i="1" a="1"/>
  <c r="S5" i="1" s="1"/>
  <c r="S4" i="1" a="1"/>
  <c r="S4" i="1" s="1"/>
  <c r="S16" i="1" a="1"/>
  <c r="S16" i="1" s="1"/>
  <c r="S9" i="1" a="1"/>
  <c r="S9" i="1" s="1"/>
  <c r="S2" i="1" a="1"/>
  <c r="S2" i="1" s="1"/>
  <c r="S12" i="1" a="1"/>
  <c r="S12" i="1" s="1"/>
  <c r="S8" i="1" a="1"/>
  <c r="S8" i="1" s="1"/>
  <c r="S17" i="1" a="1"/>
  <c r="S17" i="1" s="1"/>
  <c r="S7" i="1" a="1"/>
  <c r="S7" i="1" s="1"/>
  <c r="S20" i="1" a="1"/>
  <c r="S20" i="1" s="1"/>
  <c r="S18" i="1" a="1"/>
  <c r="S18" i="1" s="1"/>
  <c r="S6" i="1" a="1"/>
  <c r="S6" i="1" s="1"/>
  <c r="S15" i="1" a="1"/>
  <c r="S15" i="1" s="1"/>
  <c r="S14" i="1" a="1"/>
  <c r="S14" i="1" s="1"/>
  <c r="S21" i="1" a="1"/>
  <c r="S21" i="1" s="1"/>
  <c r="S3" i="1" a="1"/>
  <c r="S3" i="1" s="1"/>
  <c r="S23" i="1" a="1"/>
  <c r="S23" i="1" s="1"/>
  <c r="S27" i="1" a="1"/>
  <c r="S27" i="1" s="1"/>
  <c r="S11" i="1" a="1"/>
  <c r="S11" i="1" s="1"/>
  <c r="S24" i="1" a="1"/>
  <c r="S24" i="1" s="1"/>
  <c r="S10" i="1" a="1"/>
  <c r="S10" i="1" s="1"/>
  <c r="S19" i="1" a="1"/>
  <c r="S19" i="1" s="1"/>
  <c r="S25" i="1" a="1"/>
  <c r="S25" i="1" s="1"/>
  <c r="R27" i="1" a="1"/>
  <c r="R27" i="1" s="1"/>
  <c r="Q13" i="1" a="1"/>
  <c r="Q13" i="1" s="1"/>
  <c r="Q5" i="1" a="1"/>
  <c r="Q5" i="1" s="1"/>
  <c r="Q4" i="1" a="1"/>
  <c r="Q4" i="1" s="1"/>
  <c r="Q16" i="1" a="1"/>
  <c r="Q16" i="1" s="1"/>
  <c r="Q9" i="1" a="1"/>
  <c r="Q9" i="1" s="1"/>
  <c r="Q2" i="1" a="1"/>
  <c r="Q2" i="1" s="1"/>
  <c r="Q12" i="1" a="1"/>
  <c r="Q12" i="1" s="1"/>
  <c r="Q8" i="1" a="1"/>
  <c r="Q8" i="1" s="1"/>
  <c r="Q17" i="1" a="1"/>
  <c r="Q17" i="1" s="1"/>
  <c r="Q7" i="1" a="1"/>
  <c r="Q7" i="1" s="1"/>
  <c r="Q20" i="1" a="1"/>
  <c r="Q20" i="1" s="1"/>
  <c r="Q18" i="1" a="1"/>
  <c r="Q18" i="1" s="1"/>
  <c r="Q6" i="1" a="1"/>
  <c r="Q6" i="1" s="1"/>
  <c r="Q15" i="1" a="1"/>
  <c r="Q15" i="1" s="1"/>
  <c r="Q14" i="1" a="1"/>
  <c r="Q14" i="1" s="1"/>
  <c r="Q21" i="1" a="1"/>
  <c r="Q21" i="1" s="1"/>
  <c r="Q3" i="1" a="1"/>
  <c r="Q3" i="1" s="1"/>
  <c r="Q23" i="1" a="1"/>
  <c r="Q23" i="1" s="1"/>
  <c r="Q27" i="1" a="1"/>
  <c r="Q27" i="1" s="1"/>
  <c r="Q11" i="1" a="1"/>
  <c r="Q11" i="1" s="1"/>
  <c r="Q24" i="1" a="1"/>
  <c r="Q24" i="1" s="1"/>
  <c r="Q10" i="1" a="1"/>
  <c r="Q10" i="1" s="1"/>
  <c r="Q19" i="1" a="1"/>
  <c r="Q19" i="1" s="1"/>
  <c r="Q25" i="1" a="1"/>
  <c r="Q25" i="1" s="1"/>
  <c r="P13" i="1" a="1"/>
  <c r="P13" i="1" s="1"/>
  <c r="P5" i="1" a="1"/>
  <c r="P5" i="1" s="1"/>
  <c r="P4" i="1" a="1"/>
  <c r="P4" i="1" s="1"/>
  <c r="P16" i="1" a="1"/>
  <c r="P16" i="1" s="1"/>
  <c r="P9" i="1" a="1"/>
  <c r="P9" i="1" s="1"/>
  <c r="P2" i="1" a="1"/>
  <c r="P2" i="1" s="1"/>
  <c r="P12" i="1" a="1"/>
  <c r="P12" i="1" s="1"/>
  <c r="P8" i="1" a="1"/>
  <c r="P8" i="1" s="1"/>
  <c r="P17" i="1" a="1"/>
  <c r="P17" i="1" s="1"/>
  <c r="P7" i="1" a="1"/>
  <c r="P7" i="1" s="1"/>
  <c r="P20" i="1" a="1"/>
  <c r="P20" i="1" s="1"/>
  <c r="P18" i="1" a="1"/>
  <c r="P18" i="1" s="1"/>
  <c r="P6" i="1" a="1"/>
  <c r="P6" i="1" s="1"/>
  <c r="P15" i="1" a="1"/>
  <c r="P15" i="1" s="1"/>
  <c r="P14" i="1" a="1"/>
  <c r="P14" i="1" s="1"/>
  <c r="P21" i="1" a="1"/>
  <c r="P21" i="1" s="1"/>
  <c r="P3" i="1" a="1"/>
  <c r="P3" i="1" s="1"/>
  <c r="P23" i="1" a="1"/>
  <c r="P23" i="1" s="1"/>
  <c r="P27" i="1" a="1"/>
  <c r="P27" i="1" s="1"/>
  <c r="P11" i="1" a="1"/>
  <c r="P11" i="1" s="1"/>
  <c r="P24" i="1" a="1"/>
  <c r="P24" i="1" s="1"/>
  <c r="P10" i="1" a="1"/>
  <c r="P10" i="1" s="1"/>
  <c r="P19" i="1" a="1"/>
  <c r="P19" i="1" s="1"/>
  <c r="P25" i="1" a="1"/>
  <c r="P25" i="1" s="1"/>
  <c r="O13" i="1" a="1"/>
  <c r="O13" i="1" s="1"/>
  <c r="O5" i="1" a="1"/>
  <c r="O5" i="1" s="1"/>
  <c r="O4" i="1" a="1"/>
  <c r="O4" i="1" s="1"/>
  <c r="O16" i="1" a="1"/>
  <c r="O16" i="1" s="1"/>
  <c r="O9" i="1" a="1"/>
  <c r="O9" i="1" s="1"/>
  <c r="O2" i="1" a="1"/>
  <c r="O2" i="1" s="1"/>
  <c r="O12" i="1" a="1"/>
  <c r="O12" i="1" s="1"/>
  <c r="O8" i="1" a="1"/>
  <c r="O8" i="1" s="1"/>
  <c r="O17" i="1" a="1"/>
  <c r="O17" i="1" s="1"/>
  <c r="O7" i="1" a="1"/>
  <c r="O7" i="1" s="1"/>
  <c r="O20" i="1" a="1"/>
  <c r="O20" i="1" s="1"/>
  <c r="O18" i="1" a="1"/>
  <c r="O18" i="1" s="1"/>
  <c r="O6" i="1" a="1"/>
  <c r="O6" i="1" s="1"/>
  <c r="O15" i="1" a="1"/>
  <c r="O15" i="1" s="1"/>
  <c r="O14" i="1" a="1"/>
  <c r="O14" i="1" s="1"/>
  <c r="O21" i="1" a="1"/>
  <c r="O21" i="1" s="1"/>
  <c r="O3" i="1" a="1"/>
  <c r="O3" i="1" s="1"/>
  <c r="O23" i="1" a="1"/>
  <c r="O23" i="1" s="1"/>
  <c r="O27" i="1" a="1"/>
  <c r="O27" i="1" s="1"/>
  <c r="O11" i="1" a="1"/>
  <c r="O11" i="1" s="1"/>
  <c r="O24" i="1" a="1"/>
  <c r="O24" i="1" s="1"/>
  <c r="O10" i="1" a="1"/>
  <c r="O10" i="1" s="1"/>
  <c r="O19" i="1" a="1"/>
  <c r="O19" i="1" s="1"/>
  <c r="O25" i="1" a="1"/>
  <c r="O25" i="1" s="1"/>
  <c r="N27" i="1" a="1"/>
  <c r="N27" i="1" s="1"/>
  <c r="N24" i="1" a="1"/>
  <c r="N24" i="1" s="1"/>
  <c r="N19" i="1" a="1"/>
  <c r="N19" i="1" s="1"/>
  <c r="M27" i="1" a="1"/>
  <c r="M27" i="1" s="1"/>
  <c r="J27" i="1" a="1"/>
  <c r="J27" i="1" s="1"/>
  <c r="H21" i="1" a="1"/>
  <c r="H21" i="1" s="1"/>
  <c r="F5" i="1" a="1"/>
  <c r="F5" i="1" s="1"/>
  <c r="F4" i="1" a="1"/>
  <c r="F4" i="1" s="1"/>
  <c r="F16" i="1" a="1"/>
  <c r="F16" i="1" s="1"/>
  <c r="F9" i="1" a="1"/>
  <c r="F9" i="1" s="1"/>
  <c r="F2" i="1" a="1"/>
  <c r="F2" i="1" s="1"/>
  <c r="F12" i="1" a="1"/>
  <c r="F12" i="1" s="1"/>
  <c r="F8" i="1" a="1"/>
  <c r="F8" i="1" s="1"/>
  <c r="F17" i="1" a="1"/>
  <c r="F17" i="1" s="1"/>
  <c r="F7" i="1" a="1"/>
  <c r="F7" i="1" s="1"/>
  <c r="F20" i="1" a="1"/>
  <c r="F20" i="1" s="1"/>
  <c r="F18" i="1" a="1"/>
  <c r="F18" i="1" s="1"/>
  <c r="F6" i="1" a="1"/>
  <c r="F6" i="1" s="1"/>
  <c r="F15" i="1" a="1"/>
  <c r="F15" i="1" s="1"/>
  <c r="F14" i="1" a="1"/>
  <c r="F14" i="1" s="1"/>
  <c r="F21" i="1" a="1"/>
  <c r="F21" i="1" s="1"/>
  <c r="F3" i="1" a="1"/>
  <c r="F3" i="1" s="1"/>
  <c r="F23" i="1" a="1"/>
  <c r="F23" i="1" s="1"/>
  <c r="F27" i="1" a="1"/>
  <c r="F27" i="1" s="1"/>
  <c r="F11" i="1" a="1"/>
  <c r="F11" i="1" s="1"/>
  <c r="F24" i="1" a="1"/>
  <c r="F24" i="1" s="1"/>
  <c r="F10" i="1" a="1"/>
  <c r="F10" i="1" s="1"/>
  <c r="F19" i="1" a="1"/>
  <c r="F19" i="1" s="1"/>
  <c r="F25" i="1" a="1"/>
  <c r="F25" i="1" s="1"/>
  <c r="H12" i="5"/>
  <c r="L12" i="5" s="1" a="1"/>
  <c r="L12" i="5" s="1"/>
  <c r="H48" i="10"/>
  <c r="H54" i="10"/>
  <c r="H51" i="10"/>
  <c r="H46" i="10"/>
  <c r="H52" i="10"/>
  <c r="H50" i="10"/>
  <c r="H36" i="10"/>
  <c r="H49" i="10"/>
  <c r="H42" i="10"/>
  <c r="H34" i="10"/>
  <c r="H39" i="10"/>
  <c r="H37" i="10"/>
  <c r="H40" i="10"/>
  <c r="H33" i="10"/>
  <c r="H35" i="10"/>
  <c r="H44" i="10"/>
  <c r="H38" i="10"/>
  <c r="H41" i="10"/>
  <c r="H45" i="10"/>
  <c r="H53" i="10"/>
  <c r="H4" i="5"/>
  <c r="L4" i="5" s="1" a="1"/>
  <c r="L4" i="5" s="1"/>
  <c r="H7" i="5"/>
  <c r="L7" i="5" s="1" a="1"/>
  <c r="L7" i="5" s="1"/>
  <c r="H8" i="5"/>
  <c r="L8" i="5" s="1" a="1"/>
  <c r="L8" i="5" s="1"/>
  <c r="H9" i="5"/>
  <c r="L9" i="5" s="1" a="1"/>
  <c r="L9" i="5" s="1"/>
  <c r="H10" i="5"/>
  <c r="L10" i="5" s="1" a="1"/>
  <c r="L10" i="5" s="1"/>
  <c r="H11" i="5"/>
  <c r="L11" i="5" s="1" a="1"/>
  <c r="L11" i="5" s="1"/>
  <c r="H13" i="5"/>
  <c r="L13" i="5" s="1" a="1"/>
  <c r="L13" i="5" s="1"/>
  <c r="H14" i="5"/>
  <c r="L14" i="5" s="1" a="1"/>
  <c r="L14" i="5" s="1"/>
  <c r="H15" i="5"/>
  <c r="L15" i="5" s="1" a="1"/>
  <c r="L15" i="5" s="1"/>
  <c r="H16" i="5"/>
  <c r="L16" i="5" s="1" a="1"/>
  <c r="L16" i="5" s="1"/>
  <c r="H17" i="5"/>
  <c r="L17" i="5" s="1" a="1"/>
  <c r="L17" i="5" s="1"/>
  <c r="H18" i="5"/>
  <c r="L18" i="5" s="1" a="1"/>
  <c r="L18" i="5" s="1"/>
  <c r="H19" i="5"/>
  <c r="L19" i="5" s="1" a="1"/>
  <c r="L19" i="5" s="1"/>
  <c r="H20" i="5"/>
  <c r="L20" i="5" s="1" a="1"/>
  <c r="L20" i="5" s="1"/>
  <c r="H21" i="5"/>
  <c r="L21" i="5" s="1" a="1"/>
  <c r="L21" i="5" s="1"/>
  <c r="H22" i="5"/>
  <c r="L22" i="5" s="1" a="1"/>
  <c r="L22" i="5" s="1"/>
  <c r="K3" i="5"/>
  <c r="K4" i="5"/>
  <c r="K7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J4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E30" i="6"/>
  <c r="F30" i="6"/>
  <c r="G30" i="6"/>
  <c r="H30" i="6"/>
  <c r="I30" i="6"/>
  <c r="J30" i="6"/>
  <c r="K30" i="6"/>
  <c r="M30" i="6"/>
  <c r="N30" i="6"/>
  <c r="O30" i="6"/>
  <c r="P30" i="6"/>
  <c r="Q30" i="6"/>
  <c r="T30" i="6"/>
  <c r="U30" i="6"/>
  <c r="V30" i="6"/>
  <c r="W30" i="6"/>
  <c r="Y30" i="6"/>
  <c r="Z30" i="6"/>
  <c r="E38" i="6"/>
  <c r="F38" i="6"/>
  <c r="G38" i="6"/>
  <c r="H38" i="6"/>
  <c r="I38" i="6"/>
  <c r="J38" i="6"/>
  <c r="K38" i="6"/>
  <c r="M38" i="6"/>
  <c r="N38" i="6"/>
  <c r="O38" i="6"/>
  <c r="P38" i="6"/>
  <c r="Q38" i="6"/>
  <c r="T38" i="6"/>
  <c r="U38" i="6"/>
  <c r="V38" i="6"/>
  <c r="W38" i="6"/>
  <c r="Y38" i="6"/>
  <c r="Z38" i="6"/>
  <c r="E28" i="6"/>
  <c r="F28" i="6"/>
  <c r="G28" i="6"/>
  <c r="H28" i="6"/>
  <c r="I28" i="6"/>
  <c r="J28" i="6"/>
  <c r="K28" i="6"/>
  <c r="M28" i="6"/>
  <c r="N28" i="6"/>
  <c r="O28" i="6"/>
  <c r="P28" i="6"/>
  <c r="Q28" i="6"/>
  <c r="T28" i="6"/>
  <c r="U28" i="6"/>
  <c r="V28" i="6"/>
  <c r="W28" i="6"/>
  <c r="Y28" i="6"/>
  <c r="Z28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T34" i="6"/>
  <c r="U34" i="6"/>
  <c r="V34" i="6"/>
  <c r="W34" i="6"/>
  <c r="Y34" i="6"/>
  <c r="Z34" i="6"/>
  <c r="E35" i="6"/>
  <c r="F35" i="6"/>
  <c r="G35" i="6"/>
  <c r="H35" i="6"/>
  <c r="I35" i="6"/>
  <c r="J35" i="6"/>
  <c r="K35" i="6"/>
  <c r="M35" i="6"/>
  <c r="N35" i="6"/>
  <c r="O35" i="6"/>
  <c r="P35" i="6"/>
  <c r="Q35" i="6"/>
  <c r="T35" i="6"/>
  <c r="U35" i="6"/>
  <c r="V35" i="6"/>
  <c r="W35" i="6"/>
  <c r="Y35" i="6"/>
  <c r="Z35" i="6"/>
  <c r="E33" i="6"/>
  <c r="F33" i="6"/>
  <c r="G33" i="6"/>
  <c r="H33" i="6"/>
  <c r="I33" i="6"/>
  <c r="J33" i="6"/>
  <c r="K33" i="6"/>
  <c r="M33" i="6"/>
  <c r="N33" i="6"/>
  <c r="O33" i="6"/>
  <c r="P33" i="6"/>
  <c r="Q33" i="6"/>
  <c r="T33" i="6"/>
  <c r="U33" i="6"/>
  <c r="V33" i="6"/>
  <c r="W33" i="6"/>
  <c r="Y33" i="6"/>
  <c r="Z33" i="6"/>
  <c r="E31" i="6"/>
  <c r="F31" i="6"/>
  <c r="G31" i="6"/>
  <c r="H31" i="6"/>
  <c r="I31" i="6"/>
  <c r="J31" i="6"/>
  <c r="K31" i="6"/>
  <c r="M31" i="6"/>
  <c r="N31" i="6"/>
  <c r="O31" i="6"/>
  <c r="P31" i="6"/>
  <c r="Q31" i="6"/>
  <c r="T31" i="6"/>
  <c r="U31" i="6"/>
  <c r="V31" i="6"/>
  <c r="W31" i="6"/>
  <c r="Y31" i="6"/>
  <c r="Z31" i="6"/>
  <c r="E39" i="6"/>
  <c r="F39" i="6"/>
  <c r="G39" i="6"/>
  <c r="H39" i="6"/>
  <c r="I39" i="6"/>
  <c r="J39" i="6"/>
  <c r="K39" i="6"/>
  <c r="M39" i="6"/>
  <c r="N39" i="6"/>
  <c r="O39" i="6"/>
  <c r="P39" i="6"/>
  <c r="Q39" i="6"/>
  <c r="S39" i="6"/>
  <c r="T39" i="6"/>
  <c r="U39" i="6"/>
  <c r="V39" i="6"/>
  <c r="W39" i="6"/>
  <c r="X39" i="6"/>
  <c r="Y39" i="6"/>
  <c r="Z39" i="6"/>
  <c r="E41" i="6"/>
  <c r="F41" i="6"/>
  <c r="G41" i="6"/>
  <c r="H41" i="6"/>
  <c r="I41" i="6"/>
  <c r="J41" i="6"/>
  <c r="K41" i="6"/>
  <c r="M41" i="6"/>
  <c r="N41" i="6"/>
  <c r="O41" i="6"/>
  <c r="P41" i="6"/>
  <c r="Q41" i="6"/>
  <c r="T41" i="6"/>
  <c r="U41" i="6"/>
  <c r="V41" i="6"/>
  <c r="W41" i="6"/>
  <c r="Y41" i="6"/>
  <c r="Z41" i="6"/>
  <c r="E29" i="6"/>
  <c r="F29" i="6"/>
  <c r="G29" i="6"/>
  <c r="H29" i="6"/>
  <c r="I29" i="6"/>
  <c r="J29" i="6"/>
  <c r="K29" i="6"/>
  <c r="M29" i="6"/>
  <c r="N29" i="6"/>
  <c r="O29" i="6"/>
  <c r="P29" i="6"/>
  <c r="Q29" i="6"/>
  <c r="T29" i="6"/>
  <c r="U29" i="6"/>
  <c r="V29" i="6"/>
  <c r="W29" i="6"/>
  <c r="Y29" i="6"/>
  <c r="Z29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Y42" i="6"/>
  <c r="Z42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T37" i="6"/>
  <c r="U37" i="6"/>
  <c r="V37" i="6"/>
  <c r="W37" i="6"/>
  <c r="Y37" i="6"/>
  <c r="Z37" i="6"/>
  <c r="E36" i="6"/>
  <c r="F36" i="6"/>
  <c r="G36" i="6"/>
  <c r="H36" i="6"/>
  <c r="I36" i="6"/>
  <c r="J36" i="6"/>
  <c r="K36" i="6"/>
  <c r="M36" i="6"/>
  <c r="N36" i="6"/>
  <c r="O36" i="6"/>
  <c r="P36" i="6"/>
  <c r="Q36" i="6"/>
  <c r="T36" i="6"/>
  <c r="U36" i="6"/>
  <c r="V36" i="6"/>
  <c r="W36" i="6"/>
  <c r="Y36" i="6"/>
  <c r="Z36" i="6"/>
  <c r="E26" i="6"/>
  <c r="F26" i="6"/>
  <c r="G26" i="6"/>
  <c r="H26" i="6"/>
  <c r="I26" i="6"/>
  <c r="J26" i="6"/>
  <c r="K26" i="6"/>
  <c r="M26" i="6"/>
  <c r="N26" i="6"/>
  <c r="O26" i="6"/>
  <c r="P26" i="6"/>
  <c r="Q26" i="6"/>
  <c r="T26" i="6"/>
  <c r="U26" i="6"/>
  <c r="V26" i="6"/>
  <c r="W26" i="6"/>
  <c r="Y26" i="6"/>
  <c r="Z26" i="6"/>
  <c r="E27" i="6"/>
  <c r="F27" i="6"/>
  <c r="G27" i="6"/>
  <c r="H27" i="6"/>
  <c r="I27" i="6"/>
  <c r="J27" i="6"/>
  <c r="K27" i="6"/>
  <c r="M27" i="6"/>
  <c r="N27" i="6"/>
  <c r="O27" i="6"/>
  <c r="P27" i="6"/>
  <c r="Q27" i="6"/>
  <c r="T27" i="6"/>
  <c r="U27" i="6"/>
  <c r="V27" i="6"/>
  <c r="W27" i="6"/>
  <c r="Y27" i="6"/>
  <c r="Z27" i="6"/>
  <c r="E40" i="6"/>
  <c r="F40" i="6"/>
  <c r="G40" i="6"/>
  <c r="H40" i="6"/>
  <c r="I40" i="6"/>
  <c r="J40" i="6"/>
  <c r="K40" i="6"/>
  <c r="M40" i="6"/>
  <c r="N40" i="6"/>
  <c r="O40" i="6"/>
  <c r="P40" i="6"/>
  <c r="Q40" i="6"/>
  <c r="S40" i="6"/>
  <c r="T40" i="6"/>
  <c r="U40" i="6"/>
  <c r="V40" i="6"/>
  <c r="W40" i="6"/>
  <c r="Y40" i="6"/>
  <c r="Z40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S43" i="6"/>
  <c r="T43" i="6"/>
  <c r="U43" i="6"/>
  <c r="V43" i="6"/>
  <c r="W43" i="6"/>
  <c r="X43" i="6"/>
  <c r="Y43" i="6"/>
  <c r="Z43" i="6"/>
  <c r="E45" i="6"/>
  <c r="F45" i="6"/>
  <c r="G45" i="6"/>
  <c r="H45" i="6"/>
  <c r="I45" i="6"/>
  <c r="J45" i="6"/>
  <c r="K45" i="6"/>
  <c r="M45" i="6"/>
  <c r="N45" i="6"/>
  <c r="O45" i="6"/>
  <c r="P45" i="6"/>
  <c r="Q45" i="6"/>
  <c r="T45" i="6"/>
  <c r="U45" i="6"/>
  <c r="V45" i="6"/>
  <c r="W45" i="6"/>
  <c r="X45" i="6"/>
  <c r="Y45" i="6"/>
  <c r="Z45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T46" i="6"/>
  <c r="U46" i="6"/>
  <c r="V46" i="6"/>
  <c r="W46" i="6"/>
  <c r="X46" i="6"/>
  <c r="Y46" i="6"/>
  <c r="Z46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S44" i="6"/>
  <c r="T44" i="6"/>
  <c r="U44" i="6"/>
  <c r="V44" i="6"/>
  <c r="W44" i="6"/>
  <c r="X44" i="6"/>
  <c r="Y44" i="6"/>
  <c r="Z44" i="6"/>
  <c r="D38" i="6"/>
  <c r="D28" i="6"/>
  <c r="D34" i="6"/>
  <c r="D35" i="6"/>
  <c r="D33" i="6"/>
  <c r="D31" i="6"/>
  <c r="D39" i="6"/>
  <c r="D41" i="6"/>
  <c r="D29" i="6"/>
  <c r="D42" i="6"/>
  <c r="D37" i="6"/>
  <c r="D36" i="6"/>
  <c r="D26" i="6"/>
  <c r="D27" i="6"/>
  <c r="D40" i="6"/>
  <c r="D43" i="6"/>
  <c r="D45" i="6"/>
  <c r="D46" i="6"/>
  <c r="D44" i="6"/>
  <c r="D30" i="6"/>
  <c r="H20" i="6"/>
  <c r="E10" i="6"/>
  <c r="F10" i="6"/>
  <c r="G10" i="6"/>
  <c r="H10" i="6"/>
  <c r="I10" i="6"/>
  <c r="J10" i="6"/>
  <c r="K10" i="6"/>
  <c r="M10" i="6"/>
  <c r="N10" i="6"/>
  <c r="O10" i="6"/>
  <c r="P10" i="6"/>
  <c r="Q10" i="6"/>
  <c r="T10" i="6"/>
  <c r="U10" i="6"/>
  <c r="V10" i="6"/>
  <c r="W10" i="6"/>
  <c r="Y10" i="6"/>
  <c r="Z10" i="6"/>
  <c r="E7" i="6"/>
  <c r="F7" i="6"/>
  <c r="G7" i="6"/>
  <c r="H7" i="6"/>
  <c r="I7" i="6"/>
  <c r="J7" i="6"/>
  <c r="K7" i="6"/>
  <c r="L7" i="6"/>
  <c r="M7" i="6"/>
  <c r="N7" i="6"/>
  <c r="O7" i="6"/>
  <c r="P7" i="6"/>
  <c r="Q7" i="6"/>
  <c r="T7" i="6"/>
  <c r="U7" i="6"/>
  <c r="V7" i="6"/>
  <c r="W7" i="6"/>
  <c r="Y7" i="6"/>
  <c r="Z7" i="6"/>
  <c r="E21" i="6"/>
  <c r="F21" i="6"/>
  <c r="G21" i="6"/>
  <c r="H21" i="6"/>
  <c r="I21" i="6"/>
  <c r="J21" i="6"/>
  <c r="K21" i="6"/>
  <c r="M21" i="6"/>
  <c r="N21" i="6"/>
  <c r="O21" i="6"/>
  <c r="P21" i="6"/>
  <c r="Q21" i="6"/>
  <c r="T21" i="6"/>
  <c r="U21" i="6"/>
  <c r="V21" i="6"/>
  <c r="W21" i="6"/>
  <c r="Y21" i="6"/>
  <c r="Z21" i="6"/>
  <c r="E9" i="6"/>
  <c r="F9" i="6"/>
  <c r="G9" i="6"/>
  <c r="H9" i="6"/>
  <c r="I9" i="6"/>
  <c r="J9" i="6"/>
  <c r="K9" i="6"/>
  <c r="M9" i="6"/>
  <c r="N9" i="6"/>
  <c r="O9" i="6"/>
  <c r="P9" i="6"/>
  <c r="Q9" i="6"/>
  <c r="T9" i="6"/>
  <c r="U9" i="6"/>
  <c r="V9" i="6"/>
  <c r="W9" i="6"/>
  <c r="Y9" i="6"/>
  <c r="Z9" i="6"/>
  <c r="E15" i="6"/>
  <c r="F15" i="6"/>
  <c r="G15" i="6"/>
  <c r="H15" i="6"/>
  <c r="I15" i="6"/>
  <c r="J15" i="6"/>
  <c r="K15" i="6"/>
  <c r="M15" i="6"/>
  <c r="N15" i="6"/>
  <c r="O15" i="6"/>
  <c r="P15" i="6"/>
  <c r="Q15" i="6"/>
  <c r="T15" i="6"/>
  <c r="U15" i="6"/>
  <c r="V15" i="6"/>
  <c r="W15" i="6"/>
  <c r="Y15" i="6"/>
  <c r="Z15" i="6"/>
  <c r="E11" i="6"/>
  <c r="F11" i="6"/>
  <c r="G11" i="6"/>
  <c r="H11" i="6"/>
  <c r="I11" i="6"/>
  <c r="J11" i="6"/>
  <c r="K11" i="6"/>
  <c r="M11" i="6"/>
  <c r="N11" i="6"/>
  <c r="O11" i="6"/>
  <c r="P11" i="6"/>
  <c r="Q11" i="6"/>
  <c r="T11" i="6"/>
  <c r="U11" i="6"/>
  <c r="V11" i="6"/>
  <c r="W11" i="6"/>
  <c r="Y11" i="6"/>
  <c r="Z11" i="6"/>
  <c r="E16" i="6"/>
  <c r="F16" i="6"/>
  <c r="G16" i="6"/>
  <c r="H16" i="6"/>
  <c r="I16" i="6"/>
  <c r="J16" i="6"/>
  <c r="K16" i="6"/>
  <c r="M16" i="6"/>
  <c r="N16" i="6"/>
  <c r="O16" i="6"/>
  <c r="P16" i="6"/>
  <c r="Q16" i="6"/>
  <c r="S16" i="6"/>
  <c r="T16" i="6"/>
  <c r="U16" i="6"/>
  <c r="V16" i="6"/>
  <c r="W16" i="6"/>
  <c r="X16" i="6"/>
  <c r="Y16" i="6"/>
  <c r="Z16" i="6"/>
  <c r="E22" i="6"/>
  <c r="F22" i="6"/>
  <c r="G22" i="6"/>
  <c r="H22" i="6"/>
  <c r="I22" i="6"/>
  <c r="J22" i="6"/>
  <c r="K22" i="6"/>
  <c r="M22" i="6"/>
  <c r="N22" i="6"/>
  <c r="O22" i="6"/>
  <c r="P22" i="6"/>
  <c r="Q22" i="6"/>
  <c r="S22" i="6"/>
  <c r="T22" i="6"/>
  <c r="U22" i="6"/>
  <c r="V22" i="6"/>
  <c r="W22" i="6"/>
  <c r="Y22" i="6"/>
  <c r="Z22" i="6"/>
  <c r="E23" i="6"/>
  <c r="F23" i="6"/>
  <c r="G23" i="6"/>
  <c r="H23" i="6"/>
  <c r="I23" i="6"/>
  <c r="J23" i="6"/>
  <c r="K23" i="6"/>
  <c r="M23" i="6"/>
  <c r="N23" i="6"/>
  <c r="O23" i="6"/>
  <c r="P23" i="6"/>
  <c r="Q23" i="6"/>
  <c r="T23" i="6"/>
  <c r="U23" i="6"/>
  <c r="V23" i="6"/>
  <c r="W23" i="6"/>
  <c r="X23" i="6"/>
  <c r="Y23" i="6"/>
  <c r="Z23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T17" i="6"/>
  <c r="U17" i="6"/>
  <c r="V17" i="6"/>
  <c r="W17" i="6"/>
  <c r="X17" i="6"/>
  <c r="Y17" i="6"/>
  <c r="Z17" i="6"/>
  <c r="E20" i="6"/>
  <c r="F20" i="6"/>
  <c r="G20" i="6"/>
  <c r="I20" i="6"/>
  <c r="J20" i="6"/>
  <c r="K20" i="6"/>
  <c r="M20" i="6"/>
  <c r="N20" i="6"/>
  <c r="O20" i="6"/>
  <c r="P20" i="6"/>
  <c r="Q20" i="6"/>
  <c r="T20" i="6"/>
  <c r="U20" i="6"/>
  <c r="V20" i="6"/>
  <c r="W20" i="6"/>
  <c r="X20" i="6"/>
  <c r="Y20" i="6"/>
  <c r="Z20" i="6"/>
  <c r="E3" i="6"/>
  <c r="F3" i="6"/>
  <c r="G3" i="6"/>
  <c r="H3" i="6"/>
  <c r="I3" i="6"/>
  <c r="J3" i="6"/>
  <c r="K3" i="6"/>
  <c r="M3" i="6"/>
  <c r="N3" i="6"/>
  <c r="O3" i="6"/>
  <c r="P3" i="6"/>
  <c r="Q3" i="6"/>
  <c r="T3" i="6"/>
  <c r="U3" i="6"/>
  <c r="V3" i="6"/>
  <c r="W3" i="6"/>
  <c r="Y3" i="6"/>
  <c r="Z3" i="6"/>
  <c r="E18" i="6"/>
  <c r="F18" i="6"/>
  <c r="G18" i="6"/>
  <c r="H18" i="6"/>
  <c r="I18" i="6"/>
  <c r="J18" i="6"/>
  <c r="K18" i="6"/>
  <c r="M18" i="6"/>
  <c r="N18" i="6"/>
  <c r="O18" i="6"/>
  <c r="P18" i="6"/>
  <c r="Q18" i="6"/>
  <c r="S18" i="6"/>
  <c r="T18" i="6"/>
  <c r="U18" i="6"/>
  <c r="V18" i="6"/>
  <c r="W18" i="6"/>
  <c r="Y18" i="6"/>
  <c r="Z18" i="6"/>
  <c r="E5" i="6"/>
  <c r="F5" i="6"/>
  <c r="G5" i="6"/>
  <c r="H5" i="6"/>
  <c r="I5" i="6"/>
  <c r="J5" i="6"/>
  <c r="K5" i="6"/>
  <c r="M5" i="6"/>
  <c r="N5" i="6"/>
  <c r="O5" i="6"/>
  <c r="P5" i="6"/>
  <c r="Q5" i="6"/>
  <c r="T5" i="6"/>
  <c r="U5" i="6"/>
  <c r="V5" i="6"/>
  <c r="W5" i="6"/>
  <c r="Y5" i="6"/>
  <c r="Z5" i="6"/>
  <c r="E4" i="6"/>
  <c r="F4" i="6"/>
  <c r="G4" i="6"/>
  <c r="H4" i="6"/>
  <c r="I4" i="6"/>
  <c r="J4" i="6"/>
  <c r="K4" i="6"/>
  <c r="M4" i="6"/>
  <c r="N4" i="6"/>
  <c r="O4" i="6"/>
  <c r="P4" i="6"/>
  <c r="Q4" i="6"/>
  <c r="T4" i="6"/>
  <c r="U4" i="6"/>
  <c r="V4" i="6"/>
  <c r="W4" i="6"/>
  <c r="Y4" i="6"/>
  <c r="Z4" i="6"/>
  <c r="E8" i="6"/>
  <c r="F8" i="6"/>
  <c r="G8" i="6"/>
  <c r="H8" i="6"/>
  <c r="I8" i="6"/>
  <c r="J8" i="6"/>
  <c r="K8" i="6"/>
  <c r="M8" i="6"/>
  <c r="N8" i="6"/>
  <c r="O8" i="6"/>
  <c r="P8" i="6"/>
  <c r="Q8" i="6"/>
  <c r="T8" i="6"/>
  <c r="U8" i="6"/>
  <c r="V8" i="6"/>
  <c r="W8" i="6"/>
  <c r="Y8" i="6"/>
  <c r="Z8" i="6"/>
  <c r="E19" i="6"/>
  <c r="F19" i="6"/>
  <c r="G19" i="6"/>
  <c r="H19" i="6"/>
  <c r="I19" i="6"/>
  <c r="J19" i="6"/>
  <c r="K19" i="6"/>
  <c r="M19" i="6"/>
  <c r="N19" i="6"/>
  <c r="O19" i="6"/>
  <c r="P19" i="6"/>
  <c r="Q19" i="6"/>
  <c r="T19" i="6"/>
  <c r="U19" i="6"/>
  <c r="V19" i="6"/>
  <c r="W19" i="6"/>
  <c r="Y19" i="6"/>
  <c r="Z19" i="6"/>
  <c r="E6" i="6"/>
  <c r="F6" i="6"/>
  <c r="G6" i="6"/>
  <c r="H6" i="6"/>
  <c r="I6" i="6"/>
  <c r="J6" i="6"/>
  <c r="K6" i="6"/>
  <c r="L6" i="6"/>
  <c r="M6" i="6"/>
  <c r="N6" i="6"/>
  <c r="O6" i="6"/>
  <c r="P6" i="6"/>
  <c r="Q6" i="6"/>
  <c r="T6" i="6"/>
  <c r="U6" i="6"/>
  <c r="V6" i="6"/>
  <c r="W6" i="6"/>
  <c r="Y6" i="6"/>
  <c r="Z6" i="6"/>
  <c r="E14" i="6"/>
  <c r="F14" i="6"/>
  <c r="G14" i="6"/>
  <c r="H14" i="6"/>
  <c r="I14" i="6"/>
  <c r="J14" i="6"/>
  <c r="K14" i="6"/>
  <c r="M14" i="6"/>
  <c r="N14" i="6"/>
  <c r="O14" i="6"/>
  <c r="P14" i="6"/>
  <c r="Q14" i="6"/>
  <c r="T14" i="6"/>
  <c r="U14" i="6"/>
  <c r="V14" i="6"/>
  <c r="W14" i="6"/>
  <c r="Y14" i="6"/>
  <c r="Z14" i="6"/>
  <c r="E13" i="6"/>
  <c r="F13" i="6"/>
  <c r="G13" i="6"/>
  <c r="H13" i="6"/>
  <c r="I13" i="6"/>
  <c r="J13" i="6"/>
  <c r="K13" i="6"/>
  <c r="M13" i="6"/>
  <c r="N13" i="6"/>
  <c r="O13" i="6"/>
  <c r="P13" i="6"/>
  <c r="Q13" i="6"/>
  <c r="R13" i="6"/>
  <c r="S13" i="6"/>
  <c r="T13" i="6"/>
  <c r="U13" i="6"/>
  <c r="V13" i="6"/>
  <c r="W13" i="6"/>
  <c r="Y13" i="6"/>
  <c r="Z13" i="6"/>
  <c r="D7" i="6"/>
  <c r="D21" i="6"/>
  <c r="D9" i="6"/>
  <c r="D15" i="6"/>
  <c r="D11" i="6"/>
  <c r="D16" i="6"/>
  <c r="D22" i="6"/>
  <c r="D23" i="6"/>
  <c r="D17" i="6"/>
  <c r="D20" i="6"/>
  <c r="D3" i="6"/>
  <c r="D18" i="6"/>
  <c r="D5" i="6"/>
  <c r="D4" i="6"/>
  <c r="D8" i="6"/>
  <c r="D19" i="6"/>
  <c r="D6" i="6"/>
  <c r="D14" i="6"/>
  <c r="D13" i="6"/>
  <c r="D10" i="6"/>
  <c r="C22" i="4"/>
  <c r="O90" i="16" l="1"/>
  <c r="O35" i="16"/>
  <c r="O39" i="16" a="1"/>
  <c r="O39" i="16" s="1"/>
  <c r="G18" i="16"/>
  <c r="P35" i="16"/>
  <c r="P39" i="16" a="1"/>
  <c r="P39" i="16" s="1"/>
  <c r="P90" i="16"/>
  <c r="G17" i="16"/>
  <c r="Q35" i="16"/>
  <c r="Q39" i="16" a="1"/>
  <c r="Q39" i="16" s="1"/>
  <c r="Q90" i="16"/>
  <c r="G16" i="16"/>
  <c r="G15" i="16"/>
  <c r="S35" i="16"/>
  <c r="S39" i="16" a="1"/>
  <c r="S39" i="16" s="1"/>
  <c r="S90" i="16"/>
  <c r="G14" i="16"/>
  <c r="G13" i="16"/>
  <c r="T35" i="16"/>
  <c r="T39" i="16" a="1"/>
  <c r="T39" i="16" s="1"/>
  <c r="T90" i="16"/>
  <c r="U35" i="16"/>
  <c r="U39" i="16" a="1"/>
  <c r="U39" i="16" s="1"/>
  <c r="U90" i="16"/>
  <c r="G12" i="16"/>
  <c r="N39" i="16" a="1"/>
  <c r="N39" i="16" s="1"/>
  <c r="N90" i="16"/>
  <c r="N35" i="16"/>
  <c r="W39" i="16" a="1"/>
  <c r="W39" i="16" s="1"/>
  <c r="W90" i="16"/>
  <c r="W35" i="16"/>
  <c r="G10" i="16"/>
  <c r="R35" i="16"/>
  <c r="R39" i="16" a="1"/>
  <c r="R39" i="16" s="1"/>
  <c r="R90" i="16"/>
  <c r="V35" i="16"/>
  <c r="V39" i="16" a="1"/>
  <c r="V39" i="16" s="1"/>
  <c r="V90" i="16"/>
  <c r="G11" i="16"/>
  <c r="X39" i="16" a="1"/>
  <c r="X39" i="16" s="1"/>
  <c r="X90" i="16"/>
  <c r="X35" i="16"/>
  <c r="G9" i="16"/>
  <c r="AA90" i="16"/>
  <c r="AA39" i="16" a="1"/>
  <c r="AA39" i="16" s="1"/>
  <c r="AA35" i="16"/>
  <c r="G6" i="16"/>
  <c r="G26" i="16"/>
  <c r="Y90" i="16"/>
  <c r="Y35" i="16"/>
  <c r="Y39" i="16" a="1"/>
  <c r="Y39" i="16" s="1"/>
  <c r="Z90" i="16"/>
  <c r="Z39" i="16" a="1"/>
  <c r="Z39" i="16" s="1"/>
  <c r="Z35" i="16"/>
  <c r="G7" i="16"/>
  <c r="G27" i="16"/>
  <c r="AB90" i="16"/>
  <c r="AB39" i="16" a="1"/>
  <c r="AB39" i="16" s="1"/>
  <c r="AB35" i="16"/>
  <c r="G5" i="16"/>
  <c r="G25" i="16"/>
  <c r="AC90" i="16"/>
  <c r="AC39" i="16" a="1"/>
  <c r="AC39" i="16" s="1"/>
  <c r="AC35" i="16"/>
  <c r="G4" i="16"/>
  <c r="G24" i="16"/>
  <c r="G22" i="16"/>
  <c r="G3" i="16"/>
  <c r="G23" i="16"/>
  <c r="G2" i="16"/>
  <c r="K90" i="16"/>
  <c r="K92" i="16" s="1" a="1"/>
  <c r="K92" i="16" s="1"/>
  <c r="L92" i="16" s="1" a="1"/>
  <c r="L92" i="16" s="1"/>
  <c r="M92" i="16" s="1" a="1"/>
  <c r="M92" i="16" s="1"/>
  <c r="N92" i="16" s="1" a="1"/>
  <c r="N92" i="16" s="1"/>
  <c r="O92" i="16" s="1" a="1"/>
  <c r="O92" i="16" s="1"/>
  <c r="P92" i="16" s="1" a="1"/>
  <c r="P92" i="16" s="1"/>
  <c r="Q92" i="16" s="1" a="1"/>
  <c r="Q92" i="16" s="1"/>
  <c r="R92" i="16" s="1" a="1"/>
  <c r="R92" i="16" s="1"/>
  <c r="S92" i="16" s="1" a="1"/>
  <c r="S92" i="16" s="1"/>
  <c r="T92" i="16" s="1" a="1"/>
  <c r="T92" i="16" s="1"/>
  <c r="U92" i="16" s="1" a="1"/>
  <c r="U92" i="16" s="1"/>
  <c r="V92" i="16" s="1" a="1"/>
  <c r="V92" i="16" s="1"/>
  <c r="W92" i="16" s="1" a="1"/>
  <c r="W92" i="16" s="1"/>
  <c r="X92" i="16" s="1" a="1"/>
  <c r="X92" i="16" s="1"/>
  <c r="Y92" i="16" s="1" a="1"/>
  <c r="Y92" i="16" s="1"/>
  <c r="Z92" i="16" s="1" a="1"/>
  <c r="Z92" i="16" s="1"/>
  <c r="AA92" i="16" s="1" a="1"/>
  <c r="AA92" i="16" s="1"/>
  <c r="AB92" i="16" s="1" a="1"/>
  <c r="AB92" i="16" s="1"/>
  <c r="AC92" i="16" s="1" a="1"/>
  <c r="AC92" i="16" s="1"/>
  <c r="K39" i="16" a="1"/>
  <c r="K39" i="16" s="1"/>
  <c r="K35" i="16"/>
  <c r="L39" i="16" a="1"/>
  <c r="L39" i="16" s="1"/>
  <c r="G21" i="16"/>
  <c r="G8" i="16"/>
  <c r="M90" i="16"/>
  <c r="M39" i="16" a="1"/>
  <c r="M39" i="16" s="1"/>
  <c r="M35" i="16"/>
  <c r="G20" i="16"/>
  <c r="X14" i="6"/>
  <c r="X5" i="6"/>
  <c r="X9" i="6"/>
  <c r="X37" i="6"/>
  <c r="X28" i="6"/>
  <c r="X18" i="6"/>
  <c r="X22" i="6"/>
  <c r="X21" i="6"/>
  <c r="X40" i="6"/>
  <c r="X42" i="6"/>
  <c r="X31" i="6"/>
  <c r="X38" i="6"/>
  <c r="X6" i="6"/>
  <c r="X12" i="6"/>
  <c r="X19" i="6"/>
  <c r="X7" i="6"/>
  <c r="X27" i="6"/>
  <c r="X33" i="6"/>
  <c r="X30" i="6"/>
  <c r="X3" i="6"/>
  <c r="X8" i="6"/>
  <c r="X11" i="6"/>
  <c r="X10" i="6"/>
  <c r="X26" i="6"/>
  <c r="X29" i="6"/>
  <c r="X35" i="6"/>
  <c r="X32" i="6"/>
  <c r="X13" i="6"/>
  <c r="X4" i="6"/>
  <c r="X15" i="6"/>
  <c r="X36" i="6"/>
  <c r="X41" i="6"/>
  <c r="R19" i="1" a="1"/>
  <c r="R19" i="1" s="1"/>
  <c r="R25" i="1" a="1"/>
  <c r="R25" i="1" s="1"/>
  <c r="R17" i="1" a="1"/>
  <c r="R17" i="1" s="1"/>
  <c r="R4" i="1" a="1"/>
  <c r="R4" i="1" s="1"/>
  <c r="R24" i="1" a="1"/>
  <c r="R24" i="1" s="1"/>
  <c r="R12" i="1" a="1"/>
  <c r="R12" i="1" s="1"/>
  <c r="R23" i="1" a="1"/>
  <c r="R23" i="1" s="1"/>
  <c r="R6" i="1" a="1"/>
  <c r="R6" i="1" s="1"/>
  <c r="R10" i="1" a="1"/>
  <c r="R10" i="1" s="1"/>
  <c r="R26" i="1" a="1"/>
  <c r="R26" i="1" s="1"/>
  <c r="R14" i="1" a="1"/>
  <c r="R14" i="1" s="1"/>
  <c r="R7" i="1" a="1"/>
  <c r="R7" i="1" s="1"/>
  <c r="R16" i="1" a="1"/>
  <c r="R16" i="1" s="1"/>
  <c r="R21" i="1" a="1"/>
  <c r="R21" i="1" s="1"/>
  <c r="R2" i="1" a="1"/>
  <c r="R2" i="1" s="1"/>
  <c r="R11" i="1" a="1"/>
  <c r="R11" i="1" s="1"/>
  <c r="R20" i="1" a="1"/>
  <c r="R20" i="1" s="1"/>
  <c r="R3" i="1" a="1"/>
  <c r="R3" i="1" s="1"/>
  <c r="R13" i="1" a="1"/>
  <c r="R13" i="1" s="1"/>
  <c r="R9" i="1" a="1"/>
  <c r="R9" i="1" s="1"/>
  <c r="R15" i="1" a="1"/>
  <c r="R15" i="1" s="1"/>
  <c r="R18" i="1" a="1"/>
  <c r="R18" i="1" s="1"/>
  <c r="R5" i="1" a="1"/>
  <c r="R5" i="1" s="1"/>
  <c r="R8" i="1" a="1"/>
  <c r="R8" i="1" s="1"/>
  <c r="I47" i="10"/>
  <c r="S6" i="6"/>
  <c r="S17" i="6"/>
  <c r="S5" i="6"/>
  <c r="S11" i="6"/>
  <c r="S7" i="6"/>
  <c r="S41" i="6"/>
  <c r="S35" i="6"/>
  <c r="S32" i="6"/>
  <c r="S37" i="6"/>
  <c r="S30" i="6"/>
  <c r="S46" i="6"/>
  <c r="S19" i="6"/>
  <c r="S15" i="6"/>
  <c r="S34" i="6"/>
  <c r="S10" i="6"/>
  <c r="S27" i="6"/>
  <c r="S23" i="6"/>
  <c r="S9" i="6"/>
  <c r="S45" i="6"/>
  <c r="S31" i="6"/>
  <c r="S8" i="6"/>
  <c r="S26" i="6"/>
  <c r="S28" i="6"/>
  <c r="S3" i="6"/>
  <c r="S14" i="6"/>
  <c r="S12" i="6"/>
  <c r="S4" i="6"/>
  <c r="S20" i="6"/>
  <c r="S21" i="6"/>
  <c r="S29" i="6"/>
  <c r="S33" i="6"/>
  <c r="S36" i="6"/>
  <c r="R41" i="6"/>
  <c r="R44" i="6"/>
  <c r="C44" i="6" s="1"/>
  <c r="R38" i="6"/>
  <c r="R15" i="6"/>
  <c r="R39" i="6"/>
  <c r="R5" i="6"/>
  <c r="R19" i="6"/>
  <c r="R46" i="6"/>
  <c r="R36" i="6"/>
  <c r="R16" i="6"/>
  <c r="R18" i="6"/>
  <c r="R14" i="6"/>
  <c r="R8" i="6"/>
  <c r="R3" i="6"/>
  <c r="R6" i="6"/>
  <c r="R26" i="6"/>
  <c r="R12" i="6"/>
  <c r="R34" i="6"/>
  <c r="R29" i="6"/>
  <c r="R32" i="6"/>
  <c r="R37" i="6"/>
  <c r="R33" i="6"/>
  <c r="R28" i="6"/>
  <c r="R4" i="6"/>
  <c r="R7" i="6"/>
  <c r="R35" i="6"/>
  <c r="R43" i="6"/>
  <c r="C43" i="6" s="1"/>
  <c r="R22" i="6"/>
  <c r="R20" i="6"/>
  <c r="R30" i="6"/>
  <c r="R9" i="6"/>
  <c r="R10" i="6"/>
  <c r="R31" i="6"/>
  <c r="R17" i="6"/>
  <c r="R40" i="6"/>
  <c r="R21" i="6"/>
  <c r="R11" i="6"/>
  <c r="R45" i="6"/>
  <c r="R27" i="6"/>
  <c r="I51" i="10"/>
  <c r="N14" i="1" a="1"/>
  <c r="N14" i="1" s="1"/>
  <c r="N8" i="1" a="1"/>
  <c r="N8" i="1" s="1"/>
  <c r="N12" i="1" a="1"/>
  <c r="N12" i="1" s="1"/>
  <c r="N10" i="1" a="1"/>
  <c r="N10" i="1" s="1"/>
  <c r="N18" i="1" a="1"/>
  <c r="N18" i="1" s="1"/>
  <c r="N16" i="1" a="1"/>
  <c r="N16" i="1" s="1"/>
  <c r="N25" i="1" a="1"/>
  <c r="N25" i="1" s="1"/>
  <c r="N21" i="1" a="1"/>
  <c r="N21" i="1" s="1"/>
  <c r="N20" i="1" a="1"/>
  <c r="N20" i="1" s="1"/>
  <c r="N4" i="1" a="1"/>
  <c r="N4" i="1" s="1"/>
  <c r="N17" i="1" a="1"/>
  <c r="N17" i="1" s="1"/>
  <c r="N15" i="1" a="1"/>
  <c r="N15" i="1" s="1"/>
  <c r="N6" i="1" a="1"/>
  <c r="N6" i="1" s="1"/>
  <c r="N13" i="1" a="1"/>
  <c r="N13" i="1" s="1"/>
  <c r="N11" i="1" a="1"/>
  <c r="N11" i="1" s="1"/>
  <c r="N7" i="1" a="1"/>
  <c r="N7" i="1" s="1"/>
  <c r="N9" i="1" a="1"/>
  <c r="N9" i="1" s="1"/>
  <c r="N3" i="1" a="1"/>
  <c r="N3" i="1" s="1"/>
  <c r="N2" i="1" a="1"/>
  <c r="N2" i="1" s="1"/>
  <c r="N23" i="1" a="1"/>
  <c r="N23" i="1" s="1"/>
  <c r="N5" i="1" a="1"/>
  <c r="N5" i="1" s="1"/>
  <c r="K8" i="5"/>
  <c r="H6" i="5"/>
  <c r="L6" i="5" s="1" a="1"/>
  <c r="L6" i="5" s="1"/>
  <c r="K6" i="5"/>
  <c r="H5" i="5"/>
  <c r="L5" i="5" s="1" a="1"/>
  <c r="L5" i="5" s="1"/>
  <c r="J5" i="5"/>
  <c r="M17" i="1" a="1"/>
  <c r="M17" i="1" s="1"/>
  <c r="M10" i="1" a="1"/>
  <c r="M10" i="1" s="1"/>
  <c r="M11" i="1" a="1"/>
  <c r="M11" i="1" s="1"/>
  <c r="M2" i="1" a="1"/>
  <c r="M2" i="1" s="1"/>
  <c r="M14" i="1" a="1"/>
  <c r="M14" i="1" s="1"/>
  <c r="M13" i="1" a="1"/>
  <c r="M13" i="1" s="1"/>
  <c r="M16" i="1" a="1"/>
  <c r="M16" i="1" s="1"/>
  <c r="M6" i="1" a="1"/>
  <c r="M6" i="1" s="1"/>
  <c r="M20" i="1" a="1"/>
  <c r="M20" i="1" s="1"/>
  <c r="M21" i="1" a="1"/>
  <c r="M21" i="1" s="1"/>
  <c r="M9" i="1" a="1"/>
  <c r="M9" i="1" s="1"/>
  <c r="M3" i="1" a="1"/>
  <c r="M3" i="1" s="1"/>
  <c r="M4" i="1" a="1"/>
  <c r="M4" i="1" s="1"/>
  <c r="M5" i="1" a="1"/>
  <c r="M5" i="1" s="1"/>
  <c r="M8" i="1" a="1"/>
  <c r="M8" i="1" s="1"/>
  <c r="M12" i="1" a="1"/>
  <c r="M12" i="1" s="1"/>
  <c r="M24" i="1" a="1"/>
  <c r="M24" i="1" s="1"/>
  <c r="M23" i="1" a="1"/>
  <c r="M23" i="1" s="1"/>
  <c r="M18" i="1" a="1"/>
  <c r="M18" i="1" s="1"/>
  <c r="M19" i="1" a="1"/>
  <c r="M19" i="1" s="1"/>
  <c r="M7" i="1" a="1"/>
  <c r="M7" i="1" s="1"/>
  <c r="M26" i="1" a="1"/>
  <c r="M26" i="1" s="1"/>
  <c r="M25" i="1" a="1"/>
  <c r="M25" i="1" s="1"/>
  <c r="M15" i="1" a="1"/>
  <c r="M15" i="1" s="1"/>
  <c r="L4" i="1" a="1"/>
  <c r="L4" i="1" s="1"/>
  <c r="L23" i="1" a="1"/>
  <c r="L23" i="1" s="1"/>
  <c r="L18" i="1" a="1"/>
  <c r="L18" i="1" s="1"/>
  <c r="L19" i="1" a="1"/>
  <c r="L19" i="1" s="1"/>
  <c r="L8" i="1" a="1"/>
  <c r="L8" i="1" s="1"/>
  <c r="L9" i="1" a="1"/>
  <c r="L9" i="1" s="1"/>
  <c r="L26" i="1" a="1"/>
  <c r="L26" i="1" s="1"/>
  <c r="L11" i="1" a="1"/>
  <c r="L11" i="1" s="1"/>
  <c r="L16" i="1" a="1"/>
  <c r="L16" i="1" s="1"/>
  <c r="L27" i="1" a="1"/>
  <c r="L27" i="1" s="1"/>
  <c r="L7" i="1" a="1"/>
  <c r="L7" i="1" s="1"/>
  <c r="L3" i="1" a="1"/>
  <c r="L3" i="1" s="1"/>
  <c r="L13" i="1" a="1"/>
  <c r="L13" i="1" s="1"/>
  <c r="L5" i="1" a="1"/>
  <c r="L5" i="1" s="1"/>
  <c r="L17" i="1" a="1"/>
  <c r="L17" i="1" s="1"/>
  <c r="L21" i="1" a="1"/>
  <c r="L21" i="1" s="1"/>
  <c r="L2" i="1" a="1"/>
  <c r="L2" i="1" s="1"/>
  <c r="L12" i="1" a="1"/>
  <c r="L12" i="1" s="1"/>
  <c r="L14" i="1" a="1"/>
  <c r="L14" i="1" s="1"/>
  <c r="L10" i="1" a="1"/>
  <c r="L10" i="1" s="1"/>
  <c r="L25" i="1" a="1"/>
  <c r="L25" i="1" s="1"/>
  <c r="L20" i="1" a="1"/>
  <c r="L20" i="1" s="1"/>
  <c r="L6" i="1" a="1"/>
  <c r="L6" i="1" s="1"/>
  <c r="L24" i="1" a="1"/>
  <c r="L24" i="1" s="1"/>
  <c r="L15" i="1" a="1"/>
  <c r="L15" i="1" s="1"/>
  <c r="I43" i="10"/>
  <c r="J2" i="1" a="1"/>
  <c r="J2" i="1" s="1"/>
  <c r="K711" i="12" a="1"/>
  <c r="K711" i="12" s="1"/>
  <c r="K697" i="12" a="1"/>
  <c r="K697" i="12" s="1"/>
  <c r="K680" i="12" a="1"/>
  <c r="K680" i="12" s="1"/>
  <c r="K651" i="12" a="1"/>
  <c r="K651" i="12" s="1"/>
  <c r="K623" i="12" a="1"/>
  <c r="K623" i="12" s="1"/>
  <c r="K595" i="12" a="1"/>
  <c r="K595" i="12" s="1"/>
  <c r="K551" i="12" a="1"/>
  <c r="K551" i="12" s="1"/>
  <c r="K523" i="12" a="1"/>
  <c r="K523" i="12" s="1"/>
  <c r="J26" i="1" a="1"/>
  <c r="J26" i="1" s="1"/>
  <c r="K727" i="12" a="1"/>
  <c r="K727" i="12" s="1"/>
  <c r="K710" i="12" a="1"/>
  <c r="K710" i="12" s="1"/>
  <c r="K696" i="12" a="1"/>
  <c r="K696" i="12" s="1"/>
  <c r="K666" i="12" a="1"/>
  <c r="K666" i="12" s="1"/>
  <c r="K650" i="12" a="1"/>
  <c r="K650" i="12" s="1"/>
  <c r="K637" i="12" a="1"/>
  <c r="K637" i="12" s="1"/>
  <c r="K622" i="12" a="1"/>
  <c r="K622" i="12" s="1"/>
  <c r="K608" i="12" a="1"/>
  <c r="K608" i="12" s="1"/>
  <c r="K594" i="12" a="1"/>
  <c r="K594" i="12" s="1"/>
  <c r="K579" i="12" a="1"/>
  <c r="K579" i="12" s="1"/>
  <c r="K566" i="12" a="1"/>
  <c r="K566" i="12" s="1"/>
  <c r="K550" i="12" a="1"/>
  <c r="K550" i="12" s="1"/>
  <c r="K537" i="12" a="1"/>
  <c r="K537" i="12" s="1"/>
  <c r="K522" i="12" a="1"/>
  <c r="K522" i="12" s="1"/>
  <c r="K5" i="1" a="1"/>
  <c r="K5" i="1" s="1"/>
  <c r="K16" i="1" a="1"/>
  <c r="K16" i="1" s="1"/>
  <c r="J19" i="1" a="1"/>
  <c r="J19" i="1" s="1"/>
  <c r="J24" i="1" a="1"/>
  <c r="J24" i="1" s="1"/>
  <c r="K726" i="12" a="1"/>
  <c r="K726" i="12" s="1"/>
  <c r="K695" i="12" a="1"/>
  <c r="K695" i="12" s="1"/>
  <c r="K679" i="12" a="1"/>
  <c r="K679" i="12" s="1"/>
  <c r="K665" i="12" a="1"/>
  <c r="K665" i="12" s="1"/>
  <c r="K621" i="12" a="1"/>
  <c r="K621" i="12" s="1"/>
  <c r="K593" i="12" a="1"/>
  <c r="K593" i="12" s="1"/>
  <c r="K565" i="12" a="1"/>
  <c r="K565" i="12" s="1"/>
  <c r="K521" i="12" a="1"/>
  <c r="K521" i="12" s="1"/>
  <c r="K4" i="1" a="1"/>
  <c r="K4" i="1" s="1"/>
  <c r="K725" i="12" a="1"/>
  <c r="K725" i="12" s="1"/>
  <c r="K709" i="12" a="1"/>
  <c r="K709" i="12" s="1"/>
  <c r="K694" i="12" a="1"/>
  <c r="K694" i="12" s="1"/>
  <c r="K664" i="12" a="1"/>
  <c r="K664" i="12" s="1"/>
  <c r="K649" i="12" a="1"/>
  <c r="K649" i="12" s="1"/>
  <c r="K636" i="12" a="1"/>
  <c r="K636" i="12" s="1"/>
  <c r="K620" i="12" a="1"/>
  <c r="K620" i="12" s="1"/>
  <c r="K607" i="12" a="1"/>
  <c r="K607" i="12" s="1"/>
  <c r="K592" i="12" a="1"/>
  <c r="K592" i="12" s="1"/>
  <c r="K578" i="12" a="1"/>
  <c r="K578" i="12" s="1"/>
  <c r="K564" i="12" a="1"/>
  <c r="K564" i="12" s="1"/>
  <c r="K549" i="12" a="1"/>
  <c r="K549" i="12" s="1"/>
  <c r="K536" i="12" a="1"/>
  <c r="K536" i="12" s="1"/>
  <c r="K520" i="12" a="1"/>
  <c r="K520" i="12" s="1"/>
  <c r="K2" i="1" a="1"/>
  <c r="K2" i="1" s="1"/>
  <c r="J17" i="1" a="1"/>
  <c r="J17" i="1" s="1"/>
  <c r="K724" i="12" a="1"/>
  <c r="K724" i="12" s="1"/>
  <c r="K693" i="12" a="1"/>
  <c r="K693" i="12" s="1"/>
  <c r="K678" i="12" a="1"/>
  <c r="K678" i="12" s="1"/>
  <c r="K663" i="12" a="1"/>
  <c r="K663" i="12" s="1"/>
  <c r="K635" i="12" a="1"/>
  <c r="K635" i="12" s="1"/>
  <c r="K591" i="12" a="1"/>
  <c r="K591" i="12" s="1"/>
  <c r="K563" i="12" a="1"/>
  <c r="K563" i="12" s="1"/>
  <c r="K535" i="12" a="1"/>
  <c r="K535" i="12" s="1"/>
  <c r="J15" i="1" a="1"/>
  <c r="J15" i="1" s="1"/>
  <c r="K723" i="12" a="1"/>
  <c r="K723" i="12" s="1"/>
  <c r="K708" i="12" a="1"/>
  <c r="K708" i="12" s="1"/>
  <c r="K692" i="12" a="1"/>
  <c r="K692" i="12" s="1"/>
  <c r="K662" i="12" a="1"/>
  <c r="K662" i="12" s="1"/>
  <c r="K648" i="12" a="1"/>
  <c r="K648" i="12" s="1"/>
  <c r="K634" i="12" a="1"/>
  <c r="K634" i="12" s="1"/>
  <c r="K619" i="12" a="1"/>
  <c r="K619" i="12" s="1"/>
  <c r="K606" i="12" a="1"/>
  <c r="K606" i="12" s="1"/>
  <c r="K590" i="12" a="1"/>
  <c r="K590" i="12" s="1"/>
  <c r="K577" i="12" a="1"/>
  <c r="K577" i="12" s="1"/>
  <c r="K562" i="12" a="1"/>
  <c r="K562" i="12" s="1"/>
  <c r="K548" i="12" a="1"/>
  <c r="K548" i="12" s="1"/>
  <c r="K534" i="12" a="1"/>
  <c r="K534" i="12" s="1"/>
  <c r="K519" i="12" a="1"/>
  <c r="K519" i="12" s="1"/>
  <c r="K7" i="1" a="1"/>
  <c r="K7" i="1" s="1"/>
  <c r="K26" i="1" a="1"/>
  <c r="K26" i="1" s="1"/>
  <c r="K738" i="12" a="1"/>
  <c r="K738" i="12" s="1"/>
  <c r="K722" i="12" a="1"/>
  <c r="K722" i="12" s="1"/>
  <c r="K691" i="12" a="1"/>
  <c r="K691" i="12" s="1"/>
  <c r="K677" i="12" a="1"/>
  <c r="K677" i="12" s="1"/>
  <c r="K661" i="12" a="1"/>
  <c r="K661" i="12" s="1"/>
  <c r="K633" i="12" a="1"/>
  <c r="K633" i="12" s="1"/>
  <c r="K605" i="12" a="1"/>
  <c r="K605" i="12" s="1"/>
  <c r="K561" i="12" a="1"/>
  <c r="K561" i="12" s="1"/>
  <c r="K533" i="12" a="1"/>
  <c r="K533" i="12" s="1"/>
  <c r="K15" i="1" a="1"/>
  <c r="K15" i="1" s="1"/>
  <c r="K10" i="1" a="1"/>
  <c r="K10" i="1" s="1"/>
  <c r="J16" i="1" a="1"/>
  <c r="J16" i="1" s="1"/>
  <c r="K721" i="12" a="1"/>
  <c r="K721" i="12" s="1"/>
  <c r="K707" i="12" a="1"/>
  <c r="K707" i="12" s="1"/>
  <c r="K690" i="12" a="1"/>
  <c r="K690" i="12" s="1"/>
  <c r="K676" i="12" a="1"/>
  <c r="K676" i="12" s="1"/>
  <c r="K660" i="12" a="1"/>
  <c r="K660" i="12" s="1"/>
  <c r="K647" i="12" a="1"/>
  <c r="K647" i="12" s="1"/>
  <c r="K632" i="12" a="1"/>
  <c r="K632" i="12" s="1"/>
  <c r="K618" i="12" a="1"/>
  <c r="K618" i="12" s="1"/>
  <c r="K604" i="12" a="1"/>
  <c r="K604" i="12" s="1"/>
  <c r="K589" i="12" a="1"/>
  <c r="K589" i="12" s="1"/>
  <c r="K576" i="12" a="1"/>
  <c r="K576" i="12" s="1"/>
  <c r="K560" i="12" a="1"/>
  <c r="K560" i="12" s="1"/>
  <c r="K547" i="12" a="1"/>
  <c r="K547" i="12" s="1"/>
  <c r="K532" i="12" a="1"/>
  <c r="K532" i="12" s="1"/>
  <c r="K518" i="12" a="1"/>
  <c r="K518" i="12" s="1"/>
  <c r="K18" i="1" a="1"/>
  <c r="K18" i="1" s="1"/>
  <c r="K14" i="1" a="1"/>
  <c r="K14" i="1" s="1"/>
  <c r="J18" i="1" a="1"/>
  <c r="J18" i="1" s="1"/>
  <c r="K737" i="12" a="1"/>
  <c r="K737" i="12" s="1"/>
  <c r="K720" i="12" a="1"/>
  <c r="K720" i="12" s="1"/>
  <c r="K706" i="12" a="1"/>
  <c r="K706" i="12" s="1"/>
  <c r="K675" i="12" a="1"/>
  <c r="K675" i="12" s="1"/>
  <c r="K631" i="12" a="1"/>
  <c r="K631" i="12" s="1"/>
  <c r="K603" i="12" a="1"/>
  <c r="K603" i="12" s="1"/>
  <c r="K575" i="12" a="1"/>
  <c r="K575" i="12" s="1"/>
  <c r="K531" i="12" a="1"/>
  <c r="K531" i="12" s="1"/>
  <c r="J12" i="1" a="1"/>
  <c r="J12" i="1" s="1"/>
  <c r="K736" i="12" a="1"/>
  <c r="K736" i="12" s="1"/>
  <c r="K705" i="12" a="1"/>
  <c r="K705" i="12" s="1"/>
  <c r="K689" i="12" a="1"/>
  <c r="K689" i="12" s="1"/>
  <c r="K674" i="12" a="1"/>
  <c r="K674" i="12" s="1"/>
  <c r="K659" i="12" a="1"/>
  <c r="K659" i="12" s="1"/>
  <c r="K646" i="12" a="1"/>
  <c r="K646" i="12" s="1"/>
  <c r="K630" i="12" a="1"/>
  <c r="K630" i="12" s="1"/>
  <c r="K617" i="12" a="1"/>
  <c r="K617" i="12" s="1"/>
  <c r="K602" i="12" a="1"/>
  <c r="K602" i="12" s="1"/>
  <c r="K588" i="12" a="1"/>
  <c r="K588" i="12" s="1"/>
  <c r="K574" i="12" a="1"/>
  <c r="K574" i="12" s="1"/>
  <c r="K559" i="12" a="1"/>
  <c r="K559" i="12" s="1"/>
  <c r="K546" i="12" a="1"/>
  <c r="K546" i="12" s="1"/>
  <c r="K530" i="12" a="1"/>
  <c r="K530" i="12" s="1"/>
  <c r="K11" i="1" a="1"/>
  <c r="K11" i="1" s="1"/>
  <c r="K13" i="1" a="1"/>
  <c r="K13" i="1" s="1"/>
  <c r="J21" i="1" a="1"/>
  <c r="J21" i="1" s="1"/>
  <c r="K735" i="12" a="1"/>
  <c r="K735" i="12" s="1"/>
  <c r="K719" i="12" a="1"/>
  <c r="K719" i="12" s="1"/>
  <c r="K704" i="12" a="1"/>
  <c r="K704" i="12" s="1"/>
  <c r="K673" i="12" a="1"/>
  <c r="K673" i="12" s="1"/>
  <c r="K645" i="12" a="1"/>
  <c r="K645" i="12" s="1"/>
  <c r="K601" i="12" a="1"/>
  <c r="K601" i="12" s="1"/>
  <c r="K573" i="12" a="1"/>
  <c r="K573" i="12" s="1"/>
  <c r="K545" i="12" a="1"/>
  <c r="K545" i="12" s="1"/>
  <c r="K25" i="1" a="1"/>
  <c r="K25" i="1" s="1"/>
  <c r="J23" i="1" a="1"/>
  <c r="J23" i="1" s="1"/>
  <c r="K734" i="12" a="1"/>
  <c r="K734" i="12" s="1"/>
  <c r="K703" i="12" a="1"/>
  <c r="K703" i="12" s="1"/>
  <c r="K688" i="12" a="1"/>
  <c r="K688" i="12" s="1"/>
  <c r="K672" i="12" a="1"/>
  <c r="K672" i="12" s="1"/>
  <c r="K658" i="12" a="1"/>
  <c r="K658" i="12" s="1"/>
  <c r="K644" i="12" a="1"/>
  <c r="K644" i="12" s="1"/>
  <c r="K629" i="12" a="1"/>
  <c r="K629" i="12" s="1"/>
  <c r="K616" i="12" a="1"/>
  <c r="K616" i="12" s="1"/>
  <c r="K600" i="12" a="1"/>
  <c r="K600" i="12" s="1"/>
  <c r="K587" i="12" a="1"/>
  <c r="K587" i="12" s="1"/>
  <c r="K572" i="12" a="1"/>
  <c r="K572" i="12" s="1"/>
  <c r="K558" i="12" a="1"/>
  <c r="K558" i="12" s="1"/>
  <c r="K544" i="12" a="1"/>
  <c r="K544" i="12" s="1"/>
  <c r="K529" i="12" a="1"/>
  <c r="K529" i="12" s="1"/>
  <c r="T21" i="1" a="1"/>
  <c r="T21" i="1" s="1"/>
  <c r="K27" i="1" a="1"/>
  <c r="K27" i="1" s="1"/>
  <c r="K21" i="1" a="1"/>
  <c r="K21" i="1" s="1"/>
  <c r="J4" i="1" a="1"/>
  <c r="J4" i="1" s="1"/>
  <c r="K733" i="12" a="1"/>
  <c r="K733" i="12" s="1"/>
  <c r="K718" i="12" a="1"/>
  <c r="K718" i="12" s="1"/>
  <c r="K702" i="12" a="1"/>
  <c r="K702" i="12" s="1"/>
  <c r="K671" i="12" a="1"/>
  <c r="K671" i="12" s="1"/>
  <c r="K643" i="12" a="1"/>
  <c r="K643" i="12" s="1"/>
  <c r="K615" i="12" a="1"/>
  <c r="K615" i="12" s="1"/>
  <c r="K571" i="12" a="1"/>
  <c r="K571" i="12" s="1"/>
  <c r="K543" i="12" a="1"/>
  <c r="K543" i="12" s="1"/>
  <c r="J7" i="1" a="1"/>
  <c r="J7" i="1" s="1"/>
  <c r="J14" i="1" a="1"/>
  <c r="J14" i="1" s="1"/>
  <c r="K732" i="12" a="1"/>
  <c r="K732" i="12" s="1"/>
  <c r="K701" i="12" a="1"/>
  <c r="K701" i="12" s="1"/>
  <c r="K687" i="12" a="1"/>
  <c r="K687" i="12" s="1"/>
  <c r="K670" i="12" a="1"/>
  <c r="K670" i="12" s="1"/>
  <c r="K657" i="12" a="1"/>
  <c r="K657" i="12" s="1"/>
  <c r="K642" i="12" a="1"/>
  <c r="K642" i="12" s="1"/>
  <c r="K628" i="12" a="1"/>
  <c r="K628" i="12" s="1"/>
  <c r="K614" i="12" a="1"/>
  <c r="K614" i="12" s="1"/>
  <c r="K599" i="12" a="1"/>
  <c r="K599" i="12" s="1"/>
  <c r="K586" i="12" a="1"/>
  <c r="K586" i="12" s="1"/>
  <c r="K570" i="12" a="1"/>
  <c r="K570" i="12" s="1"/>
  <c r="K557" i="12" a="1"/>
  <c r="K557" i="12" s="1"/>
  <c r="K542" i="12" a="1"/>
  <c r="K542" i="12" s="1"/>
  <c r="K528" i="12" a="1"/>
  <c r="K528" i="12" s="1"/>
  <c r="K6" i="1" a="1"/>
  <c r="K6" i="1" s="1"/>
  <c r="K20" i="1" a="1"/>
  <c r="K20" i="1" s="1"/>
  <c r="J25" i="1" a="1"/>
  <c r="J25" i="1" s="1"/>
  <c r="K731" i="12" a="1"/>
  <c r="K731" i="12" s="1"/>
  <c r="K717" i="12" a="1"/>
  <c r="K717" i="12" s="1"/>
  <c r="K700" i="12" a="1"/>
  <c r="K700" i="12" s="1"/>
  <c r="K686" i="12" a="1"/>
  <c r="K686" i="12" s="1"/>
  <c r="K641" i="12" a="1"/>
  <c r="K641" i="12" s="1"/>
  <c r="K613" i="12" a="1"/>
  <c r="K613" i="12" s="1"/>
  <c r="K585" i="12" a="1"/>
  <c r="K585" i="12" s="1"/>
  <c r="K541" i="12" a="1"/>
  <c r="K541" i="12" s="1"/>
  <c r="J11" i="1" a="1"/>
  <c r="J11" i="1" s="1"/>
  <c r="K730" i="12" a="1"/>
  <c r="K730" i="12" s="1"/>
  <c r="K716" i="12" a="1"/>
  <c r="K716" i="12" s="1"/>
  <c r="K685" i="12" a="1"/>
  <c r="K685" i="12" s="1"/>
  <c r="K669" i="12" a="1"/>
  <c r="K669" i="12" s="1"/>
  <c r="K656" i="12" a="1"/>
  <c r="K656" i="12" s="1"/>
  <c r="K640" i="12" a="1"/>
  <c r="K640" i="12" s="1"/>
  <c r="K627" i="12" a="1"/>
  <c r="K627" i="12" s="1"/>
  <c r="K612" i="12" a="1"/>
  <c r="K612" i="12" s="1"/>
  <c r="K598" i="12" a="1"/>
  <c r="K598" i="12" s="1"/>
  <c r="K584" i="12" a="1"/>
  <c r="K584" i="12" s="1"/>
  <c r="K569" i="12" a="1"/>
  <c r="K569" i="12" s="1"/>
  <c r="K556" i="12" a="1"/>
  <c r="K556" i="12" s="1"/>
  <c r="K540" i="12" a="1"/>
  <c r="K540" i="12" s="1"/>
  <c r="K527" i="12" a="1"/>
  <c r="K527" i="12" s="1"/>
  <c r="K12" i="1" a="1"/>
  <c r="K12" i="1" s="1"/>
  <c r="K23" i="1" a="1"/>
  <c r="K23" i="1" s="1"/>
  <c r="K9" i="1" a="1"/>
  <c r="K9" i="1" s="1"/>
  <c r="J9" i="1" a="1"/>
  <c r="J9" i="1" s="1"/>
  <c r="J10" i="1" a="1"/>
  <c r="J10" i="1" s="1"/>
  <c r="K715" i="12" a="1"/>
  <c r="K715" i="12" s="1"/>
  <c r="K699" i="12" a="1"/>
  <c r="K699" i="12" s="1"/>
  <c r="K684" i="12" a="1"/>
  <c r="K684" i="12" s="1"/>
  <c r="K655" i="12" a="1"/>
  <c r="K655" i="12" s="1"/>
  <c r="K611" i="12" a="1"/>
  <c r="K611" i="12" s="1"/>
  <c r="K583" i="12" a="1"/>
  <c r="K583" i="12" s="1"/>
  <c r="K555" i="12" a="1"/>
  <c r="K555" i="12" s="1"/>
  <c r="J20" i="1" a="1"/>
  <c r="J20" i="1" s="1"/>
  <c r="K729" i="12" a="1"/>
  <c r="K729" i="12" s="1"/>
  <c r="K714" i="12" a="1"/>
  <c r="K714" i="12" s="1"/>
  <c r="K683" i="12" a="1"/>
  <c r="K683" i="12" s="1"/>
  <c r="K668" i="12" a="1"/>
  <c r="K668" i="12" s="1"/>
  <c r="K654" i="12" a="1"/>
  <c r="K654" i="12" s="1"/>
  <c r="K639" i="12" a="1"/>
  <c r="K639" i="12" s="1"/>
  <c r="K626" i="12" a="1"/>
  <c r="K626" i="12" s="1"/>
  <c r="K610" i="12" a="1"/>
  <c r="K610" i="12" s="1"/>
  <c r="K597" i="12" a="1"/>
  <c r="K597" i="12" s="1"/>
  <c r="K582" i="12" a="1"/>
  <c r="K582" i="12" s="1"/>
  <c r="K568" i="12" a="1"/>
  <c r="K568" i="12" s="1"/>
  <c r="K554" i="12" a="1"/>
  <c r="K554" i="12" s="1"/>
  <c r="K539" i="12" a="1"/>
  <c r="K539" i="12" s="1"/>
  <c r="K526" i="12" a="1"/>
  <c r="K526" i="12" s="1"/>
  <c r="K17" i="1" a="1"/>
  <c r="K17" i="1" s="1"/>
  <c r="K3" i="1" a="1"/>
  <c r="K3" i="1" s="1"/>
  <c r="K19" i="1" a="1"/>
  <c r="K19" i="1" s="1"/>
  <c r="J6" i="1" a="1"/>
  <c r="J6" i="1" s="1"/>
  <c r="K713" i="12" a="1"/>
  <c r="K713" i="12" s="1"/>
  <c r="K698" i="12" a="1"/>
  <c r="K698" i="12" s="1"/>
  <c r="K682" i="12" a="1"/>
  <c r="K682" i="12" s="1"/>
  <c r="K653" i="12" a="1"/>
  <c r="K653" i="12" s="1"/>
  <c r="K625" i="12" a="1"/>
  <c r="K625" i="12" s="1"/>
  <c r="K581" i="12" a="1"/>
  <c r="K581" i="12" s="1"/>
  <c r="K553" i="12" a="1"/>
  <c r="K553" i="12" s="1"/>
  <c r="K525" i="12" a="1"/>
  <c r="K525" i="12" s="1"/>
  <c r="J3" i="1" a="1"/>
  <c r="J3" i="1" s="1"/>
  <c r="J8" i="1" a="1"/>
  <c r="J8" i="1" s="1"/>
  <c r="K728" i="12" a="1"/>
  <c r="K728" i="12" s="1"/>
  <c r="K712" i="12" a="1"/>
  <c r="K712" i="12" s="1"/>
  <c r="K681" i="12" a="1"/>
  <c r="K681" i="12" s="1"/>
  <c r="K667" i="12" a="1"/>
  <c r="K667" i="12" s="1"/>
  <c r="K652" i="12" a="1"/>
  <c r="K652" i="12" s="1"/>
  <c r="K638" i="12" a="1"/>
  <c r="K638" i="12" s="1"/>
  <c r="K624" i="12" a="1"/>
  <c r="K624" i="12" s="1"/>
  <c r="K609" i="12" a="1"/>
  <c r="K609" i="12" s="1"/>
  <c r="K596" i="12" a="1"/>
  <c r="K596" i="12" s="1"/>
  <c r="K580" i="12" a="1"/>
  <c r="K580" i="12" s="1"/>
  <c r="K567" i="12" a="1"/>
  <c r="K567" i="12" s="1"/>
  <c r="K552" i="12" a="1"/>
  <c r="K552" i="12" s="1"/>
  <c r="K538" i="12" a="1"/>
  <c r="K538" i="12" s="1"/>
  <c r="K524" i="12" a="1"/>
  <c r="K524" i="12" s="1"/>
  <c r="K8" i="1" a="1"/>
  <c r="K8" i="1" s="1"/>
  <c r="K24" i="1" a="1"/>
  <c r="K24" i="1" s="1"/>
  <c r="J5" i="1" a="1"/>
  <c r="J5" i="1" s="1"/>
  <c r="L28" i="6"/>
  <c r="C28" i="6" s="1"/>
  <c r="L11" i="6"/>
  <c r="C11" i="6" s="1"/>
  <c r="L5" i="6"/>
  <c r="L39" i="6"/>
  <c r="L21" i="6"/>
  <c r="L20" i="6"/>
  <c r="L35" i="6"/>
  <c r="L29" i="6"/>
  <c r="L15" i="6"/>
  <c r="L19" i="6"/>
  <c r="L40" i="6"/>
  <c r="L14" i="6"/>
  <c r="L36" i="6"/>
  <c r="L22" i="6"/>
  <c r="L8" i="6"/>
  <c r="L45" i="6"/>
  <c r="L38" i="6"/>
  <c r="C38" i="6" s="1"/>
  <c r="L18" i="6"/>
  <c r="L27" i="6"/>
  <c r="L31" i="6"/>
  <c r="L4" i="6"/>
  <c r="L41" i="6"/>
  <c r="L30" i="6"/>
  <c r="L13" i="6"/>
  <c r="C13" i="6" s="1"/>
  <c r="L3" i="6"/>
  <c r="L26" i="6"/>
  <c r="L33" i="6"/>
  <c r="L23" i="6"/>
  <c r="C42" i="6"/>
  <c r="I6" i="1" a="1"/>
  <c r="I6" i="1" s="1"/>
  <c r="I3" i="1" a="1"/>
  <c r="I3" i="1" s="1"/>
  <c r="I16" i="1" a="1"/>
  <c r="I16" i="1" s="1"/>
  <c r="I24" i="1" a="1"/>
  <c r="I24" i="1" s="1"/>
  <c r="I5" i="1" a="1"/>
  <c r="I5" i="1" s="1"/>
  <c r="I27" i="1" a="1"/>
  <c r="I27" i="1" s="1"/>
  <c r="I18" i="1" a="1"/>
  <c r="I18" i="1" s="1"/>
  <c r="I2" i="1" a="1"/>
  <c r="I2" i="1" s="1"/>
  <c r="I20" i="1" a="1"/>
  <c r="I20" i="1" s="1"/>
  <c r="I12" i="1" a="1"/>
  <c r="I12" i="1" s="1"/>
  <c r="I15" i="1" a="1"/>
  <c r="I15" i="1" s="1"/>
  <c r="I26" i="1" a="1"/>
  <c r="I26" i="1" s="1"/>
  <c r="I23" i="1" a="1"/>
  <c r="I23" i="1" s="1"/>
  <c r="I10" i="1" a="1"/>
  <c r="I10" i="1" s="1"/>
  <c r="I21" i="1" a="1"/>
  <c r="I21" i="1" s="1"/>
  <c r="I7" i="1" a="1"/>
  <c r="I7" i="1" s="1"/>
  <c r="I11" i="1" a="1"/>
  <c r="I11" i="1" s="1"/>
  <c r="I8" i="1" a="1"/>
  <c r="I8" i="1" s="1"/>
  <c r="I19" i="1" a="1"/>
  <c r="I19" i="1" s="1"/>
  <c r="I9" i="1" a="1"/>
  <c r="I9" i="1" s="1"/>
  <c r="I25" i="1" a="1"/>
  <c r="I25" i="1" s="1"/>
  <c r="I4" i="1" a="1"/>
  <c r="I4" i="1" s="1"/>
  <c r="I17" i="1" a="1"/>
  <c r="I17" i="1" s="1"/>
  <c r="I14" i="1" a="1"/>
  <c r="I14" i="1" s="1"/>
  <c r="I13" i="1" a="1"/>
  <c r="I13" i="1" s="1"/>
  <c r="I36" i="10"/>
  <c r="I49" i="10"/>
  <c r="I42" i="10"/>
  <c r="I50" i="10"/>
  <c r="I45" i="10"/>
  <c r="I39" i="10"/>
  <c r="I33" i="10"/>
  <c r="I34" i="10"/>
  <c r="I46" i="10"/>
  <c r="I35" i="10"/>
  <c r="I37" i="10"/>
  <c r="I52" i="10"/>
  <c r="I41" i="10"/>
  <c r="I53" i="10"/>
  <c r="I38" i="10"/>
  <c r="I44" i="10"/>
  <c r="I40" i="10"/>
  <c r="I54" i="10"/>
  <c r="I48" i="10"/>
  <c r="C16" i="6"/>
  <c r="C17" i="6"/>
  <c r="H18" i="1" a="1"/>
  <c r="H18" i="1" s="1"/>
  <c r="E21" i="1" a="1"/>
  <c r="E21" i="1" s="1"/>
  <c r="H19" i="1" a="1"/>
  <c r="H19" i="1" s="1"/>
  <c r="E5" i="1" a="1"/>
  <c r="E5" i="1" s="1"/>
  <c r="E24" i="1" a="1"/>
  <c r="E24" i="1" s="1"/>
  <c r="H11" i="1" a="1"/>
  <c r="H11" i="1" s="1"/>
  <c r="H15" i="1" a="1"/>
  <c r="H15" i="1" s="1"/>
  <c r="G21" i="1" a="1"/>
  <c r="G21" i="1" s="1"/>
  <c r="G26" i="1" a="1"/>
  <c r="G26" i="1" s="1"/>
  <c r="G11" i="1" a="1"/>
  <c r="G11" i="1" s="1"/>
  <c r="E12" i="1" a="1"/>
  <c r="E12" i="1" s="1"/>
  <c r="G17" i="1" a="1"/>
  <c r="G17" i="1" s="1"/>
  <c r="E8" i="1" a="1"/>
  <c r="E8" i="1" s="1"/>
  <c r="G7" i="1" a="1"/>
  <c r="G7" i="1" s="1"/>
  <c r="E2" i="1" a="1"/>
  <c r="E2" i="1" s="1"/>
  <c r="E4" i="1" a="1"/>
  <c r="E4" i="1" s="1"/>
  <c r="E27" i="1" a="1"/>
  <c r="E27" i="1" s="1"/>
  <c r="E3" i="1" a="1"/>
  <c r="E3" i="1" s="1"/>
  <c r="H16" i="1" a="1"/>
  <c r="H16" i="1" s="1"/>
  <c r="G18" i="1" a="1"/>
  <c r="G18" i="1" s="1"/>
  <c r="G5" i="1" a="1"/>
  <c r="G5" i="1" s="1"/>
  <c r="H20" i="1" a="1"/>
  <c r="H20" i="1" s="1"/>
  <c r="H26" i="1" a="1"/>
  <c r="H26" i="1" s="1"/>
  <c r="G3" i="1" a="1"/>
  <c r="G3" i="1" s="1"/>
  <c r="H3" i="5"/>
  <c r="L3" i="5" s="1" a="1"/>
  <c r="L3" i="5" s="1"/>
  <c r="E18" i="1" a="1"/>
  <c r="E18" i="1" s="1"/>
  <c r="E15" i="1" a="1"/>
  <c r="E15" i="1" s="1"/>
  <c r="E14" i="1" a="1"/>
  <c r="E14" i="1" s="1"/>
  <c r="E11" i="1" a="1"/>
  <c r="E11" i="1" s="1"/>
  <c r="E10" i="1" a="1"/>
  <c r="E10" i="1" s="1"/>
  <c r="E19" i="1" a="1"/>
  <c r="E19" i="1" s="1"/>
  <c r="E20" i="1" a="1"/>
  <c r="E20" i="1" s="1"/>
  <c r="G13" i="1" a="1"/>
  <c r="G13" i="1" s="1"/>
  <c r="G8" i="1" a="1"/>
  <c r="G8" i="1" s="1"/>
  <c r="G20" i="1" a="1"/>
  <c r="G20" i="1" s="1"/>
  <c r="G4" i="1" a="1"/>
  <c r="G4" i="1" s="1"/>
  <c r="G16" i="1" a="1"/>
  <c r="G16" i="1" s="1"/>
  <c r="G15" i="1" a="1"/>
  <c r="G15" i="1" s="1"/>
  <c r="G23" i="1" a="1"/>
  <c r="G23" i="1" s="1"/>
  <c r="G27" i="1" a="1"/>
  <c r="G27" i="1" s="1"/>
  <c r="G10" i="1" a="1"/>
  <c r="G10" i="1" s="1"/>
  <c r="H10" i="1" a="1"/>
  <c r="H10" i="1" s="1"/>
  <c r="H2" i="1" a="1"/>
  <c r="H2" i="1" s="1"/>
  <c r="H8" i="1" a="1"/>
  <c r="H8" i="1" s="1"/>
  <c r="H25" i="1" a="1"/>
  <c r="H25" i="1" s="1"/>
  <c r="E13" i="1" a="1"/>
  <c r="E13" i="1" s="1"/>
  <c r="E23" i="1" a="1"/>
  <c r="E23" i="1" s="1"/>
  <c r="G6" i="1" a="1"/>
  <c r="G6" i="1" s="1"/>
  <c r="G24" i="1" a="1"/>
  <c r="G24" i="1" s="1"/>
  <c r="G25" i="1" a="1"/>
  <c r="G25" i="1" s="1"/>
  <c r="G19" i="1" a="1"/>
  <c r="G19" i="1" s="1"/>
  <c r="H14" i="1" a="1"/>
  <c r="H14" i="1" s="1"/>
  <c r="H24" i="1" a="1"/>
  <c r="H24" i="1" s="1"/>
  <c r="H13" i="1" a="1"/>
  <c r="H13" i="1" s="1"/>
  <c r="H7" i="1" a="1"/>
  <c r="H7" i="1" s="1"/>
  <c r="H4" i="1" a="1"/>
  <c r="H4" i="1" s="1"/>
  <c r="H23" i="1" a="1"/>
  <c r="H23" i="1" s="1"/>
  <c r="H5" i="1" a="1"/>
  <c r="H5" i="1" s="1"/>
  <c r="H12" i="1" a="1"/>
  <c r="H12" i="1" s="1"/>
  <c r="E6" i="1" a="1"/>
  <c r="E6" i="1" s="1"/>
  <c r="E25" i="1" a="1"/>
  <c r="E25" i="1" s="1"/>
  <c r="G9" i="1" a="1"/>
  <c r="G9" i="1" s="1"/>
  <c r="G2" i="1" a="1"/>
  <c r="G2" i="1" s="1"/>
  <c r="G12" i="1" a="1"/>
  <c r="G12" i="1" s="1"/>
  <c r="G14" i="1" a="1"/>
  <c r="G14" i="1" s="1"/>
  <c r="H9" i="1" a="1"/>
  <c r="H9" i="1" s="1"/>
  <c r="H6" i="1" a="1"/>
  <c r="H6" i="1" s="1"/>
  <c r="H17" i="1" a="1"/>
  <c r="H17" i="1" s="1"/>
  <c r="H27" i="1" a="1"/>
  <c r="H27" i="1" s="1"/>
  <c r="H3" i="1" a="1"/>
  <c r="H3" i="1" s="1"/>
  <c r="E7" i="1" a="1"/>
  <c r="E7" i="1" s="1"/>
  <c r="E9" i="1" a="1"/>
  <c r="E9" i="1" s="1"/>
  <c r="E16" i="1" a="1"/>
  <c r="E16" i="1" s="1"/>
  <c r="E17" i="1" a="1"/>
  <c r="E17" i="1" s="1"/>
  <c r="C21" i="16" l="1" a="1"/>
  <c r="C21" i="16" s="1"/>
  <c r="C6" i="16" a="1"/>
  <c r="C6" i="16" s="1"/>
  <c r="C14" i="16" a="1"/>
  <c r="C14" i="16" s="1"/>
  <c r="C7" i="16" a="1"/>
  <c r="C7" i="16" s="1"/>
  <c r="G35" i="16"/>
  <c r="C19" i="16" s="1" a="1"/>
  <c r="C19" i="16" s="1"/>
  <c r="C24" i="16" a="1"/>
  <c r="C24" i="16" s="1"/>
  <c r="C12" i="16" a="1"/>
  <c r="C12" i="16" s="1"/>
  <c r="C18" i="16" a="1"/>
  <c r="C18" i="16" s="1"/>
  <c r="C16" i="16" a="1"/>
  <c r="C16" i="16" s="1"/>
  <c r="E19" i="16" a="1"/>
  <c r="E19" i="16" s="1"/>
  <c r="E9" i="16" a="1"/>
  <c r="E9" i="16" s="1"/>
  <c r="E12" i="16" a="1"/>
  <c r="E12" i="16" s="1"/>
  <c r="E22" i="16" a="1"/>
  <c r="E22" i="16" s="1"/>
  <c r="E25" i="16" a="1"/>
  <c r="E25" i="16" s="1"/>
  <c r="E15" i="16" a="1"/>
  <c r="E15" i="16" s="1"/>
  <c r="E8" i="16" a="1"/>
  <c r="E8" i="16" s="1"/>
  <c r="E18" i="16" a="1"/>
  <c r="E18" i="16" s="1"/>
  <c r="E4" i="16" a="1"/>
  <c r="E4" i="16" s="1"/>
  <c r="E2" i="16" a="1"/>
  <c r="E2" i="16" s="1"/>
  <c r="E21" i="16" a="1"/>
  <c r="E21" i="16" s="1"/>
  <c r="E11" i="16" a="1"/>
  <c r="E11" i="16" s="1"/>
  <c r="E24" i="16" a="1"/>
  <c r="E24" i="16" s="1"/>
  <c r="E14" i="16" a="1"/>
  <c r="E14" i="16" s="1"/>
  <c r="E17" i="16" a="1"/>
  <c r="E17" i="16" s="1"/>
  <c r="E27" i="16" a="1"/>
  <c r="E27" i="16" s="1"/>
  <c r="E7" i="16" a="1"/>
  <c r="E7" i="16" s="1"/>
  <c r="E5" i="16" a="1"/>
  <c r="E5" i="16" s="1"/>
  <c r="E20" i="16" a="1"/>
  <c r="E20" i="16" s="1"/>
  <c r="E10" i="16" a="1"/>
  <c r="E10" i="16" s="1"/>
  <c r="E3" i="16" a="1"/>
  <c r="E3" i="16" s="1"/>
  <c r="E23" i="16" a="1"/>
  <c r="E23" i="16" s="1"/>
  <c r="E13" i="16" a="1"/>
  <c r="E13" i="16" s="1"/>
  <c r="E26" i="16" a="1"/>
  <c r="E26" i="16" s="1"/>
  <c r="E16" i="16" a="1"/>
  <c r="E16" i="16" s="1"/>
  <c r="E6" i="16" a="1"/>
  <c r="E6" i="16" s="1"/>
  <c r="C3" i="16" a="1"/>
  <c r="C3" i="16" s="1"/>
  <c r="C20" i="16" a="1"/>
  <c r="C20" i="16" s="1"/>
  <c r="C25" i="16" a="1"/>
  <c r="C25" i="16" s="1"/>
  <c r="C11" i="16" a="1"/>
  <c r="C11" i="16" s="1"/>
  <c r="C13" i="16" a="1"/>
  <c r="C13" i="16" s="1"/>
  <c r="C8" i="16" a="1"/>
  <c r="C8" i="16" s="1"/>
  <c r="C27" i="16" a="1"/>
  <c r="C27" i="16" s="1"/>
  <c r="C5" i="16" a="1"/>
  <c r="C5" i="16" s="1"/>
  <c r="C19" i="6"/>
  <c r="C37" i="6"/>
  <c r="C41" i="6"/>
  <c r="C40" i="6"/>
  <c r="C46" i="6"/>
  <c r="C45" i="6"/>
  <c r="C23" i="6"/>
  <c r="C7" i="6"/>
  <c r="C9" i="6"/>
  <c r="C34" i="6"/>
  <c r="C10" i="6"/>
  <c r="C29" i="6"/>
  <c r="C15" i="6"/>
  <c r="C33" i="6"/>
  <c r="C12" i="6"/>
  <c r="C6" i="6"/>
  <c r="C32" i="6"/>
  <c r="C36" i="6"/>
  <c r="C8" i="6"/>
  <c r="C21" i="6"/>
  <c r="C39" i="6"/>
  <c r="C18" i="6"/>
  <c r="C22" i="6"/>
  <c r="C14" i="6"/>
  <c r="C26" i="6"/>
  <c r="C3" i="6"/>
  <c r="C30" i="6"/>
  <c r="C20" i="6"/>
  <c r="C35" i="6"/>
  <c r="C4" i="6"/>
  <c r="C31" i="6"/>
  <c r="C27" i="6"/>
  <c r="C5" i="6"/>
  <c r="C26" i="16" l="1" a="1"/>
  <c r="C26" i="16" s="1"/>
  <c r="C22" i="16" a="1"/>
  <c r="C22" i="16" s="1"/>
  <c r="C17" i="16" a="1"/>
  <c r="C17" i="16" s="1"/>
  <c r="C4" i="16" a="1"/>
  <c r="C4" i="16" s="1"/>
  <c r="C10" i="16" a="1"/>
  <c r="C10" i="16" s="1"/>
  <c r="C9" i="16" a="1"/>
  <c r="C9" i="16" s="1"/>
  <c r="C2" i="16" a="1"/>
  <c r="C2" i="16" s="1"/>
  <c r="C23" i="16" a="1"/>
  <c r="C23" i="16" s="1"/>
  <c r="C15" i="16" a="1"/>
  <c r="C15" i="16" s="1"/>
  <c r="C10" i="4"/>
  <c r="C9" i="4"/>
  <c r="C8" i="4"/>
  <c r="C7" i="4"/>
  <c r="C6" i="4"/>
  <c r="C4" i="4"/>
  <c r="C5" i="4"/>
  <c r="D26" i="16" l="1" a="1"/>
  <c r="D26" i="16" s="1"/>
  <c r="F26" i="16" s="1"/>
  <c r="D16" i="16" a="1"/>
  <c r="D16" i="16" s="1"/>
  <c r="F16" i="16" s="1"/>
  <c r="D19" i="16" a="1"/>
  <c r="D19" i="16" s="1"/>
  <c r="F19" i="16" s="1"/>
  <c r="D9" i="16" a="1"/>
  <c r="D9" i="16" s="1"/>
  <c r="F9" i="16" s="1"/>
  <c r="D22" i="16" a="1"/>
  <c r="D22" i="16" s="1"/>
  <c r="F22" i="16" s="1"/>
  <c r="D12" i="16" a="1"/>
  <c r="D12" i="16" s="1"/>
  <c r="F12" i="16" s="1"/>
  <c r="D25" i="16" a="1"/>
  <c r="D25" i="16" s="1"/>
  <c r="F25" i="16" s="1"/>
  <c r="D15" i="16" a="1"/>
  <c r="D15" i="16" s="1"/>
  <c r="F15" i="16" s="1"/>
  <c r="D5" i="16" a="1"/>
  <c r="D5" i="16" s="1"/>
  <c r="F5" i="16" s="1"/>
  <c r="D18" i="16" a="1"/>
  <c r="D18" i="16" s="1"/>
  <c r="F18" i="16" s="1"/>
  <c r="D8" i="16" a="1"/>
  <c r="D8" i="16" s="1"/>
  <c r="F8" i="16" s="1"/>
  <c r="D2" i="16" a="1"/>
  <c r="D2" i="16" s="1"/>
  <c r="F2" i="16" s="1"/>
  <c r="D21" i="16" a="1"/>
  <c r="D21" i="16" s="1"/>
  <c r="F21" i="16" s="1"/>
  <c r="D11" i="16" a="1"/>
  <c r="D11" i="16" s="1"/>
  <c r="F11" i="16" s="1"/>
  <c r="D14" i="16" a="1"/>
  <c r="D14" i="16" s="1"/>
  <c r="F14" i="16" s="1"/>
  <c r="D24" i="16" a="1"/>
  <c r="D24" i="16" s="1"/>
  <c r="F24" i="16" s="1"/>
  <c r="D4" i="16" a="1"/>
  <c r="D4" i="16" s="1"/>
  <c r="F4" i="16" s="1"/>
  <c r="D27" i="16" a="1"/>
  <c r="D27" i="16" s="1"/>
  <c r="F27" i="16" s="1"/>
  <c r="D7" i="16" a="1"/>
  <c r="D7" i="16" s="1"/>
  <c r="F7" i="16" s="1"/>
  <c r="D17" i="16" a="1"/>
  <c r="D17" i="16" s="1"/>
  <c r="F17" i="16" s="1"/>
  <c r="D6" i="16" a="1"/>
  <c r="D6" i="16" s="1"/>
  <c r="F6" i="16" s="1"/>
  <c r="D3" i="16" a="1"/>
  <c r="D3" i="16" s="1"/>
  <c r="F3" i="16" s="1"/>
  <c r="D20" i="16" a="1"/>
  <c r="D20" i="16" s="1"/>
  <c r="F20" i="16" s="1"/>
  <c r="D10" i="16" a="1"/>
  <c r="D10" i="16" s="1"/>
  <c r="F10" i="16" s="1"/>
  <c r="D23" i="16" a="1"/>
  <c r="D23" i="16" s="1"/>
  <c r="F23" i="16" s="1"/>
  <c r="D13" i="16" a="1"/>
  <c r="D13" i="16" s="1"/>
  <c r="F13" i="16" s="1"/>
  <c r="C3" i="4"/>
  <c r="C20" i="4" l="1"/>
  <c r="C19" i="4"/>
  <c r="C15" i="4"/>
  <c r="C17" i="4"/>
  <c r="C13" i="4"/>
  <c r="C12" i="4"/>
  <c r="C21" i="4"/>
  <c r="C18" i="4"/>
  <c r="C16" i="4"/>
  <c r="C14" i="4" l="1"/>
  <c r="C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00000000-0015-0000-FFFF-FFFF01000000}" keepAlive="1" name="Query - Table 0 (2)" description="Connection to the 'Table 0 (2)' query in the workbook." type="5" refreshedVersion="8" background="1" saveData="1">
    <dbPr connection="Provider=Microsoft.Mashup.OleDb.1;Data Source=$Workbook$;Location=&quot;Table 0 (2)&quot;;Extended Properties=&quot;&quot;" command="SELECT * FROM [Table 0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<sst xmlns="http://schemas.openxmlformats.org/spreadsheetml/2006/main" count="3784" uniqueCount="834">
  <si>
    <t>Refresh Google Forms spreadsheet before a race to update picks</t>
  </si>
  <si>
    <t>Refresh Race Results (yellow) table after a race to update race results</t>
  </si>
  <si>
    <t>Results are automatically updated for the race</t>
  </si>
  <si>
    <t>Copy and paste points in Google Forms tab as text (Col "G") to prevent the points being overwritten by the next race</t>
  </si>
  <si>
    <t>Copy and paste driver positions (green table) into the race results table (grey) as text</t>
  </si>
  <si>
    <t>Other</t>
  </si>
  <si>
    <t>Snapshot of everyone's picks is in the "snapshot" tab - filter by race after google forms tab has been refreshed (also make sure snapshot table is refreshed)</t>
  </si>
  <si>
    <t>F1 10th Place Cup</t>
  </si>
  <si>
    <t>07/05/2023</t>
  </si>
  <si>
    <t>21/05/2023</t>
  </si>
  <si>
    <t>28/05/2023</t>
  </si>
  <si>
    <t>4/06/2023</t>
  </si>
  <si>
    <t>18/06/2023</t>
  </si>
  <si>
    <t>02/07/2023</t>
  </si>
  <si>
    <t>09/07/2023</t>
  </si>
  <si>
    <t>23/07/2023</t>
  </si>
  <si>
    <t>30/07/2023</t>
  </si>
  <si>
    <t>27/08/2023</t>
  </si>
  <si>
    <t>03/09/2023</t>
  </si>
  <si>
    <t>17/09/2023</t>
  </si>
  <si>
    <t>24/09/2023</t>
  </si>
  <si>
    <t>8/10/2023</t>
  </si>
  <si>
    <t>22/10/2023</t>
  </si>
  <si>
    <t>29/10/2023</t>
  </si>
  <si>
    <t>05/11/2023</t>
  </si>
  <si>
    <t>18/11/2023</t>
  </si>
  <si>
    <t>26/11/2023</t>
  </si>
  <si>
    <t>Name</t>
  </si>
  <si>
    <t>Total</t>
  </si>
  <si>
    <t>Saudi Arabia - 19 March</t>
  </si>
  <si>
    <t>Australia - 2 April</t>
  </si>
  <si>
    <t>Azerbaijan - 30 April</t>
  </si>
  <si>
    <t>Miami - 7 May</t>
  </si>
  <si>
    <t>Italy - 21 May</t>
  </si>
  <si>
    <t>Monaco - 28 May</t>
  </si>
  <si>
    <t>Spain - 4 June</t>
  </si>
  <si>
    <t>Canada - 18 June</t>
  </si>
  <si>
    <t>Austria - 2 July</t>
  </si>
  <si>
    <t>Great Britain - 9 July</t>
  </si>
  <si>
    <t>Hungary</t>
  </si>
  <si>
    <t>Belgium</t>
  </si>
  <si>
    <t>Netherlands</t>
  </si>
  <si>
    <t>Italy2</t>
  </si>
  <si>
    <t>Singapore</t>
  </si>
  <si>
    <t>Japan</t>
  </si>
  <si>
    <t>Qatar</t>
  </si>
  <si>
    <t>United States</t>
  </si>
  <si>
    <t>Mexico</t>
  </si>
  <si>
    <t>Brazil</t>
  </si>
  <si>
    <t>Las Vegas</t>
  </si>
  <si>
    <t>Abu Dhabi</t>
  </si>
  <si>
    <t>Suzzy B</t>
  </si>
  <si>
    <t>Wade</t>
  </si>
  <si>
    <t>Deville</t>
  </si>
  <si>
    <t>Liz</t>
  </si>
  <si>
    <t>Kristel</t>
  </si>
  <si>
    <t>Mike</t>
  </si>
  <si>
    <t>Markus</t>
  </si>
  <si>
    <t>Jimbo</t>
  </si>
  <si>
    <t>Joshua</t>
  </si>
  <si>
    <t>Frank</t>
  </si>
  <si>
    <t>Alida</t>
  </si>
  <si>
    <t>Reinhard</t>
  </si>
  <si>
    <t>Ilarie</t>
  </si>
  <si>
    <t>Oscar</t>
  </si>
  <si>
    <t>Clarice</t>
  </si>
  <si>
    <t>PJ</t>
  </si>
  <si>
    <t>Nico JR</t>
  </si>
  <si>
    <t>Jason</t>
  </si>
  <si>
    <t>Bernd</t>
  </si>
  <si>
    <t>Petra</t>
  </si>
  <si>
    <t>Pam</t>
  </si>
  <si>
    <t>Nico SR</t>
  </si>
  <si>
    <t>Riaan</t>
  </si>
  <si>
    <t>Lee</t>
  </si>
  <si>
    <t>Liam</t>
  </si>
  <si>
    <t>Smartin</t>
  </si>
  <si>
    <t>Michael H</t>
  </si>
  <si>
    <t>David</t>
  </si>
  <si>
    <t>Winners</t>
  </si>
  <si>
    <t>Cumulative Points</t>
  </si>
  <si>
    <t>Table linked to google forms - refresh table once new picks are selected</t>
  </si>
  <si>
    <t>Copy and paste points as text into the same Points column ("G") after the race</t>
  </si>
  <si>
    <t>Timestamp</t>
  </si>
  <si>
    <t>Who are you?</t>
  </si>
  <si>
    <t>Race</t>
  </si>
  <si>
    <t>First Pick</t>
  </si>
  <si>
    <t>Second Pick</t>
  </si>
  <si>
    <t>Points</t>
  </si>
  <si>
    <t>17/03/2023 20:39:56</t>
  </si>
  <si>
    <t>Albon - Williams</t>
  </si>
  <si>
    <t>Bottas - Alfa Romeo</t>
  </si>
  <si>
    <t>17/03/2023 20:43:39</t>
  </si>
  <si>
    <t>F(1)rank</t>
  </si>
  <si>
    <t>18/03/2023 11:31:20</t>
  </si>
  <si>
    <t>Zhou - Alfa Romeo</t>
  </si>
  <si>
    <t>Occon - Alpine</t>
  </si>
  <si>
    <t>18/03/2023 21:15:44</t>
  </si>
  <si>
    <t>Magnussen - Haas</t>
  </si>
  <si>
    <t>18/03/2023 21:46:15</t>
  </si>
  <si>
    <t>Piastri - McLaren</t>
  </si>
  <si>
    <t>18/03/2023 21:48:41</t>
  </si>
  <si>
    <t>Ocon - Alpine</t>
  </si>
  <si>
    <t>18/03/2023 21:48:48</t>
  </si>
  <si>
    <t>Hulkenberg - Haas</t>
  </si>
  <si>
    <t>Stroll - Aston Martin</t>
  </si>
  <si>
    <t>18/03/2023 22:14:59</t>
  </si>
  <si>
    <t>Gasly - Alpine</t>
  </si>
  <si>
    <t>19/03/2023 10:18:14</t>
  </si>
  <si>
    <t>James Moorcroft</t>
  </si>
  <si>
    <t>19/03/2023 10:32:32</t>
  </si>
  <si>
    <t>Nico</t>
  </si>
  <si>
    <t>19/03/2023 13:07:39</t>
  </si>
  <si>
    <t>Verstappen - Red Bull</t>
  </si>
  <si>
    <t>19/03/2023 13:08:14</t>
  </si>
  <si>
    <t>19/03/2023 13:09:13</t>
  </si>
  <si>
    <t>19/03/2023 14:45:33</t>
  </si>
  <si>
    <t>Nico Bell JN</t>
  </si>
  <si>
    <t>Tsunoda - AlphaTauri</t>
  </si>
  <si>
    <t>19/03/2023 15:06:08</t>
  </si>
  <si>
    <t>Liz Bell</t>
  </si>
  <si>
    <t>19/03/2023 16:45:57</t>
  </si>
  <si>
    <t>19/03/2023 17:00:18</t>
  </si>
  <si>
    <t>19/03/2023 17:06:04</t>
  </si>
  <si>
    <t>19/03/2023 17:16:59</t>
  </si>
  <si>
    <t>19/03/2023 17:27:17</t>
  </si>
  <si>
    <t>19/03/2023 17:27:36</t>
  </si>
  <si>
    <t>19/03/2023 17:44:46</t>
  </si>
  <si>
    <t>19/03/2023 17:59:01</t>
  </si>
  <si>
    <t>Sargeant - Williams</t>
  </si>
  <si>
    <t>19/03/2023 19:02:36</t>
  </si>
  <si>
    <t>01/04/2023 12:48:01</t>
  </si>
  <si>
    <t>01/04/2023 13:01:12</t>
  </si>
  <si>
    <t>01/04/2023 13:26:56</t>
  </si>
  <si>
    <t>01/04/2023 13:33:00</t>
  </si>
  <si>
    <t>Lays</t>
  </si>
  <si>
    <t>01/04/2023 14:26:01</t>
  </si>
  <si>
    <t>01/04/2023 17:29:43</t>
  </si>
  <si>
    <t>Alida Kruger</t>
  </si>
  <si>
    <t>01/04/2023 17:34:32</t>
  </si>
  <si>
    <t>Norris - McLaren</t>
  </si>
  <si>
    <t>01/04/2023 18:11:22</t>
  </si>
  <si>
    <t>Dunkirk</t>
  </si>
  <si>
    <t>01/04/2023 19:18:45</t>
  </si>
  <si>
    <t>01/04/2023 20:40:54</t>
  </si>
  <si>
    <t>01/04/2023 20:59:05</t>
  </si>
  <si>
    <t>01/04/2023 21:06:01</t>
  </si>
  <si>
    <t>01/04/2023 21:22:11</t>
  </si>
  <si>
    <t>01/04/2023 21:41:26</t>
  </si>
  <si>
    <t>01/04/2023 21:44:16</t>
  </si>
  <si>
    <t>Joshua Bornman</t>
  </si>
  <si>
    <t>Sainz - Ferrari</t>
  </si>
  <si>
    <t>01/04/2023 21:46:35</t>
  </si>
  <si>
    <t>01/04/2023 21:48:25</t>
  </si>
  <si>
    <t>Mike Ireland</t>
  </si>
  <si>
    <t>01/04/2023 21:49:47</t>
  </si>
  <si>
    <t>Pamela Ireland</t>
  </si>
  <si>
    <t>01/04/2023 21:50:55</t>
  </si>
  <si>
    <t>01/04/2023 22:13:04</t>
  </si>
  <si>
    <t>01/04/2023 22:17:12</t>
  </si>
  <si>
    <t>Nico Bell (JN)</t>
  </si>
  <si>
    <t>01/04/2023 22:17:17</t>
  </si>
  <si>
    <t>01/04/2023 22:20:44</t>
  </si>
  <si>
    <t>Nico jnr</t>
  </si>
  <si>
    <t>01/04/2023 23:07:28</t>
  </si>
  <si>
    <t>03/04/2023 06:01:07</t>
  </si>
  <si>
    <t>Hamilton - Mercedes</t>
  </si>
  <si>
    <t>29/04/2023 01:19:45</t>
  </si>
  <si>
    <t>Alex Albon - Williams</t>
  </si>
  <si>
    <t>George Russell - Mercedes</t>
  </si>
  <si>
    <t>29/04/2023 14:52:16</t>
  </si>
  <si>
    <t>Esteban Ocon - Alpine</t>
  </si>
  <si>
    <t>Oscar Piastri - McLaren</t>
  </si>
  <si>
    <t>29/04/2023 17:28:45</t>
  </si>
  <si>
    <t>Nico Hulkenberg - Haas</t>
  </si>
  <si>
    <t>29/04/2023 17:29:13</t>
  </si>
  <si>
    <t>Valtteri Bottas - Alfa Romeo Racing</t>
  </si>
  <si>
    <t>30/04/2023 07:58:33</t>
  </si>
  <si>
    <t>30/04/2023 08:49:06</t>
  </si>
  <si>
    <t>Yuki Tsunoda - AlphaTauri</t>
  </si>
  <si>
    <t>30/04/2023 08:49:41</t>
  </si>
  <si>
    <t>30/04/2023 08:50:57</t>
  </si>
  <si>
    <t>30/04/2023 09:07:20</t>
  </si>
  <si>
    <t>Lance Stroll - Aston Martin</t>
  </si>
  <si>
    <t>30/04/2023 09:08:38</t>
  </si>
  <si>
    <t>30/04/2023 09:11:08</t>
  </si>
  <si>
    <t>30/04/2023 09:21:44</t>
  </si>
  <si>
    <t>Max Verstappen - Red Bull</t>
  </si>
  <si>
    <t>30/04/2023 09:27:32</t>
  </si>
  <si>
    <t>Guanyu Zhou - Alfa Romeo Racing</t>
  </si>
  <si>
    <t>30/04/2023 09:33:37</t>
  </si>
  <si>
    <t>30/04/2023 09:49:02</t>
  </si>
  <si>
    <t>30/04/2023 09:51:43</t>
  </si>
  <si>
    <t>30/04/2023 09:53:38</t>
  </si>
  <si>
    <t>30/04/2023 11:13:22</t>
  </si>
  <si>
    <t>30/04/2023 11:13:42</t>
  </si>
  <si>
    <t>30/04/2023 11:18:01</t>
  </si>
  <si>
    <t>Pierre Gasly - Alpine</t>
  </si>
  <si>
    <t>30/04/2023 11:18:44</t>
  </si>
  <si>
    <t>Lando Norris - McLaren</t>
  </si>
  <si>
    <t>30/04/2023 11:18:54</t>
  </si>
  <si>
    <t>30/04/2023 11:31:02</t>
  </si>
  <si>
    <t>Carlos Sainz - Ferrari</t>
  </si>
  <si>
    <t>30/04/2023 12:49:47</t>
  </si>
  <si>
    <t>30/04/2023 12:53:36</t>
  </si>
  <si>
    <t>Fernando Alonso - Aston Martin</t>
  </si>
  <si>
    <t>06/05/2023 23:07:25</t>
  </si>
  <si>
    <t>Lewis Hamilton - Mercedes</t>
  </si>
  <si>
    <t>06/05/2023 23:07:50</t>
  </si>
  <si>
    <t>07/05/2023 09:59:10</t>
  </si>
  <si>
    <t>07/05/2023 10:00:06</t>
  </si>
  <si>
    <t>07/05/2023 10:36:16</t>
  </si>
  <si>
    <t>07/05/2023 12:20:01</t>
  </si>
  <si>
    <t>07/05/2023 13:25:31</t>
  </si>
  <si>
    <t>07/05/2023 16:27:02</t>
  </si>
  <si>
    <t>07/05/2023 16:44:52</t>
  </si>
  <si>
    <t>07/05/2023 16:46:19</t>
  </si>
  <si>
    <t>07/05/2023 16:48:58</t>
  </si>
  <si>
    <t>07/05/2023 16:51:02</t>
  </si>
  <si>
    <t>Kevin Magnussen - Haas</t>
  </si>
  <si>
    <t>07/05/2023 16:53:33</t>
  </si>
  <si>
    <t>07/05/2023 17:11:45</t>
  </si>
  <si>
    <t>07/05/2023 17:15:46</t>
  </si>
  <si>
    <t>07/05/2023 17:22:32</t>
  </si>
  <si>
    <t>07/05/2023 17:26:31</t>
  </si>
  <si>
    <t>07/05/2023 17:32:47</t>
  </si>
  <si>
    <t>07/05/2023 17:34:43</t>
  </si>
  <si>
    <t>07/05/2023 17:46:34</t>
  </si>
  <si>
    <t>07/05/2023 17:49:56</t>
  </si>
  <si>
    <t>07/05/2023 18:04:55</t>
  </si>
  <si>
    <t>07/05/2023 18:33:53</t>
  </si>
  <si>
    <t>07/05/2023 18:55:47</t>
  </si>
  <si>
    <t>07/05/2023 19:02:34</t>
  </si>
  <si>
    <t>28/05/2023 08:09:28</t>
  </si>
  <si>
    <t>Sergio Perez - Red Bull</t>
  </si>
  <si>
    <t>28/05/2023 08:25:24</t>
  </si>
  <si>
    <t>28/05/2023 09:14:15</t>
  </si>
  <si>
    <t>28/05/2023 09:14:59</t>
  </si>
  <si>
    <t>28/05/2023 09:18:11</t>
  </si>
  <si>
    <t>28/05/2023 09:55:00</t>
  </si>
  <si>
    <t>28/05/2023 09:57:38</t>
  </si>
  <si>
    <t>28/05/2023 09:59:30</t>
  </si>
  <si>
    <t>28/05/2023 10:05:11</t>
  </si>
  <si>
    <t>28/05/2023 10:09:01</t>
  </si>
  <si>
    <t>28/05/2023 10:36:43</t>
  </si>
  <si>
    <t>Nyck de Vries - Alpha Tauri</t>
  </si>
  <si>
    <t>28/05/2023 10:44:45</t>
  </si>
  <si>
    <t>28/05/2023 11:31:03</t>
  </si>
  <si>
    <t>28/05/2023 11:47:26</t>
  </si>
  <si>
    <t>28/05/2023 12:14:39</t>
  </si>
  <si>
    <t>28/05/2023 12:15:23</t>
  </si>
  <si>
    <t>28/05/2023 12:34:38</t>
  </si>
  <si>
    <t>28/05/2023 12:55:20</t>
  </si>
  <si>
    <t>28/05/2023 13:03:53</t>
  </si>
  <si>
    <t>28/05/2023 13:09:39</t>
  </si>
  <si>
    <t>28/05/2023 13:14:58</t>
  </si>
  <si>
    <t>28/05/2023 13:31:29</t>
  </si>
  <si>
    <t>28/05/2023 13:36:00</t>
  </si>
  <si>
    <t>28/05/2023 13:36:15</t>
  </si>
  <si>
    <t>28/05/2023 13:37:01</t>
  </si>
  <si>
    <t>28/05/2023 15:02:58</t>
  </si>
  <si>
    <t>03/06/2023 19:36:36</t>
  </si>
  <si>
    <t>04/06/2023 08:09:16</t>
  </si>
  <si>
    <t>04/06/2023 08:17:28</t>
  </si>
  <si>
    <t>04/06/2023 09:27:29</t>
  </si>
  <si>
    <t>04/06/2023 09:32:01</t>
  </si>
  <si>
    <t>04/06/2023 09:59:03</t>
  </si>
  <si>
    <t>04/06/2023 10:30:19</t>
  </si>
  <si>
    <t>04/06/2023 12:07:02</t>
  </si>
  <si>
    <t>04/06/2023 12:08:58</t>
  </si>
  <si>
    <t>04/06/2023 12:13:16</t>
  </si>
  <si>
    <t>04/06/2023 12:33:26</t>
  </si>
  <si>
    <t>04/06/2023 13:06:12</t>
  </si>
  <si>
    <t>Charles Leclerc - Ferrari</t>
  </si>
  <si>
    <t>04/06/2023 13:16:21</t>
  </si>
  <si>
    <t>04/06/2023 13:17:57</t>
  </si>
  <si>
    <t>04/06/2023 13:39:42</t>
  </si>
  <si>
    <t>04/06/2023 13:40:49</t>
  </si>
  <si>
    <t>04/06/2023 13:40:51</t>
  </si>
  <si>
    <t>04/06/2023 13:41:11</t>
  </si>
  <si>
    <t>04/06/2023 13:46:29</t>
  </si>
  <si>
    <t>04/06/2023 13:53:20</t>
  </si>
  <si>
    <t>04/06/2023 13:54:06</t>
  </si>
  <si>
    <t>04/06/2023 14:00:30</t>
  </si>
  <si>
    <t>04/06/2023 14:01:09</t>
  </si>
  <si>
    <t>04/06/2023 14:09:53</t>
  </si>
  <si>
    <t>04/06/2023 14:29:03</t>
  </si>
  <si>
    <t>16/06/2023 13:43:59</t>
  </si>
  <si>
    <t>17/06/2023 19:09:02</t>
  </si>
  <si>
    <t>18/06/2023 12:17:43</t>
  </si>
  <si>
    <t>18/06/2023 16:10:29</t>
  </si>
  <si>
    <t>18/06/2023 16:10:41</t>
  </si>
  <si>
    <t>18/06/2023 16:57:14</t>
  </si>
  <si>
    <t>18/06/2023 16:58:03</t>
  </si>
  <si>
    <t>18/06/2023 17:01:48</t>
  </si>
  <si>
    <t>18/06/2023 17:02:05</t>
  </si>
  <si>
    <t>18/06/2023 17:03:39</t>
  </si>
  <si>
    <t>18/06/2023 17:12:24</t>
  </si>
  <si>
    <t>18/06/2023 17:17:08</t>
  </si>
  <si>
    <t>18/06/2023 17:17:21</t>
  </si>
  <si>
    <t>18/06/2023 17:29:21</t>
  </si>
  <si>
    <t>18/06/2023 17:45:31</t>
  </si>
  <si>
    <t>18/06/2023 17:48:19</t>
  </si>
  <si>
    <t>18/06/2023 18:00:02</t>
  </si>
  <si>
    <t>18/06/2023 18:20:06</t>
  </si>
  <si>
    <t>18/06/2023 18:22:16</t>
  </si>
  <si>
    <t>18/06/2023 18:22:44</t>
  </si>
  <si>
    <t>18/06/2023 18:25:31</t>
  </si>
  <si>
    <t>18/06/2023 18:30:37</t>
  </si>
  <si>
    <t>18/06/2023 18:42:01</t>
  </si>
  <si>
    <t>18/06/2023 18:55:33</t>
  </si>
  <si>
    <t>18/06/2023 18:56:00</t>
  </si>
  <si>
    <t>18/06/2023 19:10:51</t>
  </si>
  <si>
    <t>Live Link - refresh by clicking anywhere on the table and then refresh</t>
  </si>
  <si>
    <t>This table remaps the driver names</t>
  </si>
  <si>
    <t>Pos</t>
  </si>
  <si>
    <t>Driver</t>
  </si>
  <si>
    <t>Time</t>
  </si>
  <si>
    <t>Stops</t>
  </si>
  <si>
    <t>Map</t>
  </si>
  <si>
    <t>Position</t>
  </si>
  <si>
    <t>Bahrain</t>
  </si>
  <si>
    <t>Saudi Arabia</t>
  </si>
  <si>
    <t>Australia</t>
  </si>
  <si>
    <t>Azerbaijan</t>
  </si>
  <si>
    <t>Miami</t>
  </si>
  <si>
    <t>Italy</t>
  </si>
  <si>
    <t>Monaco</t>
  </si>
  <si>
    <t>Spain</t>
  </si>
  <si>
    <t>Canada</t>
  </si>
  <si>
    <t>Autria</t>
  </si>
  <si>
    <t>Great Britain</t>
  </si>
  <si>
    <t>1</t>
  </si>
  <si>
    <t>Max VerstappenRed Bull</t>
  </si>
  <si>
    <t>2</t>
  </si>
  <si>
    <t>Fernando AlonsoAston Martin</t>
  </si>
  <si>
    <t>3</t>
  </si>
  <si>
    <t>Lewis HamiltonMercedes</t>
  </si>
  <si>
    <t>4</t>
  </si>
  <si>
    <t>Charles LeclercFerrari</t>
  </si>
  <si>
    <t>5</t>
  </si>
  <si>
    <t>Carlos SainzFerrari</t>
  </si>
  <si>
    <t>6</t>
  </si>
  <si>
    <t>Sergio PerezRed Bull</t>
  </si>
  <si>
    <t>7</t>
  </si>
  <si>
    <t>Alex AlbonWilliams</t>
  </si>
  <si>
    <t>8</t>
  </si>
  <si>
    <t>Esteban OconAlpine</t>
  </si>
  <si>
    <t>9</t>
  </si>
  <si>
    <t>Lance StrollAston Martin</t>
  </si>
  <si>
    <t>10</t>
  </si>
  <si>
    <t>Valtteri BottasAlfa Romeo Racing</t>
  </si>
  <si>
    <t>11</t>
  </si>
  <si>
    <t>Oscar PiastriMcLaren</t>
  </si>
  <si>
    <t>12</t>
  </si>
  <si>
    <t>Pierre GaslyAlpine</t>
  </si>
  <si>
    <t>Logan Sargeant - Williams</t>
  </si>
  <si>
    <t>13</t>
  </si>
  <si>
    <t>Lando NorrisMcLaren</t>
  </si>
  <si>
    <t>14</t>
  </si>
  <si>
    <t>Yuki TsunodaAlphaTauri</t>
  </si>
  <si>
    <t>Nico HulkenbergHaas</t>
  </si>
  <si>
    <t>Guanyu ZhouAlfa Romeo Racing</t>
  </si>
  <si>
    <t>Kevin MagnussenHaas</t>
  </si>
  <si>
    <t>Nyck de VriesAlpha Tauri</t>
  </si>
  <si>
    <t>George RussellMercedes</t>
  </si>
  <si>
    <t>Logan SargeantWilliams</t>
  </si>
  <si>
    <t>Driver Points</t>
  </si>
  <si>
    <t>Race Results</t>
  </si>
  <si>
    <t>Median Position</t>
  </si>
  <si>
    <t>Most popular driver</t>
  </si>
  <si>
    <t>(All)</t>
  </si>
  <si>
    <t>&lt;- can filter by race</t>
  </si>
  <si>
    <t>Row Labels</t>
  </si>
  <si>
    <t>Count of First Pick2</t>
  </si>
  <si>
    <t>Grand Total</t>
  </si>
  <si>
    <t>First Picks</t>
  </si>
  <si>
    <t>Second Picks</t>
  </si>
  <si>
    <t>Total Picks</t>
  </si>
  <si>
    <t>Name mappings</t>
  </si>
  <si>
    <t>Done</t>
  </si>
  <si>
    <t>Automated population of guesses?</t>
  </si>
  <si>
    <t>Update race names to match google forms</t>
  </si>
  <si>
    <t>Filter graph to only show top x% of players</t>
  </si>
  <si>
    <t>Albon</t>
  </si>
  <si>
    <t>Alonso</t>
  </si>
  <si>
    <t>Bottas</t>
  </si>
  <si>
    <t>De Vries</t>
  </si>
  <si>
    <t>0,5(DNF)=0</t>
  </si>
  <si>
    <t>Gasly</t>
  </si>
  <si>
    <t>6(DNF)=0</t>
  </si>
  <si>
    <t>Hamilton</t>
  </si>
  <si>
    <t>Hulkenberg</t>
  </si>
  <si>
    <t>Leclerc</t>
  </si>
  <si>
    <t>Magnussen</t>
  </si>
  <si>
    <t>Norris</t>
  </si>
  <si>
    <t>Ocon</t>
  </si>
  <si>
    <t>2(DNF)=0</t>
  </si>
  <si>
    <t>Perez</t>
  </si>
  <si>
    <t>Piastri</t>
  </si>
  <si>
    <t>Russell</t>
  </si>
  <si>
    <t>Sainz</t>
  </si>
  <si>
    <t>Sargeant</t>
  </si>
  <si>
    <t>Stroll</t>
  </si>
  <si>
    <t>Tsunoda</t>
  </si>
  <si>
    <t>Verstappen</t>
  </si>
  <si>
    <t>Zhou</t>
  </si>
  <si>
    <t>Driver Placements</t>
  </si>
  <si>
    <t>19th</t>
  </si>
  <si>
    <t>3rd</t>
  </si>
  <si>
    <t>11th</t>
  </si>
  <si>
    <t>15th</t>
  </si>
  <si>
    <t>13th</t>
  </si>
  <si>
    <t>2nd</t>
  </si>
  <si>
    <t>7th</t>
  </si>
  <si>
    <t>20th</t>
  </si>
  <si>
    <t>17th</t>
  </si>
  <si>
    <t>6th</t>
  </si>
  <si>
    <t>14th</t>
  </si>
  <si>
    <t>5th</t>
  </si>
  <si>
    <t>8th</t>
  </si>
  <si>
    <t>18th</t>
  </si>
  <si>
    <t>12th</t>
  </si>
  <si>
    <t>16th</t>
  </si>
  <si>
    <t>4th</t>
  </si>
  <si>
    <t>10th</t>
  </si>
  <si>
    <t>1st</t>
  </si>
  <si>
    <t>9th</t>
  </si>
  <si>
    <t>01/07/2023 20:09:40</t>
  </si>
  <si>
    <t>01/07/2023 21:24:33</t>
  </si>
  <si>
    <t>02/07/2023 08:52:47</t>
  </si>
  <si>
    <t>02/07/2023 09:05:42</t>
  </si>
  <si>
    <t>02/07/2023 09:07:57</t>
  </si>
  <si>
    <t>02/07/2023 09:35:59</t>
  </si>
  <si>
    <t>02/07/2023 09:40:10</t>
  </si>
  <si>
    <t>02/07/2023 10:02:05</t>
  </si>
  <si>
    <t>02/07/2023 10:02:54</t>
  </si>
  <si>
    <t>02/07/2023 10:32:24</t>
  </si>
  <si>
    <t>02/07/2023 10:43:08</t>
  </si>
  <si>
    <t>02/07/2023 12:03:24</t>
  </si>
  <si>
    <t>02/07/2023 12:19:08</t>
  </si>
  <si>
    <t>02/07/2023 12:33:57</t>
  </si>
  <si>
    <t>02/07/2023 12:34:52</t>
  </si>
  <si>
    <t>02/07/2023 12:54:15</t>
  </si>
  <si>
    <t>02/07/2023 13:17:16</t>
  </si>
  <si>
    <t>02/07/2023 13:20:35</t>
  </si>
  <si>
    <t>02/07/2023 13:21:00</t>
  </si>
  <si>
    <t>02/07/2023 13:33:18</t>
  </si>
  <si>
    <t>02/07/2023 14:40:50</t>
  </si>
  <si>
    <t>02/07/2023 14:45:08</t>
  </si>
  <si>
    <t>02/07/2023 14:46:56</t>
  </si>
  <si>
    <t>02/07/2023 14:48:09</t>
  </si>
  <si>
    <t>02/07/2023 14:48:55</t>
  </si>
  <si>
    <t>Austria</t>
  </si>
  <si>
    <t>races_to_date</t>
  </si>
  <si>
    <t>Column1</t>
  </si>
  <si>
    <t>previous_race_no</t>
  </si>
  <si>
    <t>Previous Race Total</t>
  </si>
  <si>
    <t>Previous race Ranking</t>
  </si>
  <si>
    <t>Current ranking</t>
  </si>
  <si>
    <t>x</t>
  </si>
  <si>
    <t>mean</t>
  </si>
  <si>
    <t>std dev</t>
  </si>
  <si>
    <t>cum</t>
  </si>
  <si>
    <t>standard_deviation</t>
  </si>
  <si>
    <t>median</t>
  </si>
  <si>
    <t>skew</t>
  </si>
  <si>
    <t>08/07/2023 11:38:04</t>
  </si>
  <si>
    <t>08/07/2023 19:37:31</t>
  </si>
  <si>
    <t>08/07/2023 19:38:41</t>
  </si>
  <si>
    <t>09/07/2023 08:39:27</t>
  </si>
  <si>
    <t>09/07/2023 09:19:22</t>
  </si>
  <si>
    <t>09/07/2023 09:20:45</t>
  </si>
  <si>
    <t>09/07/2023 09:20:46</t>
  </si>
  <si>
    <t>09/07/2023 09:34:58</t>
  </si>
  <si>
    <t>09/07/2023 10:32:07</t>
  </si>
  <si>
    <t>09/07/2023 10:47:51</t>
  </si>
  <si>
    <t>09/07/2023 10:48:42</t>
  </si>
  <si>
    <t>09/07/2023 12:08:45</t>
  </si>
  <si>
    <t>09/07/2023 13:13:54</t>
  </si>
  <si>
    <t>09/07/2023 13:21:31</t>
  </si>
  <si>
    <t>09/07/2023 13:30:26</t>
  </si>
  <si>
    <t>09/07/2023 13:30:49</t>
  </si>
  <si>
    <t>09/07/2023 13:36:56</t>
  </si>
  <si>
    <t>09/07/2023 13:44:40</t>
  </si>
  <si>
    <t>09/07/2023 13:59:39</t>
  </si>
  <si>
    <t>09/07/2023 14:10:21</t>
  </si>
  <si>
    <t>09/07/2023 14:22:17</t>
  </si>
  <si>
    <t>09/07/2023 14:26:32</t>
  </si>
  <si>
    <t>09/07/2023 14:36:56</t>
  </si>
  <si>
    <t>09/07/2023 14:42:46</t>
  </si>
  <si>
    <t>09/07/2023 14:53:23</t>
  </si>
  <si>
    <t>09/07/2023 15:25:15</t>
  </si>
  <si>
    <t>22/07/2023 14:25:16</t>
  </si>
  <si>
    <t>Hungary - 23 July</t>
  </si>
  <si>
    <t>Daniel Ricciardo - Alpha Tauri</t>
  </si>
  <si>
    <t>22/07/2023 16:24:55</t>
  </si>
  <si>
    <t>22/07/2023 22:26:58</t>
  </si>
  <si>
    <t>22/07/2023 22:27:34</t>
  </si>
  <si>
    <t>22/07/2023 23:01:53</t>
  </si>
  <si>
    <t>23/07/2023 11:13:45</t>
  </si>
  <si>
    <t>23/07/2023 11:14:14</t>
  </si>
  <si>
    <t>23/07/2023 11:17:42</t>
  </si>
  <si>
    <t>23/07/2023 11:18:47</t>
  </si>
  <si>
    <t>23/07/2023 11:22:49</t>
  </si>
  <si>
    <t>23/07/2023 11:23:41</t>
  </si>
  <si>
    <t>23/07/2023 12:03:54</t>
  </si>
  <si>
    <t>23/07/2023 12:05:31</t>
  </si>
  <si>
    <t>23/07/2023 12:11:58</t>
  </si>
  <si>
    <t>23/07/2023 12:20:57</t>
  </si>
  <si>
    <t>23/07/2023 12:21:13</t>
  </si>
  <si>
    <t>23/07/2023 12:24:09</t>
  </si>
  <si>
    <t>23/07/2023 12:42:11</t>
  </si>
  <si>
    <t>23/07/2023 13:21:41</t>
  </si>
  <si>
    <t>23/07/2023 13:22:17</t>
  </si>
  <si>
    <t>23/07/2023 13:23:04</t>
  </si>
  <si>
    <t>23/07/2023 13:46:39</t>
  </si>
  <si>
    <t>23/07/2023 13:50:21</t>
  </si>
  <si>
    <t>23/07/2023 14:00:30</t>
  </si>
  <si>
    <t>23/07/2023 14:03:20</t>
  </si>
  <si>
    <t>23/07/2023 14:12:08</t>
  </si>
  <si>
    <t>Daniel RicciardoAlphaTauri</t>
  </si>
  <si>
    <t>29/07/2023 15:51:20</t>
  </si>
  <si>
    <t>Belgium - 30 July</t>
  </si>
  <si>
    <t>29/07/2023 22:28:25</t>
  </si>
  <si>
    <t>30/07/2023 08:09:09</t>
  </si>
  <si>
    <t>30/07/2023 08:09:32</t>
  </si>
  <si>
    <t>30/07/2023 08:47:55</t>
  </si>
  <si>
    <t>30/07/2023 09:43:18</t>
  </si>
  <si>
    <t>30/07/2023 10:04:02</t>
  </si>
  <si>
    <t>30/07/2023 10:54:25</t>
  </si>
  <si>
    <t>30/07/2023 10:55:16</t>
  </si>
  <si>
    <t>30/07/2023 11:07:20</t>
  </si>
  <si>
    <t>30/07/2023 11:48:09</t>
  </si>
  <si>
    <t>30/07/2023 12:03:15</t>
  </si>
  <si>
    <t>30/07/2023 12:26:38</t>
  </si>
  <si>
    <t>30/07/2023 12:27:22</t>
  </si>
  <si>
    <t>30/07/2023 12:50:18</t>
  </si>
  <si>
    <t>30/07/2023 12:50:19</t>
  </si>
  <si>
    <t>30/07/2023 12:52:25</t>
  </si>
  <si>
    <t>30/07/2023 13:37:57</t>
  </si>
  <si>
    <t>30/07/2023 13:39:15</t>
  </si>
  <si>
    <t>30/07/2023 13:47:03</t>
  </si>
  <si>
    <t>30/07/2023 13:48:32</t>
  </si>
  <si>
    <t>30/07/2023 13:58:08</t>
  </si>
  <si>
    <t>30/07/2023 14:00:06</t>
  </si>
  <si>
    <t>30/07/2023 14:39:31</t>
  </si>
  <si>
    <t>26/08/2023 18:45:38</t>
  </si>
  <si>
    <t>Netherlands - 27 August</t>
  </si>
  <si>
    <t>26/08/2023 19:45:01</t>
  </si>
  <si>
    <t>26/08/2023 22:24:29</t>
  </si>
  <si>
    <t>27/08/2023 07:22:04</t>
  </si>
  <si>
    <t>27/08/2023 07:47:13</t>
  </si>
  <si>
    <t>27/08/2023 08:29:22</t>
  </si>
  <si>
    <t>27/08/2023 09:14:24</t>
  </si>
  <si>
    <t>27/08/2023 09:20:01</t>
  </si>
  <si>
    <t>27/08/2023 09:24:42</t>
  </si>
  <si>
    <t>27/08/2023 10:38:21</t>
  </si>
  <si>
    <t>27/08/2023 10:39:42</t>
  </si>
  <si>
    <t>27/08/2023 10:52:23</t>
  </si>
  <si>
    <t>27/08/2023 12:46:50</t>
  </si>
  <si>
    <t>27/08/2023 12:47:51</t>
  </si>
  <si>
    <t>27/08/2023 13:12:04</t>
  </si>
  <si>
    <t>27/08/2023 13:25:50</t>
  </si>
  <si>
    <t>27/08/2023 13:28:00</t>
  </si>
  <si>
    <t>27/08/2023 13:34:55</t>
  </si>
  <si>
    <t>27/08/2023 13:48:48</t>
  </si>
  <si>
    <t>27/08/2023 13:59:59</t>
  </si>
  <si>
    <t>27/08/2023 14:18:28</t>
  </si>
  <si>
    <t>Liam LawsonAlphaTauri</t>
  </si>
  <si>
    <t>Liam Lawson - Alpha Tauri</t>
  </si>
  <si>
    <t>27/08/2023 18:20:38</t>
  </si>
  <si>
    <t>02/09/2023 18:10:55</t>
  </si>
  <si>
    <t>Italy - 3 September</t>
  </si>
  <si>
    <t>02/09/2023 18:59:05</t>
  </si>
  <si>
    <t>02/09/2023 19:48:27</t>
  </si>
  <si>
    <t>02/09/2023 23:56:27</t>
  </si>
  <si>
    <t>03/09/2023 06:26:06</t>
  </si>
  <si>
    <t>03/09/2023 10:27:05</t>
  </si>
  <si>
    <t>03/09/2023 11:24:23</t>
  </si>
  <si>
    <t>03/09/2023 11:29:25</t>
  </si>
  <si>
    <t>03/09/2023 12:29:37</t>
  </si>
  <si>
    <t>03/09/2023 12:33:53</t>
  </si>
  <si>
    <t>03/09/2023 12:54:07</t>
  </si>
  <si>
    <t>03/09/2023 12:54:59</t>
  </si>
  <si>
    <t>03/09/2023 12:56:07</t>
  </si>
  <si>
    <t>03/09/2023 12:58:05</t>
  </si>
  <si>
    <t>03/09/2023 13:11:27</t>
  </si>
  <si>
    <t>03/09/2023 13:11:58</t>
  </si>
  <si>
    <t>03/09/2023 13:26:53</t>
  </si>
  <si>
    <t>03/09/2023 13:29:51</t>
  </si>
  <si>
    <t>03/09/2023 13:37:53</t>
  </si>
  <si>
    <t>03/09/2023 13:41:29</t>
  </si>
  <si>
    <t>03/09/2023 13:46:07</t>
  </si>
  <si>
    <t>03/09/2023 13:56:43</t>
  </si>
  <si>
    <t>03/09/2023 14:03:51</t>
  </si>
  <si>
    <t>03/09/2023 14:06:39</t>
  </si>
  <si>
    <t>Liam Lawson - AlphaTauri</t>
  </si>
  <si>
    <t>17/09/2023 07:45:41</t>
  </si>
  <si>
    <t>Singapore - 17 September</t>
  </si>
  <si>
    <t>17/09/2023 07:53:21</t>
  </si>
  <si>
    <t>17/09/2023 08:10:59</t>
  </si>
  <si>
    <t>17/09/2023 08:55:27</t>
  </si>
  <si>
    <t>17/09/2023 09:09:30</t>
  </si>
  <si>
    <t>17/09/2023 09:11:08</t>
  </si>
  <si>
    <t>17/09/2023 09:41:06</t>
  </si>
  <si>
    <t>17/09/2023 09:41:10</t>
  </si>
  <si>
    <t>17/09/2023 09:57:38</t>
  </si>
  <si>
    <t>17/09/2023 10:49:57</t>
  </si>
  <si>
    <t>17/09/2023 10:50:22</t>
  </si>
  <si>
    <t>17/09/2023 10:59:34</t>
  </si>
  <si>
    <t>17/09/2023 11:09:02</t>
  </si>
  <si>
    <t>17/09/2023 11:23:16</t>
  </si>
  <si>
    <t>17/09/2023 12:29:15</t>
  </si>
  <si>
    <t>17/09/2023 12:30:43</t>
  </si>
  <si>
    <t>17/09/2023 12:31:09</t>
  </si>
  <si>
    <t>17/09/2023 12:37:12</t>
  </si>
  <si>
    <t>17/09/2023 12:46:50</t>
  </si>
  <si>
    <t>17/09/2023 13:16:57</t>
  </si>
  <si>
    <t>17/09/2023 13:19:07</t>
  </si>
  <si>
    <t>17/09/2023 13:19:34</t>
  </si>
  <si>
    <t>17/09/2023 13:20:02</t>
  </si>
  <si>
    <t>17/09/2023 13:22:51</t>
  </si>
  <si>
    <t>17/09/2023 13:47:04</t>
  </si>
  <si>
    <t>22/09/2023 14:23:46</t>
  </si>
  <si>
    <t>Japan - 24 September</t>
  </si>
  <si>
    <t>22/09/2023 14:39:15</t>
  </si>
  <si>
    <t>23/09/2023 15:56:30</t>
  </si>
  <si>
    <t>Yuki Tsunoda - Alpha Tauri</t>
  </si>
  <si>
    <t>23/09/2023 16:41:17</t>
  </si>
  <si>
    <t>23/09/2023 16:45:21</t>
  </si>
  <si>
    <t>23/09/2023 17:01:40</t>
  </si>
  <si>
    <t>23/09/2023 17:25:12</t>
  </si>
  <si>
    <t>23/09/2023 17:38:18</t>
  </si>
  <si>
    <t>23/09/2023 17:39:22</t>
  </si>
  <si>
    <t>23/09/2023 17:55:19</t>
  </si>
  <si>
    <t>23/09/2023 18:02:41</t>
  </si>
  <si>
    <t>23/09/2023 18:48:41</t>
  </si>
  <si>
    <t>23/09/2023 19:39:11</t>
  </si>
  <si>
    <t>23/09/2023 21:07:04</t>
  </si>
  <si>
    <t>23/09/2023 21:38:48</t>
  </si>
  <si>
    <t>23/09/2023 21:57:45</t>
  </si>
  <si>
    <t>23/09/2023 22:09:56</t>
  </si>
  <si>
    <t>23/09/2023 23:00:36</t>
  </si>
  <si>
    <t>23/09/2023 23:42:12</t>
  </si>
  <si>
    <t>23/09/2023 23:49:03</t>
  </si>
  <si>
    <t>23/09/2023 23:59:41</t>
  </si>
  <si>
    <t>24/09/2023 05:58:59</t>
  </si>
  <si>
    <t>24/09/2023 05:59:29</t>
  </si>
  <si>
    <t>07/10/2023 22:06:31</t>
  </si>
  <si>
    <t>Qatar - 8 October</t>
  </si>
  <si>
    <t>08/10/2023 10:10:56</t>
  </si>
  <si>
    <t>08/10/2023 10:37:41</t>
  </si>
  <si>
    <t>08/10/2023 11:47:27</t>
  </si>
  <si>
    <t>08/10/2023 11:49:23</t>
  </si>
  <si>
    <t>08/10/2023 12:27:55</t>
  </si>
  <si>
    <t>08/10/2023 12:48:52</t>
  </si>
  <si>
    <t>08/10/2023 13:07:07</t>
  </si>
  <si>
    <t>08/10/2023 13:14:47</t>
  </si>
  <si>
    <t>08/10/2023 14:23:55</t>
  </si>
  <si>
    <t>08/10/2023 14:41:11</t>
  </si>
  <si>
    <t>08/10/2023 14:48:17</t>
  </si>
  <si>
    <t>08/10/2023 14:55:07</t>
  </si>
  <si>
    <t>08/10/2023 15:00:21</t>
  </si>
  <si>
    <t>08/10/2023 15:19:59</t>
  </si>
  <si>
    <t>08/10/2023 16:01:16</t>
  </si>
  <si>
    <t>08/10/2023 16:27:14</t>
  </si>
  <si>
    <t>08/10/2023 16:33:47</t>
  </si>
  <si>
    <t>08/10/2023 17:11:43</t>
  </si>
  <si>
    <t>08/10/2023 17:31:24</t>
  </si>
  <si>
    <t>08/10/2023 17:55:53</t>
  </si>
  <si>
    <t>08/10/2023 17:56:20</t>
  </si>
  <si>
    <t>08/10/2023 17:58:36</t>
  </si>
  <si>
    <t>08/10/2023 17:59:06</t>
  </si>
  <si>
    <t>08/10/2023 17:59:17</t>
  </si>
  <si>
    <t>21/10/2023 10:19:51</t>
  </si>
  <si>
    <t>United States - 22 October</t>
  </si>
  <si>
    <t>21/10/2023 13:20:30</t>
  </si>
  <si>
    <t>21/10/2023 13:20:49</t>
  </si>
  <si>
    <t>21/10/2023 23:24:17</t>
  </si>
  <si>
    <t>22/10/2023 11:45:05</t>
  </si>
  <si>
    <t>22/10/2023 11:48:05</t>
  </si>
  <si>
    <t>22/10/2023 16:34:39</t>
  </si>
  <si>
    <t>22/10/2023 16:59:55</t>
  </si>
  <si>
    <t>22/10/2023 17:11:59</t>
  </si>
  <si>
    <t>22/10/2023 17:14:41</t>
  </si>
  <si>
    <t>22/10/2023 18:52:01</t>
  </si>
  <si>
    <t>22/10/2023 18:52:35</t>
  </si>
  <si>
    <t>22/10/2023 19:08:22</t>
  </si>
  <si>
    <t>22/10/2023 19:11:39</t>
  </si>
  <si>
    <t>22/10/2023 19:23:19</t>
  </si>
  <si>
    <t>22/10/2023 19:38:07</t>
  </si>
  <si>
    <t>22/10/2023 19:59:36</t>
  </si>
  <si>
    <t>22/10/2023 19:59:59</t>
  </si>
  <si>
    <t>22/10/2023 20:01:08</t>
  </si>
  <si>
    <t>22/10/2023 20:11:58</t>
  </si>
  <si>
    <t>22/10/2023 20:23:41</t>
  </si>
  <si>
    <t>22/10/2023 20:24:25</t>
  </si>
  <si>
    <t>22/10/2023 20:27:56</t>
  </si>
  <si>
    <t>29/10/2023 11:33:29</t>
  </si>
  <si>
    <t>Mexico - 29 October</t>
  </si>
  <si>
    <t>29/10/2023 11:34:12</t>
  </si>
  <si>
    <t>29/10/2023 16:15:47</t>
  </si>
  <si>
    <t>29/10/2023 16:25:21</t>
  </si>
  <si>
    <t>29/10/2023 16:25:32</t>
  </si>
  <si>
    <t>29/10/2023 16:25:43</t>
  </si>
  <si>
    <t>29/10/2023 16:26:43</t>
  </si>
  <si>
    <t>29/10/2023 16:27:02</t>
  </si>
  <si>
    <t>29/10/2023 16:48:08</t>
  </si>
  <si>
    <t>29/10/2023 16:56:06</t>
  </si>
  <si>
    <t>29/10/2023 18:04:17</t>
  </si>
  <si>
    <t>29/10/2023 18:46:49</t>
  </si>
  <si>
    <t>29/10/2023 18:49:28</t>
  </si>
  <si>
    <t>29/10/2023 18:52:31</t>
  </si>
  <si>
    <t>29/10/2023 20:45:26</t>
  </si>
  <si>
    <t>29/10/2023 20:45:59</t>
  </si>
  <si>
    <t>29/10/2023 20:46:32</t>
  </si>
  <si>
    <t>29/10/2023 20:47:03</t>
  </si>
  <si>
    <t>29/10/2023 21:04:38</t>
  </si>
  <si>
    <t>29/10/2023 21:22:29</t>
  </si>
  <si>
    <t>29/10/2023 21:22:35</t>
  </si>
  <si>
    <t>29/10/2023 21:48:48</t>
  </si>
  <si>
    <t>29/10/2023 21:50:08</t>
  </si>
  <si>
    <t>05/11/2023 08:17:27</t>
  </si>
  <si>
    <t>Brazil - 5 November</t>
  </si>
  <si>
    <t>05/11/2023 09:18:13</t>
  </si>
  <si>
    <t>05/11/2023 09:20:12</t>
  </si>
  <si>
    <t>05/11/2023 10:59:57</t>
  </si>
  <si>
    <t>05/11/2023 11:05:54</t>
  </si>
  <si>
    <t>05/11/2023 13:12:30</t>
  </si>
  <si>
    <t>05/11/2023 13:33:52</t>
  </si>
  <si>
    <t>05/11/2023 13:38:16</t>
  </si>
  <si>
    <t>05/11/2023 15:32:14</t>
  </si>
  <si>
    <t>05/11/2023 15:33:39</t>
  </si>
  <si>
    <t>05/11/2023 16:09:51</t>
  </si>
  <si>
    <t>05/11/2023 16:26:40</t>
  </si>
  <si>
    <t>05/11/2023 17:22:01</t>
  </si>
  <si>
    <t>05/11/2023 17:22:24</t>
  </si>
  <si>
    <t>05/11/2023 17:25:35</t>
  </si>
  <si>
    <t>05/11/2023 17:25:56</t>
  </si>
  <si>
    <t>05/11/2023 17:30:32</t>
  </si>
  <si>
    <t>05/11/2023 17:52:05</t>
  </si>
  <si>
    <t>05/11/2023 17:52:47</t>
  </si>
  <si>
    <t>05/11/2023 17:53:12</t>
  </si>
  <si>
    <t>05/11/2023 18:12:16</t>
  </si>
  <si>
    <t>05/11/2023 18:37:00</t>
  </si>
  <si>
    <t>05/11/2023 18:37:50</t>
  </si>
  <si>
    <t>19</t>
  </si>
  <si>
    <t>20</t>
  </si>
  <si>
    <t>18/11/2023 13:48:48</t>
  </si>
  <si>
    <t>Las Vegas - 18 November</t>
  </si>
  <si>
    <t>18/11/2023 14:48:09</t>
  </si>
  <si>
    <t>18/11/2023 19:25:46</t>
  </si>
  <si>
    <t>18/11/2023 19:26:58</t>
  </si>
  <si>
    <t>18/11/2023 19:53:06</t>
  </si>
  <si>
    <t>18/11/2023 20:02:19</t>
  </si>
  <si>
    <t>18/11/2023 20:13:57</t>
  </si>
  <si>
    <t>18/11/2023 21:07:47</t>
  </si>
  <si>
    <t>18/11/2023 21:11:47</t>
  </si>
  <si>
    <t>18/11/2023 21:17:06</t>
  </si>
  <si>
    <t>18/11/2023 21:31:38</t>
  </si>
  <si>
    <t>18/11/2023 21:56:25</t>
  </si>
  <si>
    <t>18/11/2023 22:09:52</t>
  </si>
  <si>
    <t>18/11/2023 22:34:15</t>
  </si>
  <si>
    <t>18/11/2023 22:42:53</t>
  </si>
  <si>
    <t>18/11/2023 23:05:48</t>
  </si>
  <si>
    <t>18/11/2023 23:12:14</t>
  </si>
  <si>
    <t>19/11/2023 01:50:07</t>
  </si>
  <si>
    <t>19/11/2023 06:15:21</t>
  </si>
  <si>
    <t>19/11/2023 06:52:54</t>
  </si>
  <si>
    <t>19/11/2023 06:53:04</t>
  </si>
  <si>
    <t>19/11/2023 07:05:23</t>
  </si>
  <si>
    <t>19/11/2023 08:14:50</t>
  </si>
  <si>
    <t>19/11/2023 08:15:53</t>
  </si>
  <si>
    <t>15</t>
  </si>
  <si>
    <t>16</t>
  </si>
  <si>
    <t>17</t>
  </si>
  <si>
    <t>Best Memes</t>
  </si>
  <si>
    <t>Master Commentator</t>
  </si>
  <si>
    <t>Random Question</t>
  </si>
  <si>
    <t>Random Award</t>
  </si>
  <si>
    <t>25/11/2023 19:29:57</t>
  </si>
  <si>
    <t>Abu Dhabi - 26 November</t>
  </si>
  <si>
    <t>25/11/2023 19:50:03</t>
  </si>
  <si>
    <t>25/11/2023 21:43:11</t>
  </si>
  <si>
    <t>26/11/2023 09:58:52</t>
  </si>
  <si>
    <t>26/11/2023 10:02:47</t>
  </si>
  <si>
    <t>Oscar and Lee for perseverance.</t>
  </si>
  <si>
    <t>26/11/2023 10:09:04</t>
  </si>
  <si>
    <t>26/11/2023 10:38:12</t>
  </si>
  <si>
    <t>26/11/2023 10:45:03</t>
  </si>
  <si>
    <t>Sneaky points award goes to Petra</t>
  </si>
  <si>
    <t>26/11/2023 11:08:31</t>
  </si>
  <si>
    <t>26/11/2023 12:00:23</t>
  </si>
  <si>
    <t>Oscar-Race controller and Group principal for keeping everyone on track everywhere with reminders ;)</t>
  </si>
  <si>
    <t>26/11/2023 12:09:17</t>
  </si>
  <si>
    <t>Best organisers - Lee Nico and Oscar (and whoever else helped behind the scenes - Frank maybe??) love you bye</t>
  </si>
  <si>
    <t>26/11/2023 12:09:27</t>
  </si>
  <si>
    <t>26/11/2023 12:44:58</t>
  </si>
  <si>
    <t>26/11/2023 13:43:06</t>
  </si>
  <si>
    <t>Zero to Hero: The person who came in from behind to come top 5 or top 10 or something like that. I don't know who should get it though, I haven't analysed all the historical results, but maybe someone good with excel and who sits with the data can draw a line graph with the names and placements after each race and that way you could quite quickly pick up whether someone deserves the award.</t>
  </si>
  <si>
    <t>26/11/2023 13:54:26</t>
  </si>
  <si>
    <t>26/11/2023 14:00:52</t>
  </si>
  <si>
    <t>The lucky one- the one that knows absolutely nothing about F1 but finished the highest</t>
  </si>
  <si>
    <t>26/11/2023 14:10:33</t>
  </si>
  <si>
    <t>The bad luck charm award_x000D_
Awarded to the person who's drivers crashed the most</t>
  </si>
  <si>
    <t>26/11/2023 14:44:14</t>
  </si>
  <si>
    <t>26/11/2023 14:44:38</t>
  </si>
  <si>
    <t>26/11/2023 14:47:55</t>
  </si>
  <si>
    <t>26/11/2023 14:48:54</t>
  </si>
  <si>
    <t>26/11/2023 14:53:59</t>
  </si>
  <si>
    <t>R1000000 for the winner</t>
  </si>
  <si>
    <t>26/11/2023 14:57:14</t>
  </si>
  <si>
    <t>26/11/2023 15:06:36</t>
  </si>
  <si>
    <t>1:28.545</t>
  </si>
  <si>
    <t>+ 17.993</t>
  </si>
  <si>
    <t>+ 20.328</t>
  </si>
  <si>
    <t>+ 21.453</t>
  </si>
  <si>
    <t>+ 24.284</t>
  </si>
  <si>
    <t>+ 31.487</t>
  </si>
  <si>
    <t>+ 39.512</t>
  </si>
  <si>
    <t>+ 43.088</t>
  </si>
  <si>
    <t>+ 44.424</t>
  </si>
  <si>
    <t>+ 55.632</t>
  </si>
  <si>
    <t>+ 56.229</t>
  </si>
  <si>
    <t>+ 66.373</t>
  </si>
  <si>
    <t>+ 70.360</t>
  </si>
  <si>
    <t>+ 73.184</t>
  </si>
  <si>
    <t>+ 83.696</t>
  </si>
  <si>
    <t>+ 87.791</t>
  </si>
  <si>
    <t>+ 89.422</t>
  </si>
  <si>
    <t>+ 1 LAP</t>
  </si>
  <si>
    <t>R</t>
  </si>
  <si>
    <t>+ 1 LAPS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</si>
</sst>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rgb="FF808080"/>
      <name val="Calibri"/>
    </font>
    <font>
      <b/>
      <i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9" fontId="22" fillId="0" borderId="0" applyFont="0" applyFill="0" applyBorder="0" applyAlignment="0" applyProtection="0"/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0" borderId="4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0" fontId="0" fillId="6" borderId="0" xfId="0" applyFill="1"/>
    <xf numFmtId="0" fontId="3" fillId="6" borderId="6" xfId="0" applyFont="1" applyFill="1" applyBorder="1" applyAlignment="1">
      <alignment wrapText="1"/>
    </xf>
    <xf numFmtId="0" fontId="2" fillId="6" borderId="5" xfId="0" applyFont="1" applyFill="1" applyBorder="1"/>
    <xf numFmtId="0" fontId="7" fillId="0" borderId="0" xfId="0" applyFont="1"/>
    <xf numFmtId="0" fontId="8" fillId="5" borderId="2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wrapText="1"/>
    </xf>
    <xf numFmtId="0" fontId="2" fillId="0" borderId="5" xfId="0" applyFont="1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/>
    <xf numFmtId="0" fontId="3" fillId="0" borderId="0" xfId="0" applyFont="1" applyAlignment="1">
      <alignment vertical="center"/>
    </xf>
    <xf numFmtId="0" fontId="3" fillId="0" borderId="0" xfId="0" applyFont="1"/>
    <xf numFmtId="0" fontId="3" fillId="6" borderId="8" xfId="0" applyFont="1" applyFill="1" applyBorder="1" applyAlignment="1">
      <alignment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2" fillId="7" borderId="5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indent="1"/>
    </xf>
    <xf numFmtId="0" fontId="2" fillId="0" borderId="0" xfId="0" applyFont="1" applyAlignment="1">
      <alignment horizontal="left" indent="1"/>
    </xf>
    <xf numFmtId="0" fontId="3" fillId="6" borderId="9" xfId="0" applyFont="1" applyFill="1" applyBorder="1" applyAlignment="1">
      <alignment readingOrder="1"/>
    </xf>
    <xf numFmtId="0" fontId="3" fillId="6" borderId="10" xfId="0" applyFont="1" applyFill="1" applyBorder="1" applyAlignment="1">
      <alignment readingOrder="1"/>
    </xf>
    <xf numFmtId="0" fontId="3" fillId="6" borderId="11" xfId="0" applyFont="1" applyFill="1" applyBorder="1" applyAlignment="1">
      <alignment readingOrder="1"/>
    </xf>
    <xf numFmtId="1" fontId="0" fillId="0" borderId="0" xfId="0" applyNumberFormat="1" applyAlignment="1">
      <alignment horizontal="center" vertical="center"/>
    </xf>
    <xf numFmtId="0" fontId="2" fillId="8" borderId="0" xfId="0" applyFont="1" applyFill="1"/>
    <xf numFmtId="0" fontId="0" fillId="8" borderId="0" xfId="0" applyFill="1"/>
    <xf numFmtId="0" fontId="0" fillId="8" borderId="0" xfId="0" applyFill="1" applyAlignment="1">
      <alignment wrapText="1"/>
    </xf>
    <xf numFmtId="0" fontId="16" fillId="0" borderId="0" xfId="0" applyFont="1"/>
    <xf numFmtId="0" fontId="0" fillId="9" borderId="0" xfId="0" applyFill="1"/>
    <xf numFmtId="0" fontId="0" fillId="9" borderId="0" xfId="0" applyFill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15" fillId="9" borderId="5" xfId="0" applyFont="1" applyFill="1" applyBorder="1" applyAlignment="1">
      <alignment horizontal="left"/>
    </xf>
    <xf numFmtId="0" fontId="2" fillId="9" borderId="5" xfId="0" applyFont="1" applyFill="1" applyBorder="1"/>
    <xf numFmtId="0" fontId="2" fillId="9" borderId="5" xfId="0" applyFont="1" applyFill="1" applyBorder="1" applyAlignment="1">
      <alignment horizontal="center"/>
    </xf>
    <xf numFmtId="0" fontId="16" fillId="9" borderId="0" xfId="0" applyFont="1" applyFill="1" applyAlignment="1">
      <alignment horizontal="left"/>
    </xf>
    <xf numFmtId="1" fontId="10" fillId="9" borderId="0" xfId="0" applyNumberFormat="1" applyFont="1" applyFill="1" applyAlignment="1">
      <alignment horizontal="left"/>
    </xf>
    <xf numFmtId="0" fontId="8" fillId="5" borderId="7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2" fillId="10" borderId="0" xfId="0" applyFont="1" applyFill="1" applyAlignment="1">
      <alignment horizontal="left"/>
    </xf>
    <xf numFmtId="0" fontId="4" fillId="0" borderId="0" xfId="0" applyFont="1" applyAlignment="1">
      <alignment horizontal="right" indent="1"/>
    </xf>
    <xf numFmtId="0" fontId="12" fillId="0" borderId="0" xfId="0" applyFont="1" applyAlignment="1">
      <alignment horizontal="right" vertical="top" wrapText="1" inden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8" borderId="0" xfId="0" applyFill="1" applyAlignment="1">
      <alignment horizontal="left"/>
    </xf>
    <xf numFmtId="0" fontId="17" fillId="8" borderId="0" xfId="0" applyFont="1" applyFill="1" applyAlignment="1">
      <alignment horizontal="center" vertical="center" wrapText="1"/>
    </xf>
    <xf numFmtId="0" fontId="2" fillId="8" borderId="5" xfId="0" applyFon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2" fillId="8" borderId="5" xfId="0" applyFont="1" applyFill="1" applyBorder="1" applyAlignment="1">
      <alignment horizontal="center" vertical="center" wrapText="1"/>
    </xf>
    <xf numFmtId="1" fontId="0" fillId="8" borderId="0" xfId="0" applyNumberFormat="1" applyFill="1" applyAlignment="1">
      <alignment horizontal="left"/>
    </xf>
    <xf numFmtId="0" fontId="0" fillId="0" borderId="0" xfId="0" pivotButton="1"/>
    <xf numFmtId="0" fontId="18" fillId="0" borderId="0" xfId="0" applyFont="1"/>
    <xf numFmtId="0" fontId="2" fillId="0" borderId="13" xfId="0" applyFont="1" applyBorder="1"/>
    <xf numFmtId="2" fontId="0" fillId="0" borderId="0" xfId="0" applyNumberFormat="1" applyAlignment="1">
      <alignment horizontal="center"/>
    </xf>
    <xf numFmtId="0" fontId="0" fillId="0" borderId="12" xfId="0" applyBorder="1"/>
    <xf numFmtId="0" fontId="0" fillId="11" borderId="0" xfId="0" applyFill="1" applyAlignment="1">
      <alignment horizontal="center"/>
    </xf>
    <xf numFmtId="0" fontId="19" fillId="0" borderId="0" xfId="0" applyFont="1"/>
    <xf numFmtId="0" fontId="0" fillId="10" borderId="0" xfId="0" applyFill="1"/>
    <xf numFmtId="0" fontId="16" fillId="0" borderId="5" xfId="0" applyFont="1" applyBorder="1"/>
    <xf numFmtId="0" fontId="14" fillId="0" borderId="5" xfId="0" applyFont="1" applyBorder="1"/>
    <xf numFmtId="0" fontId="14" fillId="0" borderId="0" xfId="0" applyFont="1"/>
    <xf numFmtId="0" fontId="20" fillId="0" borderId="0" xfId="0" applyFont="1"/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 indent="1"/>
    </xf>
    <xf numFmtId="1" fontId="11" fillId="0" borderId="0" xfId="0" applyNumberFormat="1" applyFont="1" applyAlignment="1">
      <alignment horizontal="left"/>
    </xf>
    <xf numFmtId="0" fontId="21" fillId="0" borderId="0" xfId="0" applyFont="1"/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/>
    <xf numFmtId="1" fontId="0" fillId="0" borderId="12" xfId="0" applyNumberFormat="1" applyBorder="1"/>
    <xf numFmtId="0" fontId="19" fillId="0" borderId="0" xfId="0" applyFont="1" applyAlignment="1">
      <alignment horizontal="right" indent="1"/>
    </xf>
    <xf numFmtId="0" fontId="24" fillId="0" borderId="0" xfId="0" applyFont="1" applyAlignment="1">
      <alignment horizontal="right" vertical="top" wrapText="1" indent="1"/>
    </xf>
    <xf numFmtId="1" fontId="2" fillId="0" borderId="0" xfId="0" applyNumberFormat="1" applyFont="1" applyAlignment="1">
      <alignment horizontal="right" indent="1"/>
    </xf>
    <xf numFmtId="0" fontId="2" fillId="8" borderId="0" xfId="0" applyFont="1" applyFill="1" applyAlignment="1">
      <alignment horizontal="right" indent="1"/>
    </xf>
    <xf numFmtId="0" fontId="2" fillId="8" borderId="5" xfId="0" applyFont="1" applyFill="1" applyBorder="1" applyAlignment="1">
      <alignment horizontal="right" indent="1"/>
    </xf>
    <xf numFmtId="0" fontId="25" fillId="0" borderId="0" xfId="0" applyFont="1" applyAlignment="1">
      <alignment horizontal="center" vertical="center" wrapText="1"/>
    </xf>
    <xf numFmtId="14" fontId="26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4" fontId="0" fillId="0" borderId="0" xfId="0" applyNumberFormat="1"/>
    <xf numFmtId="0" fontId="0" fillId="12" borderId="0" xfId="0" applyFill="1"/>
    <xf numFmtId="164" fontId="0" fillId="0" borderId="0" xfId="0" applyNumberFormat="1" applyAlignment="1">
      <alignment horizontal="right"/>
    </xf>
    <xf numFmtId="10" fontId="0" fillId="0" borderId="0" xfId="0" applyNumberFormat="1"/>
    <xf numFmtId="165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0" fontId="27" fillId="0" borderId="0" xfId="0" applyFont="1" applyAlignment="1">
      <alignment horizontal="right" indent="1"/>
    </xf>
    <xf numFmtId="2" fontId="0" fillId="0" borderId="0" xfId="1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164" fontId="0" fillId="0" borderId="0" xfId="1" applyNumberFormat="1" applyFont="1" applyFill="1" applyAlignment="1">
      <alignment horizontal="center"/>
    </xf>
    <xf numFmtId="9" fontId="0" fillId="0" borderId="0" xfId="1" applyFont="1" applyFill="1" applyAlignment="1">
      <alignment horizontal="center"/>
    </xf>
    <xf numFmtId="0" fontId="2" fillId="6" borderId="0" xfId="0" applyFont="1" applyFill="1"/>
    <xf numFmtId="0" fontId="0" fillId="6" borderId="0" xfId="0" applyFill="1" applyAlignment="1">
      <alignment horizontal="center"/>
    </xf>
    <xf numFmtId="0" fontId="0" fillId="4" borderId="0" xfId="0" applyFill="1"/>
    <xf numFmtId="0" fontId="0" fillId="3" borderId="0" xfId="0" applyFill="1"/>
    <xf numFmtId="0" fontId="29" fillId="5" borderId="2" xfId="0" applyFont="1" applyFill="1" applyBorder="1" applyAlignment="1">
      <alignment horizontal="center" vertical="top" wrapText="1"/>
    </xf>
    <xf numFmtId="0" fontId="29" fillId="5" borderId="3" xfId="0" applyFont="1" applyFill="1" applyBorder="1" applyAlignment="1">
      <alignment horizontal="center" vertical="top" wrapText="1"/>
    </xf>
  </cellXfs>
  <cellStyles count="2">
    <cellStyle name="Normal" xfId="0" builtinId="0"/>
    <cellStyle name="Percent" xfId="1" builtinId="5"/>
  </cellStyles>
  <dxfs count="112">
    <dxf>
      <font>
        <color rgb="FF006100"/>
      </font>
      <fill>
        <patternFill>
          <bgColor rgb="FFC6EFCE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</font>
      <numFmt numFmtId="1" formatCode="0"/>
      <alignment horizontal="right" textRotation="0" indent="1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66CC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800"/>
              <a:t>Standings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098490641425729E-2"/>
          <c:y val="8.7931128109580828E-2"/>
          <c:w val="0.75586679617803676"/>
          <c:h val="0.798533054949581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'Results (2)'!$B$92</c:f>
              <c:strCache>
                <c:ptCount val="1"/>
                <c:pt idx="0">
                  <c:v>Markus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(2)'!$H$92:$AC$92</c:f>
              <c:numCache>
                <c:formatCode>0</c:formatCode>
                <c:ptCount val="21"/>
                <c:pt idx="0">
                  <c:v>9</c:v>
                </c:pt>
                <c:pt idx="1">
                  <c:v>13</c:v>
                </c:pt>
                <c:pt idx="2">
                  <c:v>38</c:v>
                </c:pt>
                <c:pt idx="3">
                  <c:v>47</c:v>
                </c:pt>
                <c:pt idx="4">
                  <c:v>57</c:v>
                </c:pt>
                <c:pt idx="5">
                  <c:v>69</c:v>
                </c:pt>
                <c:pt idx="6">
                  <c:v>84</c:v>
                </c:pt>
                <c:pt idx="7">
                  <c:v>96.5</c:v>
                </c:pt>
                <c:pt idx="8">
                  <c:v>108.5</c:v>
                </c:pt>
                <c:pt idx="9">
                  <c:v>118.5</c:v>
                </c:pt>
                <c:pt idx="10">
                  <c:v>133.5</c:v>
                </c:pt>
                <c:pt idx="11">
                  <c:v>151.5</c:v>
                </c:pt>
                <c:pt idx="12">
                  <c:v>164</c:v>
                </c:pt>
                <c:pt idx="13">
                  <c:v>176.5</c:v>
                </c:pt>
                <c:pt idx="14">
                  <c:v>194.5</c:v>
                </c:pt>
                <c:pt idx="15">
                  <c:v>206.5</c:v>
                </c:pt>
                <c:pt idx="16">
                  <c:v>216.5</c:v>
                </c:pt>
                <c:pt idx="17">
                  <c:v>219.5</c:v>
                </c:pt>
                <c:pt idx="18">
                  <c:v>227.5</c:v>
                </c:pt>
                <c:pt idx="19">
                  <c:v>233.5</c:v>
                </c:pt>
                <c:pt idx="20">
                  <c:v>243.5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F-47F2-A3F6-4F0D7EB97F80}"/>
            </c:ext>
          </c:extLst>
        </c:ser>
        <c:ser>
          <c:idx val="1"/>
          <c:order val="1"/>
          <c:tx>
            <c:strRef>
              <c:f>'Results (2)'!$B$93</c:f>
              <c:strCache>
                <c:ptCount val="1"/>
                <c:pt idx="0">
                  <c:v>Kristel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(2)'!$H$93:$AC$93</c:f>
              <c:numCache>
                <c:formatCode>0</c:formatCode>
                <c:ptCount val="21"/>
                <c:pt idx="0">
                  <c:v>3</c:v>
                </c:pt>
                <c:pt idx="1">
                  <c:v>11</c:v>
                </c:pt>
                <c:pt idx="2">
                  <c:v>26</c:v>
                </c:pt>
                <c:pt idx="3">
                  <c:v>51</c:v>
                </c:pt>
                <c:pt idx="4">
                  <c:v>63.5</c:v>
                </c:pt>
                <c:pt idx="5">
                  <c:v>69.5</c:v>
                </c:pt>
                <c:pt idx="6">
                  <c:v>84.5</c:v>
                </c:pt>
                <c:pt idx="7">
                  <c:v>109.5</c:v>
                </c:pt>
                <c:pt idx="8">
                  <c:v>109.5</c:v>
                </c:pt>
                <c:pt idx="9">
                  <c:v>122</c:v>
                </c:pt>
                <c:pt idx="10">
                  <c:v>137</c:v>
                </c:pt>
                <c:pt idx="11">
                  <c:v>152</c:v>
                </c:pt>
                <c:pt idx="12">
                  <c:v>162</c:v>
                </c:pt>
                <c:pt idx="13">
                  <c:v>171</c:v>
                </c:pt>
                <c:pt idx="14">
                  <c:v>189</c:v>
                </c:pt>
                <c:pt idx="15">
                  <c:v>197</c:v>
                </c:pt>
                <c:pt idx="16">
                  <c:v>197</c:v>
                </c:pt>
                <c:pt idx="17">
                  <c:v>206</c:v>
                </c:pt>
                <c:pt idx="18">
                  <c:v>218.5</c:v>
                </c:pt>
                <c:pt idx="19">
                  <c:v>228.5</c:v>
                </c:pt>
                <c:pt idx="20">
                  <c:v>240.5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3F-47F2-A3F6-4F0D7EB97F80}"/>
            </c:ext>
          </c:extLst>
        </c:ser>
        <c:ser>
          <c:idx val="2"/>
          <c:order val="2"/>
          <c:tx>
            <c:strRef>
              <c:f>'Results (2)'!$B$94</c:f>
              <c:strCache>
                <c:ptCount val="1"/>
                <c:pt idx="0">
                  <c:v>Suzzy B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(2)'!$H$94:$AC$94</c:f>
              <c:numCache>
                <c:formatCode>0</c:formatCode>
                <c:ptCount val="21"/>
                <c:pt idx="0">
                  <c:v>25</c:v>
                </c:pt>
                <c:pt idx="1">
                  <c:v>50</c:v>
                </c:pt>
                <c:pt idx="2">
                  <c:v>55</c:v>
                </c:pt>
                <c:pt idx="3">
                  <c:v>57</c:v>
                </c:pt>
                <c:pt idx="4">
                  <c:v>82</c:v>
                </c:pt>
                <c:pt idx="5">
                  <c:v>91</c:v>
                </c:pt>
                <c:pt idx="6">
                  <c:v>106</c:v>
                </c:pt>
                <c:pt idx="7">
                  <c:v>107</c:v>
                </c:pt>
                <c:pt idx="8">
                  <c:v>119</c:v>
                </c:pt>
                <c:pt idx="9">
                  <c:v>125</c:v>
                </c:pt>
                <c:pt idx="10">
                  <c:v>150</c:v>
                </c:pt>
                <c:pt idx="11">
                  <c:v>150</c:v>
                </c:pt>
                <c:pt idx="12">
                  <c:v>160</c:v>
                </c:pt>
                <c:pt idx="13">
                  <c:v>167.5</c:v>
                </c:pt>
                <c:pt idx="14">
                  <c:v>175</c:v>
                </c:pt>
                <c:pt idx="15">
                  <c:v>179</c:v>
                </c:pt>
                <c:pt idx="16">
                  <c:v>191</c:v>
                </c:pt>
                <c:pt idx="17">
                  <c:v>203</c:v>
                </c:pt>
                <c:pt idx="18">
                  <c:v>213</c:v>
                </c:pt>
                <c:pt idx="19">
                  <c:v>219</c:v>
                </c:pt>
                <c:pt idx="20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3F-47F2-A3F6-4F0D7EB97F80}"/>
            </c:ext>
          </c:extLst>
        </c:ser>
        <c:ser>
          <c:idx val="3"/>
          <c:order val="3"/>
          <c:tx>
            <c:strRef>
              <c:f>'Results (2)'!$B$95</c:f>
              <c:strCache>
                <c:ptCount val="1"/>
                <c:pt idx="0">
                  <c:v>Wade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(2)'!$H$95:$AC$95</c:f>
              <c:numCache>
                <c:formatCode>0</c:formatCode>
                <c:ptCount val="21"/>
                <c:pt idx="0">
                  <c:v>18</c:v>
                </c:pt>
                <c:pt idx="1">
                  <c:v>43</c:v>
                </c:pt>
                <c:pt idx="2">
                  <c:v>55.5</c:v>
                </c:pt>
                <c:pt idx="3">
                  <c:v>67.5</c:v>
                </c:pt>
                <c:pt idx="4">
                  <c:v>76.5</c:v>
                </c:pt>
                <c:pt idx="5">
                  <c:v>86.5</c:v>
                </c:pt>
                <c:pt idx="6">
                  <c:v>95.5</c:v>
                </c:pt>
                <c:pt idx="7">
                  <c:v>108</c:v>
                </c:pt>
                <c:pt idx="8">
                  <c:v>108</c:v>
                </c:pt>
                <c:pt idx="9">
                  <c:v>114</c:v>
                </c:pt>
                <c:pt idx="10">
                  <c:v>129</c:v>
                </c:pt>
                <c:pt idx="11">
                  <c:v>136.5</c:v>
                </c:pt>
                <c:pt idx="12">
                  <c:v>144</c:v>
                </c:pt>
                <c:pt idx="13">
                  <c:v>169</c:v>
                </c:pt>
                <c:pt idx="14">
                  <c:v>184</c:v>
                </c:pt>
                <c:pt idx="15">
                  <c:v>194</c:v>
                </c:pt>
                <c:pt idx="16">
                  <c:v>200</c:v>
                </c:pt>
                <c:pt idx="17">
                  <c:v>207.5</c:v>
                </c:pt>
                <c:pt idx="18">
                  <c:v>208.5</c:v>
                </c:pt>
                <c:pt idx="19">
                  <c:v>213.5</c:v>
                </c:pt>
                <c:pt idx="20">
                  <c:v>225.5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3F-47F2-A3F6-4F0D7EB97F80}"/>
            </c:ext>
          </c:extLst>
        </c:ser>
        <c:ser>
          <c:idx val="4"/>
          <c:order val="4"/>
          <c:tx>
            <c:strRef>
              <c:f>'Results (2)'!$B$96</c:f>
              <c:strCache>
                <c:ptCount val="1"/>
                <c:pt idx="0">
                  <c:v>Joshua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(2)'!$H$96:$AC$96</c:f>
              <c:numCache>
                <c:formatCode>0</c:formatCode>
                <c:ptCount val="21"/>
                <c:pt idx="0">
                  <c:v>6</c:v>
                </c:pt>
                <c:pt idx="1">
                  <c:v>31</c:v>
                </c:pt>
                <c:pt idx="2">
                  <c:v>31.25</c:v>
                </c:pt>
                <c:pt idx="3">
                  <c:v>43.25</c:v>
                </c:pt>
                <c:pt idx="4">
                  <c:v>43.75</c:v>
                </c:pt>
                <c:pt idx="5">
                  <c:v>68.75</c:v>
                </c:pt>
                <c:pt idx="6">
                  <c:v>76.25</c:v>
                </c:pt>
                <c:pt idx="7">
                  <c:v>76.5</c:v>
                </c:pt>
                <c:pt idx="8">
                  <c:v>78.5</c:v>
                </c:pt>
                <c:pt idx="9">
                  <c:v>91</c:v>
                </c:pt>
                <c:pt idx="10">
                  <c:v>109</c:v>
                </c:pt>
                <c:pt idx="11">
                  <c:v>127</c:v>
                </c:pt>
                <c:pt idx="12">
                  <c:v>137</c:v>
                </c:pt>
                <c:pt idx="13">
                  <c:v>152</c:v>
                </c:pt>
                <c:pt idx="14">
                  <c:v>167</c:v>
                </c:pt>
                <c:pt idx="15">
                  <c:v>175</c:v>
                </c:pt>
                <c:pt idx="16">
                  <c:v>187.5</c:v>
                </c:pt>
                <c:pt idx="17">
                  <c:v>187.75</c:v>
                </c:pt>
                <c:pt idx="18">
                  <c:v>212.75</c:v>
                </c:pt>
                <c:pt idx="19">
                  <c:v>213.25</c:v>
                </c:pt>
                <c:pt idx="20">
                  <c:v>218.25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3F-47F2-A3F6-4F0D7EB97F80}"/>
            </c:ext>
          </c:extLst>
        </c:ser>
        <c:ser>
          <c:idx val="10"/>
          <c:order val="10"/>
          <c:tx>
            <c:strRef>
              <c:f>'Results (2)'!$B$102</c:f>
              <c:strCache>
                <c:ptCount val="1"/>
                <c:pt idx="0">
                  <c:v>Oscar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(2)'!$H$102:$AC$102</c:f>
              <c:numCache>
                <c:formatCode>0</c:formatCode>
                <c:ptCount val="21"/>
                <c:pt idx="0">
                  <c:v>6</c:v>
                </c:pt>
                <c:pt idx="1">
                  <c:v>10</c:v>
                </c:pt>
                <c:pt idx="2">
                  <c:v>35</c:v>
                </c:pt>
                <c:pt idx="3">
                  <c:v>53</c:v>
                </c:pt>
                <c:pt idx="4">
                  <c:v>57</c:v>
                </c:pt>
                <c:pt idx="5">
                  <c:v>57.5</c:v>
                </c:pt>
                <c:pt idx="6">
                  <c:v>69.5</c:v>
                </c:pt>
                <c:pt idx="7">
                  <c:v>94.5</c:v>
                </c:pt>
                <c:pt idx="8">
                  <c:v>106.5</c:v>
                </c:pt>
                <c:pt idx="9">
                  <c:v>109.5</c:v>
                </c:pt>
                <c:pt idx="10">
                  <c:v>124.5</c:v>
                </c:pt>
                <c:pt idx="11">
                  <c:v>124.5</c:v>
                </c:pt>
                <c:pt idx="12">
                  <c:v>124.5</c:v>
                </c:pt>
                <c:pt idx="13">
                  <c:v>132.5</c:v>
                </c:pt>
                <c:pt idx="14">
                  <c:v>142.5</c:v>
                </c:pt>
                <c:pt idx="15">
                  <c:v>167.5</c:v>
                </c:pt>
                <c:pt idx="16">
                  <c:v>167.75</c:v>
                </c:pt>
                <c:pt idx="17">
                  <c:v>175.75</c:v>
                </c:pt>
                <c:pt idx="18">
                  <c:v>184.75</c:v>
                </c:pt>
                <c:pt idx="19">
                  <c:v>184.75</c:v>
                </c:pt>
                <c:pt idx="20">
                  <c:v>196.75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3F-47F2-A3F6-4F0D7EB97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55023"/>
        <c:axId val="49955598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'Results (2)'!$B$97</c15:sqref>
                        </c15:formulaRef>
                      </c:ext>
                    </c:extLst>
                    <c:strCache>
                      <c:ptCount val="1"/>
                      <c:pt idx="0">
                        <c:v>Frank</c:v>
                      </c:pt>
                    </c:strCache>
                  </c:strRef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'Results (2)'!$H$97:$AC$97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8</c:v>
                      </c:pt>
                      <c:pt idx="2">
                        <c:v>33</c:v>
                      </c:pt>
                      <c:pt idx="3">
                        <c:v>51</c:v>
                      </c:pt>
                      <c:pt idx="4">
                        <c:v>60</c:v>
                      </c:pt>
                      <c:pt idx="5">
                        <c:v>60.5</c:v>
                      </c:pt>
                      <c:pt idx="6">
                        <c:v>75.5</c:v>
                      </c:pt>
                      <c:pt idx="7">
                        <c:v>100.5</c:v>
                      </c:pt>
                      <c:pt idx="8">
                        <c:v>100.5</c:v>
                      </c:pt>
                      <c:pt idx="9">
                        <c:v>110.5</c:v>
                      </c:pt>
                      <c:pt idx="10">
                        <c:v>128.5</c:v>
                      </c:pt>
                      <c:pt idx="11">
                        <c:v>146.5</c:v>
                      </c:pt>
                      <c:pt idx="12">
                        <c:v>154.5</c:v>
                      </c:pt>
                      <c:pt idx="13">
                        <c:v>166.5</c:v>
                      </c:pt>
                      <c:pt idx="14">
                        <c:v>166.5</c:v>
                      </c:pt>
                      <c:pt idx="15">
                        <c:v>178.5</c:v>
                      </c:pt>
                      <c:pt idx="16">
                        <c:v>184.5</c:v>
                      </c:pt>
                      <c:pt idx="17">
                        <c:v>184.5</c:v>
                      </c:pt>
                      <c:pt idx="18">
                        <c:v>197</c:v>
                      </c:pt>
                      <c:pt idx="19">
                        <c:v>203</c:v>
                      </c:pt>
                      <c:pt idx="20">
                        <c:v>215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AA3F-47F2-A3F6-4F0D7EB97F8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(2)'!$B$98</c15:sqref>
                        </c15:formulaRef>
                      </c:ext>
                    </c:extLst>
                    <c:strCache>
                      <c:ptCount val="1"/>
                      <c:pt idx="0">
                        <c:v>Jimbo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(2)'!$H$98:$AC$98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9</c:v>
                      </c:pt>
                      <c:pt idx="1">
                        <c:v>9</c:v>
                      </c:pt>
                      <c:pt idx="2">
                        <c:v>34</c:v>
                      </c:pt>
                      <c:pt idx="3">
                        <c:v>52</c:v>
                      </c:pt>
                      <c:pt idx="4">
                        <c:v>70</c:v>
                      </c:pt>
                      <c:pt idx="5">
                        <c:v>73</c:v>
                      </c:pt>
                      <c:pt idx="6">
                        <c:v>80.5</c:v>
                      </c:pt>
                      <c:pt idx="7">
                        <c:v>81.5</c:v>
                      </c:pt>
                      <c:pt idx="8">
                        <c:v>87.5</c:v>
                      </c:pt>
                      <c:pt idx="9">
                        <c:v>99.5</c:v>
                      </c:pt>
                      <c:pt idx="10">
                        <c:v>117.5</c:v>
                      </c:pt>
                      <c:pt idx="11">
                        <c:v>132.5</c:v>
                      </c:pt>
                      <c:pt idx="12">
                        <c:v>136.5</c:v>
                      </c:pt>
                      <c:pt idx="13">
                        <c:v>139.5</c:v>
                      </c:pt>
                      <c:pt idx="14">
                        <c:v>154.5</c:v>
                      </c:pt>
                      <c:pt idx="15">
                        <c:v>166.5</c:v>
                      </c:pt>
                      <c:pt idx="16">
                        <c:v>178.5</c:v>
                      </c:pt>
                      <c:pt idx="17">
                        <c:v>186</c:v>
                      </c:pt>
                      <c:pt idx="18">
                        <c:v>188</c:v>
                      </c:pt>
                      <c:pt idx="19">
                        <c:v>197</c:v>
                      </c:pt>
                      <c:pt idx="20">
                        <c:v>203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A3F-47F2-A3F6-4F0D7EB97F8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(2)'!$B$99</c15:sqref>
                        </c15:formulaRef>
                      </c:ext>
                    </c:extLst>
                    <c:strCache>
                      <c:ptCount val="1"/>
                      <c:pt idx="0">
                        <c:v>Mike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(2)'!$H$99:$AC$99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25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41</c:v>
                      </c:pt>
                      <c:pt idx="4">
                        <c:v>53.5</c:v>
                      </c:pt>
                      <c:pt idx="5">
                        <c:v>66</c:v>
                      </c:pt>
                      <c:pt idx="6">
                        <c:v>84</c:v>
                      </c:pt>
                      <c:pt idx="7">
                        <c:v>91.5</c:v>
                      </c:pt>
                      <c:pt idx="8">
                        <c:v>97.5</c:v>
                      </c:pt>
                      <c:pt idx="9">
                        <c:v>103.5</c:v>
                      </c:pt>
                      <c:pt idx="10">
                        <c:v>116</c:v>
                      </c:pt>
                      <c:pt idx="11">
                        <c:v>121</c:v>
                      </c:pt>
                      <c:pt idx="12">
                        <c:v>126</c:v>
                      </c:pt>
                      <c:pt idx="13">
                        <c:v>151</c:v>
                      </c:pt>
                      <c:pt idx="14">
                        <c:v>161</c:v>
                      </c:pt>
                      <c:pt idx="15">
                        <c:v>173</c:v>
                      </c:pt>
                      <c:pt idx="16">
                        <c:v>179</c:v>
                      </c:pt>
                      <c:pt idx="17">
                        <c:v>182</c:v>
                      </c:pt>
                      <c:pt idx="18">
                        <c:v>182</c:v>
                      </c:pt>
                      <c:pt idx="19">
                        <c:v>189.5</c:v>
                      </c:pt>
                      <c:pt idx="20">
                        <c:v>202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A3F-47F2-A3F6-4F0D7EB97F8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(2)'!$B$100</c15:sqref>
                        </c15:formulaRef>
                      </c:ext>
                    </c:extLst>
                    <c:strCache>
                      <c:ptCount val="1"/>
                      <c:pt idx="0">
                        <c:v>Nico SR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60000"/>
                      </a:schemeClr>
                    </a:solidFill>
                  </a:ln>
                  <a:effectLst>
                    <a:glow rad="139700">
                      <a:schemeClr val="accent3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(2)'!$H$100:$AC$100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7.5</c:v>
                      </c:pt>
                      <c:pt idx="1">
                        <c:v>11.5</c:v>
                      </c:pt>
                      <c:pt idx="2">
                        <c:v>11.75</c:v>
                      </c:pt>
                      <c:pt idx="3">
                        <c:v>17.75</c:v>
                      </c:pt>
                      <c:pt idx="4">
                        <c:v>35.75</c:v>
                      </c:pt>
                      <c:pt idx="5">
                        <c:v>48.25</c:v>
                      </c:pt>
                      <c:pt idx="6">
                        <c:v>54.25</c:v>
                      </c:pt>
                      <c:pt idx="7">
                        <c:v>66.75</c:v>
                      </c:pt>
                      <c:pt idx="8">
                        <c:v>68.75</c:v>
                      </c:pt>
                      <c:pt idx="9">
                        <c:v>93.75</c:v>
                      </c:pt>
                      <c:pt idx="10">
                        <c:v>111.75</c:v>
                      </c:pt>
                      <c:pt idx="11">
                        <c:v>126.75</c:v>
                      </c:pt>
                      <c:pt idx="12">
                        <c:v>131.75</c:v>
                      </c:pt>
                      <c:pt idx="13">
                        <c:v>135.75</c:v>
                      </c:pt>
                      <c:pt idx="14">
                        <c:v>148.25</c:v>
                      </c:pt>
                      <c:pt idx="15">
                        <c:v>158.25</c:v>
                      </c:pt>
                      <c:pt idx="16">
                        <c:v>162.25</c:v>
                      </c:pt>
                      <c:pt idx="17">
                        <c:v>170.25</c:v>
                      </c:pt>
                      <c:pt idx="18">
                        <c:v>173.25</c:v>
                      </c:pt>
                      <c:pt idx="19">
                        <c:v>188.25</c:v>
                      </c:pt>
                      <c:pt idx="20">
                        <c:v>200.75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A3F-47F2-A3F6-4F0D7EB97F8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(2)'!$B$101</c15:sqref>
                        </c15:formulaRef>
                      </c:ext>
                    </c:extLst>
                    <c:strCache>
                      <c:ptCount val="1"/>
                      <c:pt idx="0">
                        <c:v>Ilarie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60000"/>
                      </a:schemeClr>
                    </a:solidFill>
                  </a:ln>
                  <a:effectLst>
                    <a:glow rad="139700">
                      <a:schemeClr val="accent4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(2)'!$H$101:$AC$101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10</c:v>
                      </c:pt>
                      <c:pt idx="1">
                        <c:v>18</c:v>
                      </c:pt>
                      <c:pt idx="2">
                        <c:v>22</c:v>
                      </c:pt>
                      <c:pt idx="3">
                        <c:v>47</c:v>
                      </c:pt>
                      <c:pt idx="4">
                        <c:v>55</c:v>
                      </c:pt>
                      <c:pt idx="5">
                        <c:v>65</c:v>
                      </c:pt>
                      <c:pt idx="6">
                        <c:v>71</c:v>
                      </c:pt>
                      <c:pt idx="7">
                        <c:v>86</c:v>
                      </c:pt>
                      <c:pt idx="8">
                        <c:v>86</c:v>
                      </c:pt>
                      <c:pt idx="9">
                        <c:v>86</c:v>
                      </c:pt>
                      <c:pt idx="10">
                        <c:v>111</c:v>
                      </c:pt>
                      <c:pt idx="11">
                        <c:v>123</c:v>
                      </c:pt>
                      <c:pt idx="12">
                        <c:v>127</c:v>
                      </c:pt>
                      <c:pt idx="13">
                        <c:v>127</c:v>
                      </c:pt>
                      <c:pt idx="14">
                        <c:v>127</c:v>
                      </c:pt>
                      <c:pt idx="15">
                        <c:v>137</c:v>
                      </c:pt>
                      <c:pt idx="16">
                        <c:v>149</c:v>
                      </c:pt>
                      <c:pt idx="17">
                        <c:v>159</c:v>
                      </c:pt>
                      <c:pt idx="18">
                        <c:v>171.5</c:v>
                      </c:pt>
                      <c:pt idx="19">
                        <c:v>186.5</c:v>
                      </c:pt>
                      <c:pt idx="20">
                        <c:v>198.5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A3F-47F2-A3F6-4F0D7EB97F8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(2)'!$B$103</c15:sqref>
                        </c15:formulaRef>
                      </c:ext>
                    </c:extLst>
                    <c:strCache>
                      <c:ptCount val="1"/>
                      <c:pt idx="0">
                        <c:v>Deville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</a:ln>
                  <a:effectLst>
                    <a:glow rad="139700">
                      <a:schemeClr val="accent6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(2)'!$H$103:$AC$103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25</c:v>
                      </c:pt>
                      <c:pt idx="1">
                        <c:v>50</c:v>
                      </c:pt>
                      <c:pt idx="2">
                        <c:v>62.5</c:v>
                      </c:pt>
                      <c:pt idx="3">
                        <c:v>63.5</c:v>
                      </c:pt>
                      <c:pt idx="4">
                        <c:v>64.5</c:v>
                      </c:pt>
                      <c:pt idx="5">
                        <c:v>70.5</c:v>
                      </c:pt>
                      <c:pt idx="6">
                        <c:v>85.5</c:v>
                      </c:pt>
                      <c:pt idx="7">
                        <c:v>110.5</c:v>
                      </c:pt>
                      <c:pt idx="8">
                        <c:v>112.5</c:v>
                      </c:pt>
                      <c:pt idx="9">
                        <c:v>112.5</c:v>
                      </c:pt>
                      <c:pt idx="10">
                        <c:v>130.5</c:v>
                      </c:pt>
                      <c:pt idx="11">
                        <c:v>138</c:v>
                      </c:pt>
                      <c:pt idx="12">
                        <c:v>144</c:v>
                      </c:pt>
                      <c:pt idx="13">
                        <c:v>147</c:v>
                      </c:pt>
                      <c:pt idx="14">
                        <c:v>157</c:v>
                      </c:pt>
                      <c:pt idx="15">
                        <c:v>163</c:v>
                      </c:pt>
                      <c:pt idx="16">
                        <c:v>169</c:v>
                      </c:pt>
                      <c:pt idx="17">
                        <c:v>184</c:v>
                      </c:pt>
                      <c:pt idx="18">
                        <c:v>189</c:v>
                      </c:pt>
                      <c:pt idx="19">
                        <c:v>190</c:v>
                      </c:pt>
                      <c:pt idx="20">
                        <c:v>196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A3F-47F2-A3F6-4F0D7EB97F8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(2)'!$B$104</c15:sqref>
                        </c15:formulaRef>
                      </c:ext>
                    </c:extLst>
                    <c:strCache>
                      <c:ptCount val="1"/>
                      <c:pt idx="0">
                        <c:v>Liz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(2)'!$H$104:$AC$104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12.5</c:v>
                      </c:pt>
                      <c:pt idx="1">
                        <c:v>25</c:v>
                      </c:pt>
                      <c:pt idx="2">
                        <c:v>30</c:v>
                      </c:pt>
                      <c:pt idx="3">
                        <c:v>48</c:v>
                      </c:pt>
                      <c:pt idx="4">
                        <c:v>57</c:v>
                      </c:pt>
                      <c:pt idx="5">
                        <c:v>69.5</c:v>
                      </c:pt>
                      <c:pt idx="6">
                        <c:v>84.5</c:v>
                      </c:pt>
                      <c:pt idx="7">
                        <c:v>85.5</c:v>
                      </c:pt>
                      <c:pt idx="8">
                        <c:v>97.5</c:v>
                      </c:pt>
                      <c:pt idx="9">
                        <c:v>101.5</c:v>
                      </c:pt>
                      <c:pt idx="10">
                        <c:v>113.5</c:v>
                      </c:pt>
                      <c:pt idx="11">
                        <c:v>125.5</c:v>
                      </c:pt>
                      <c:pt idx="12">
                        <c:v>129.5</c:v>
                      </c:pt>
                      <c:pt idx="13">
                        <c:v>131.5</c:v>
                      </c:pt>
                      <c:pt idx="14">
                        <c:v>146.5</c:v>
                      </c:pt>
                      <c:pt idx="15">
                        <c:v>156.5</c:v>
                      </c:pt>
                      <c:pt idx="16">
                        <c:v>156.5</c:v>
                      </c:pt>
                      <c:pt idx="17">
                        <c:v>171.5</c:v>
                      </c:pt>
                      <c:pt idx="18">
                        <c:v>172</c:v>
                      </c:pt>
                      <c:pt idx="19">
                        <c:v>182</c:v>
                      </c:pt>
                      <c:pt idx="20">
                        <c:v>194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A3F-47F2-A3F6-4F0D7EB97F8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(2)'!$B$105</c15:sqref>
                        </c15:formulaRef>
                      </c:ext>
                    </c:extLst>
                    <c:strCache>
                      <c:ptCount val="1"/>
                      <c:pt idx="0">
                        <c:v>Nico JR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(2)'!$H$105:$AC$105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6</c:v>
                      </c:pt>
                      <c:pt idx="1">
                        <c:v>6</c:v>
                      </c:pt>
                      <c:pt idx="2">
                        <c:v>31</c:v>
                      </c:pt>
                      <c:pt idx="3">
                        <c:v>40</c:v>
                      </c:pt>
                      <c:pt idx="4">
                        <c:v>44</c:v>
                      </c:pt>
                      <c:pt idx="5">
                        <c:v>56.5</c:v>
                      </c:pt>
                      <c:pt idx="6">
                        <c:v>62.5</c:v>
                      </c:pt>
                      <c:pt idx="7">
                        <c:v>62.5</c:v>
                      </c:pt>
                      <c:pt idx="8">
                        <c:v>68.5</c:v>
                      </c:pt>
                      <c:pt idx="9">
                        <c:v>80.5</c:v>
                      </c:pt>
                      <c:pt idx="10">
                        <c:v>98.5</c:v>
                      </c:pt>
                      <c:pt idx="11">
                        <c:v>104.5</c:v>
                      </c:pt>
                      <c:pt idx="12">
                        <c:v>113.5</c:v>
                      </c:pt>
                      <c:pt idx="13">
                        <c:v>116.5</c:v>
                      </c:pt>
                      <c:pt idx="14">
                        <c:v>134.5</c:v>
                      </c:pt>
                      <c:pt idx="15">
                        <c:v>142.5</c:v>
                      </c:pt>
                      <c:pt idx="16">
                        <c:v>148.5</c:v>
                      </c:pt>
                      <c:pt idx="17">
                        <c:v>156</c:v>
                      </c:pt>
                      <c:pt idx="18">
                        <c:v>168.5</c:v>
                      </c:pt>
                      <c:pt idx="19">
                        <c:v>173.5</c:v>
                      </c:pt>
                      <c:pt idx="20">
                        <c:v>185.5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A3F-47F2-A3F6-4F0D7EB97F8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(2)'!$B$106</c15:sqref>
                        </c15:formulaRef>
                      </c:ext>
                    </c:extLst>
                    <c:strCache>
                      <c:ptCount val="1"/>
                      <c:pt idx="0">
                        <c:v>Alida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(2)'!$H$106:$AC$106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18</c:v>
                      </c:pt>
                      <c:pt idx="1">
                        <c:v>30.5</c:v>
                      </c:pt>
                      <c:pt idx="2">
                        <c:v>40.5</c:v>
                      </c:pt>
                      <c:pt idx="3">
                        <c:v>53</c:v>
                      </c:pt>
                      <c:pt idx="4">
                        <c:v>57</c:v>
                      </c:pt>
                      <c:pt idx="5">
                        <c:v>63</c:v>
                      </c:pt>
                      <c:pt idx="6">
                        <c:v>75</c:v>
                      </c:pt>
                      <c:pt idx="7">
                        <c:v>76</c:v>
                      </c:pt>
                      <c:pt idx="8">
                        <c:v>78</c:v>
                      </c:pt>
                      <c:pt idx="9">
                        <c:v>83</c:v>
                      </c:pt>
                      <c:pt idx="10">
                        <c:v>95</c:v>
                      </c:pt>
                      <c:pt idx="11">
                        <c:v>110</c:v>
                      </c:pt>
                      <c:pt idx="12">
                        <c:v>110.25</c:v>
                      </c:pt>
                      <c:pt idx="13">
                        <c:v>114.25</c:v>
                      </c:pt>
                      <c:pt idx="14">
                        <c:v>126.75</c:v>
                      </c:pt>
                      <c:pt idx="15">
                        <c:v>138.75</c:v>
                      </c:pt>
                      <c:pt idx="16">
                        <c:v>148.75</c:v>
                      </c:pt>
                      <c:pt idx="17">
                        <c:v>158.75</c:v>
                      </c:pt>
                      <c:pt idx="18">
                        <c:v>159.75</c:v>
                      </c:pt>
                      <c:pt idx="19">
                        <c:v>159.75</c:v>
                      </c:pt>
                      <c:pt idx="20">
                        <c:v>184.75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A3F-47F2-A3F6-4F0D7EB97F8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(2)'!$B$107</c15:sqref>
                        </c15:formulaRef>
                      </c:ext>
                    </c:extLst>
                    <c:strCache>
                      <c:ptCount val="1"/>
                      <c:pt idx="0">
                        <c:v>Jason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(2)'!$H$107:$AC$107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9</c:v>
                      </c:pt>
                      <c:pt idx="1">
                        <c:v>21.5</c:v>
                      </c:pt>
                      <c:pt idx="2">
                        <c:v>34</c:v>
                      </c:pt>
                      <c:pt idx="3">
                        <c:v>39</c:v>
                      </c:pt>
                      <c:pt idx="4">
                        <c:v>39.5</c:v>
                      </c:pt>
                      <c:pt idx="5">
                        <c:v>45.5</c:v>
                      </c:pt>
                      <c:pt idx="6">
                        <c:v>60.5</c:v>
                      </c:pt>
                      <c:pt idx="7">
                        <c:v>62.5</c:v>
                      </c:pt>
                      <c:pt idx="8">
                        <c:v>74.5</c:v>
                      </c:pt>
                      <c:pt idx="9">
                        <c:v>79.5</c:v>
                      </c:pt>
                      <c:pt idx="10">
                        <c:v>97.5</c:v>
                      </c:pt>
                      <c:pt idx="11">
                        <c:v>112.5</c:v>
                      </c:pt>
                      <c:pt idx="12">
                        <c:v>116.5</c:v>
                      </c:pt>
                      <c:pt idx="13">
                        <c:v>131.5</c:v>
                      </c:pt>
                      <c:pt idx="14">
                        <c:v>141.5</c:v>
                      </c:pt>
                      <c:pt idx="15">
                        <c:v>145.5</c:v>
                      </c:pt>
                      <c:pt idx="16">
                        <c:v>151.5</c:v>
                      </c:pt>
                      <c:pt idx="17">
                        <c:v>159.5</c:v>
                      </c:pt>
                      <c:pt idx="18">
                        <c:v>177.5</c:v>
                      </c:pt>
                      <c:pt idx="19">
                        <c:v>183.5</c:v>
                      </c:pt>
                      <c:pt idx="20">
                        <c:v>183.5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A3F-47F2-A3F6-4F0D7EB97F8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(2)'!$B$108</c15:sqref>
                        </c15:formulaRef>
                      </c:ext>
                    </c:extLst>
                    <c:strCache>
                      <c:ptCount val="1"/>
                      <c:pt idx="0">
                        <c:v>PJ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(2)'!$H$108:$AC$108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7.5</c:v>
                      </c:pt>
                      <c:pt idx="2">
                        <c:v>32.5</c:v>
                      </c:pt>
                      <c:pt idx="3">
                        <c:v>44.5</c:v>
                      </c:pt>
                      <c:pt idx="4">
                        <c:v>45</c:v>
                      </c:pt>
                      <c:pt idx="5">
                        <c:v>57</c:v>
                      </c:pt>
                      <c:pt idx="6">
                        <c:v>63</c:v>
                      </c:pt>
                      <c:pt idx="7">
                        <c:v>64</c:v>
                      </c:pt>
                      <c:pt idx="8">
                        <c:v>65</c:v>
                      </c:pt>
                      <c:pt idx="9">
                        <c:v>68</c:v>
                      </c:pt>
                      <c:pt idx="10">
                        <c:v>86</c:v>
                      </c:pt>
                      <c:pt idx="11">
                        <c:v>101</c:v>
                      </c:pt>
                      <c:pt idx="12">
                        <c:v>105</c:v>
                      </c:pt>
                      <c:pt idx="13">
                        <c:v>107</c:v>
                      </c:pt>
                      <c:pt idx="14">
                        <c:v>125</c:v>
                      </c:pt>
                      <c:pt idx="15">
                        <c:v>133</c:v>
                      </c:pt>
                      <c:pt idx="16">
                        <c:v>137</c:v>
                      </c:pt>
                      <c:pt idx="17">
                        <c:v>141</c:v>
                      </c:pt>
                      <c:pt idx="18">
                        <c:v>142</c:v>
                      </c:pt>
                      <c:pt idx="19">
                        <c:v>152</c:v>
                      </c:pt>
                      <c:pt idx="20">
                        <c:v>177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A3F-47F2-A3F6-4F0D7EB97F8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(2)'!$B$109</c15:sqref>
                        </c15:formulaRef>
                      </c:ext>
                    </c:extLst>
                    <c:strCache>
                      <c:ptCount val="1"/>
                      <c:pt idx="0">
                        <c:v>Bernd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(2)'!$H$109:$AC$109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6</c:v>
                      </c:pt>
                      <c:pt idx="3">
                        <c:v>11</c:v>
                      </c:pt>
                      <c:pt idx="4">
                        <c:v>18.5</c:v>
                      </c:pt>
                      <c:pt idx="5">
                        <c:v>43.5</c:v>
                      </c:pt>
                      <c:pt idx="6">
                        <c:v>58.5</c:v>
                      </c:pt>
                      <c:pt idx="7">
                        <c:v>71</c:v>
                      </c:pt>
                      <c:pt idx="8">
                        <c:v>80</c:v>
                      </c:pt>
                      <c:pt idx="9">
                        <c:v>92.5</c:v>
                      </c:pt>
                      <c:pt idx="10">
                        <c:v>107.5</c:v>
                      </c:pt>
                      <c:pt idx="11">
                        <c:v>107.5</c:v>
                      </c:pt>
                      <c:pt idx="12">
                        <c:v>107.5</c:v>
                      </c:pt>
                      <c:pt idx="13">
                        <c:v>115.5</c:v>
                      </c:pt>
                      <c:pt idx="14">
                        <c:v>133.5</c:v>
                      </c:pt>
                      <c:pt idx="15">
                        <c:v>148.5</c:v>
                      </c:pt>
                      <c:pt idx="16">
                        <c:v>152.5</c:v>
                      </c:pt>
                      <c:pt idx="17">
                        <c:v>160</c:v>
                      </c:pt>
                      <c:pt idx="18">
                        <c:v>160</c:v>
                      </c:pt>
                      <c:pt idx="19">
                        <c:v>160.25</c:v>
                      </c:pt>
                      <c:pt idx="20">
                        <c:v>172.75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A3F-47F2-A3F6-4F0D7EB97F8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(2)'!$B$110</c15:sqref>
                        </c15:formulaRef>
                      </c:ext>
                    </c:extLst>
                    <c:strCache>
                      <c:ptCount val="1"/>
                      <c:pt idx="0">
                        <c:v>Pam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(2)'!$H$110:$AC$110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8</c:v>
                      </c:pt>
                      <c:pt idx="2">
                        <c:v>33</c:v>
                      </c:pt>
                      <c:pt idx="3">
                        <c:v>37</c:v>
                      </c:pt>
                      <c:pt idx="4">
                        <c:v>38</c:v>
                      </c:pt>
                      <c:pt idx="5">
                        <c:v>40</c:v>
                      </c:pt>
                      <c:pt idx="6">
                        <c:v>55</c:v>
                      </c:pt>
                      <c:pt idx="7">
                        <c:v>55</c:v>
                      </c:pt>
                      <c:pt idx="8">
                        <c:v>67</c:v>
                      </c:pt>
                      <c:pt idx="9">
                        <c:v>72</c:v>
                      </c:pt>
                      <c:pt idx="10">
                        <c:v>90</c:v>
                      </c:pt>
                      <c:pt idx="11">
                        <c:v>94</c:v>
                      </c:pt>
                      <c:pt idx="12">
                        <c:v>99</c:v>
                      </c:pt>
                      <c:pt idx="13">
                        <c:v>102</c:v>
                      </c:pt>
                      <c:pt idx="14">
                        <c:v>120</c:v>
                      </c:pt>
                      <c:pt idx="15">
                        <c:v>130</c:v>
                      </c:pt>
                      <c:pt idx="16">
                        <c:v>136</c:v>
                      </c:pt>
                      <c:pt idx="17">
                        <c:v>151</c:v>
                      </c:pt>
                      <c:pt idx="18">
                        <c:v>156</c:v>
                      </c:pt>
                      <c:pt idx="19">
                        <c:v>166</c:v>
                      </c:pt>
                      <c:pt idx="20">
                        <c:v>169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A3F-47F2-A3F6-4F0D7EB97F8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(2)'!$B$111</c15:sqref>
                        </c15:formulaRef>
                      </c:ext>
                    </c:extLst>
                    <c:strCache>
                      <c:ptCount val="1"/>
                      <c:pt idx="0">
                        <c:v>Reinhard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(2)'!$H$111:$AC$111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5</c:v>
                      </c:pt>
                      <c:pt idx="1">
                        <c:v>5</c:v>
                      </c:pt>
                      <c:pt idx="2">
                        <c:v>30</c:v>
                      </c:pt>
                      <c:pt idx="3">
                        <c:v>39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72</c:v>
                      </c:pt>
                      <c:pt idx="7">
                        <c:v>74</c:v>
                      </c:pt>
                      <c:pt idx="8">
                        <c:v>86</c:v>
                      </c:pt>
                      <c:pt idx="9">
                        <c:v>96</c:v>
                      </c:pt>
                      <c:pt idx="10">
                        <c:v>114</c:v>
                      </c:pt>
                      <c:pt idx="11">
                        <c:v>118</c:v>
                      </c:pt>
                      <c:pt idx="12">
                        <c:v>127</c:v>
                      </c:pt>
                      <c:pt idx="13">
                        <c:v>129</c:v>
                      </c:pt>
                      <c:pt idx="14">
                        <c:v>139</c:v>
                      </c:pt>
                      <c:pt idx="15">
                        <c:v>145</c:v>
                      </c:pt>
                      <c:pt idx="16">
                        <c:v>145</c:v>
                      </c:pt>
                      <c:pt idx="17">
                        <c:v>157.5</c:v>
                      </c:pt>
                      <c:pt idx="18">
                        <c:v>157.5</c:v>
                      </c:pt>
                      <c:pt idx="19">
                        <c:v>158.5</c:v>
                      </c:pt>
                      <c:pt idx="20">
                        <c:v>164.5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A3F-47F2-A3F6-4F0D7EB97F8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(2)'!$B$112</c15:sqref>
                        </c15:formulaRef>
                      </c:ext>
                    </c:extLst>
                    <c:strCache>
                      <c:ptCount val="1"/>
                      <c:pt idx="0">
                        <c:v>Liam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(2)'!$H$112:$AC$112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12.5</c:v>
                      </c:pt>
                      <c:pt idx="2">
                        <c:v>20</c:v>
                      </c:pt>
                      <c:pt idx="3">
                        <c:v>23</c:v>
                      </c:pt>
                      <c:pt idx="4">
                        <c:v>41</c:v>
                      </c:pt>
                      <c:pt idx="5">
                        <c:v>45</c:v>
                      </c:pt>
                      <c:pt idx="6">
                        <c:v>46</c:v>
                      </c:pt>
                      <c:pt idx="7">
                        <c:v>58.5</c:v>
                      </c:pt>
                      <c:pt idx="8">
                        <c:v>60.5</c:v>
                      </c:pt>
                      <c:pt idx="9">
                        <c:v>60.5</c:v>
                      </c:pt>
                      <c:pt idx="10">
                        <c:v>85.5</c:v>
                      </c:pt>
                      <c:pt idx="11">
                        <c:v>100.5</c:v>
                      </c:pt>
                      <c:pt idx="12">
                        <c:v>110.5</c:v>
                      </c:pt>
                      <c:pt idx="13">
                        <c:v>114.5</c:v>
                      </c:pt>
                      <c:pt idx="14">
                        <c:v>129.5</c:v>
                      </c:pt>
                      <c:pt idx="15">
                        <c:v>141.5</c:v>
                      </c:pt>
                      <c:pt idx="16">
                        <c:v>141.5</c:v>
                      </c:pt>
                      <c:pt idx="17">
                        <c:v>149</c:v>
                      </c:pt>
                      <c:pt idx="18">
                        <c:v>149</c:v>
                      </c:pt>
                      <c:pt idx="19">
                        <c:v>155</c:v>
                      </c:pt>
                      <c:pt idx="20">
                        <c:v>158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A3F-47F2-A3F6-4F0D7EB97F8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(2)'!$B$113</c15:sqref>
                        </c15:formulaRef>
                      </c:ext>
                    </c:extLst>
                    <c:strCache>
                      <c:ptCount val="1"/>
                      <c:pt idx="0">
                        <c:v>Lee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(2)'!$H$113:$AC$113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0.5</c:v>
                      </c:pt>
                      <c:pt idx="1">
                        <c:v>0.5</c:v>
                      </c:pt>
                      <c:pt idx="2">
                        <c:v>25.5</c:v>
                      </c:pt>
                      <c:pt idx="3">
                        <c:v>34.5</c:v>
                      </c:pt>
                      <c:pt idx="4">
                        <c:v>35</c:v>
                      </c:pt>
                      <c:pt idx="5">
                        <c:v>40</c:v>
                      </c:pt>
                      <c:pt idx="6">
                        <c:v>46</c:v>
                      </c:pt>
                      <c:pt idx="7">
                        <c:v>53.5</c:v>
                      </c:pt>
                      <c:pt idx="8">
                        <c:v>53.5</c:v>
                      </c:pt>
                      <c:pt idx="9">
                        <c:v>59.5</c:v>
                      </c:pt>
                      <c:pt idx="10">
                        <c:v>84.5</c:v>
                      </c:pt>
                      <c:pt idx="11">
                        <c:v>102.5</c:v>
                      </c:pt>
                      <c:pt idx="12">
                        <c:v>107.5</c:v>
                      </c:pt>
                      <c:pt idx="13">
                        <c:v>111.5</c:v>
                      </c:pt>
                      <c:pt idx="14">
                        <c:v>121.5</c:v>
                      </c:pt>
                      <c:pt idx="15">
                        <c:v>125.5</c:v>
                      </c:pt>
                      <c:pt idx="16">
                        <c:v>125.5</c:v>
                      </c:pt>
                      <c:pt idx="17">
                        <c:v>140.5</c:v>
                      </c:pt>
                      <c:pt idx="18">
                        <c:v>144.5</c:v>
                      </c:pt>
                      <c:pt idx="19">
                        <c:v>145.5</c:v>
                      </c:pt>
                      <c:pt idx="20">
                        <c:v>157.5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A3F-47F2-A3F6-4F0D7EB97F8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(2)'!$B$114</c15:sqref>
                        </c15:formulaRef>
                      </c:ext>
                    </c:extLst>
                    <c:strCache>
                      <c:ptCount val="1"/>
                      <c:pt idx="0">
                        <c:v>Petra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(2)'!$H$114:$AC$114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10</c:v>
                      </c:pt>
                      <c:pt idx="1">
                        <c:v>14</c:v>
                      </c:pt>
                      <c:pt idx="2">
                        <c:v>19</c:v>
                      </c:pt>
                      <c:pt idx="3">
                        <c:v>37</c:v>
                      </c:pt>
                      <c:pt idx="4">
                        <c:v>38</c:v>
                      </c:pt>
                      <c:pt idx="5">
                        <c:v>44</c:v>
                      </c:pt>
                      <c:pt idx="6">
                        <c:v>56</c:v>
                      </c:pt>
                      <c:pt idx="7">
                        <c:v>57</c:v>
                      </c:pt>
                      <c:pt idx="8">
                        <c:v>57</c:v>
                      </c:pt>
                      <c:pt idx="9">
                        <c:v>64.5</c:v>
                      </c:pt>
                      <c:pt idx="10">
                        <c:v>79.5</c:v>
                      </c:pt>
                      <c:pt idx="11">
                        <c:v>79.5</c:v>
                      </c:pt>
                      <c:pt idx="12">
                        <c:v>83.5</c:v>
                      </c:pt>
                      <c:pt idx="13">
                        <c:v>91.5</c:v>
                      </c:pt>
                      <c:pt idx="14">
                        <c:v>91.5</c:v>
                      </c:pt>
                      <c:pt idx="15">
                        <c:v>99.5</c:v>
                      </c:pt>
                      <c:pt idx="16">
                        <c:v>117.5</c:v>
                      </c:pt>
                      <c:pt idx="17">
                        <c:v>125.5</c:v>
                      </c:pt>
                      <c:pt idx="18">
                        <c:v>126.5</c:v>
                      </c:pt>
                      <c:pt idx="19">
                        <c:v>134</c:v>
                      </c:pt>
                      <c:pt idx="20">
                        <c:v>139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A3F-47F2-A3F6-4F0D7EB97F8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(2)'!$B$115</c15:sqref>
                        </c15:formulaRef>
                      </c:ext>
                    </c:extLst>
                    <c:strCache>
                      <c:ptCount val="1"/>
                      <c:pt idx="0">
                        <c:v>Smartin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(2)'!$H$115:$AC$115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0.5</c:v>
                      </c:pt>
                      <c:pt idx="3">
                        <c:v>6.5</c:v>
                      </c:pt>
                      <c:pt idx="4">
                        <c:v>14</c:v>
                      </c:pt>
                      <c:pt idx="5">
                        <c:v>29</c:v>
                      </c:pt>
                      <c:pt idx="6">
                        <c:v>35</c:v>
                      </c:pt>
                      <c:pt idx="7">
                        <c:v>37</c:v>
                      </c:pt>
                      <c:pt idx="8">
                        <c:v>39</c:v>
                      </c:pt>
                      <c:pt idx="9">
                        <c:v>45</c:v>
                      </c:pt>
                      <c:pt idx="10">
                        <c:v>45</c:v>
                      </c:pt>
                      <c:pt idx="11">
                        <c:v>57</c:v>
                      </c:pt>
                      <c:pt idx="12">
                        <c:v>65</c:v>
                      </c:pt>
                      <c:pt idx="13">
                        <c:v>72.5</c:v>
                      </c:pt>
                      <c:pt idx="14">
                        <c:v>90.5</c:v>
                      </c:pt>
                      <c:pt idx="15">
                        <c:v>98</c:v>
                      </c:pt>
                      <c:pt idx="16">
                        <c:v>108</c:v>
                      </c:pt>
                      <c:pt idx="17">
                        <c:v>117</c:v>
                      </c:pt>
                      <c:pt idx="18">
                        <c:v>123</c:v>
                      </c:pt>
                      <c:pt idx="19">
                        <c:v>123</c:v>
                      </c:pt>
                      <c:pt idx="20">
                        <c:v>129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A3F-47F2-A3F6-4F0D7EB97F8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(2)'!$B$116</c15:sqref>
                        </c15:formulaRef>
                      </c:ext>
                    </c:extLst>
                    <c:strCache>
                      <c:ptCount val="1"/>
                      <c:pt idx="0">
                        <c:v>Riaan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(2)'!$H$116:$AC$116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25</c:v>
                      </c:pt>
                      <c:pt idx="5">
                        <c:v>34</c:v>
                      </c:pt>
                      <c:pt idx="6">
                        <c:v>49</c:v>
                      </c:pt>
                      <c:pt idx="7">
                        <c:v>51</c:v>
                      </c:pt>
                      <c:pt idx="8">
                        <c:v>54</c:v>
                      </c:pt>
                      <c:pt idx="9">
                        <c:v>55</c:v>
                      </c:pt>
                      <c:pt idx="10">
                        <c:v>80</c:v>
                      </c:pt>
                      <c:pt idx="11">
                        <c:v>80</c:v>
                      </c:pt>
                      <c:pt idx="12">
                        <c:v>80</c:v>
                      </c:pt>
                      <c:pt idx="13">
                        <c:v>80</c:v>
                      </c:pt>
                      <c:pt idx="14">
                        <c:v>98</c:v>
                      </c:pt>
                      <c:pt idx="15">
                        <c:v>101</c:v>
                      </c:pt>
                      <c:pt idx="16">
                        <c:v>101</c:v>
                      </c:pt>
                      <c:pt idx="17">
                        <c:v>101</c:v>
                      </c:pt>
                      <c:pt idx="18">
                        <c:v>101</c:v>
                      </c:pt>
                      <c:pt idx="19">
                        <c:v>101</c:v>
                      </c:pt>
                      <c:pt idx="20">
                        <c:v>111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A3F-47F2-A3F6-4F0D7EB97F8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(2)'!$B$117</c15:sqref>
                        </c15:formulaRef>
                      </c:ext>
                    </c:extLst>
                    <c:strCache>
                      <c:ptCount val="1"/>
                      <c:pt idx="0">
                        <c:v>Clarice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(2)'!$H$117:$AC$117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9</c:v>
                      </c:pt>
                      <c:pt idx="1">
                        <c:v>16.5</c:v>
                      </c:pt>
                      <c:pt idx="2">
                        <c:v>24</c:v>
                      </c:pt>
                      <c:pt idx="3">
                        <c:v>33</c:v>
                      </c:pt>
                      <c:pt idx="4">
                        <c:v>37</c:v>
                      </c:pt>
                      <c:pt idx="5">
                        <c:v>62</c:v>
                      </c:pt>
                      <c:pt idx="6">
                        <c:v>64</c:v>
                      </c:pt>
                      <c:pt idx="7">
                        <c:v>64</c:v>
                      </c:pt>
                      <c:pt idx="8">
                        <c:v>64</c:v>
                      </c:pt>
                      <c:pt idx="9">
                        <c:v>74</c:v>
                      </c:pt>
                      <c:pt idx="10">
                        <c:v>74</c:v>
                      </c:pt>
                      <c:pt idx="11">
                        <c:v>74</c:v>
                      </c:pt>
                      <c:pt idx="12">
                        <c:v>74</c:v>
                      </c:pt>
                      <c:pt idx="13">
                        <c:v>74</c:v>
                      </c:pt>
                      <c:pt idx="14">
                        <c:v>74</c:v>
                      </c:pt>
                      <c:pt idx="15">
                        <c:v>74</c:v>
                      </c:pt>
                      <c:pt idx="16">
                        <c:v>74</c:v>
                      </c:pt>
                      <c:pt idx="17">
                        <c:v>74</c:v>
                      </c:pt>
                      <c:pt idx="18">
                        <c:v>74</c:v>
                      </c:pt>
                      <c:pt idx="19">
                        <c:v>74</c:v>
                      </c:pt>
                      <c:pt idx="20">
                        <c:v>74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A3F-47F2-A3F6-4F0D7EB97F80}"/>
                  </c:ext>
                </c:extLst>
              </c15:ser>
            </c15:filteredScatterSeries>
          </c:ext>
        </c:extLst>
      </c:scatterChart>
      <c:valAx>
        <c:axId val="499555023"/>
        <c:scaling>
          <c:orientation val="minMax"/>
          <c:max val="15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Race #</a:t>
                </a:r>
              </a:p>
            </c:rich>
          </c:tx>
          <c:layout>
            <c:manualLayout>
              <c:xMode val="edge"/>
              <c:yMode val="edge"/>
              <c:x val="0.40709928975413506"/>
              <c:y val="0.935850084732274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983"/>
        <c:crosses val="autoZero"/>
        <c:crossBetween val="midCat"/>
        <c:majorUnit val="1"/>
      </c:valAx>
      <c:valAx>
        <c:axId val="4995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497978107067341"/>
          <c:y val="8.6178556882975849E-2"/>
          <c:w val="0.11419592781932573"/>
          <c:h val="0.80294681645397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Normal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Stats!$N$4:$N$29</c:f>
              <c:numCache>
                <c:formatCode>General</c:formatCode>
                <c:ptCount val="26"/>
                <c:pt idx="0">
                  <c:v>1.4363204599425072</c:v>
                </c:pt>
                <c:pt idx="1">
                  <c:v>1.4233220847394077</c:v>
                </c:pt>
                <c:pt idx="2">
                  <c:v>1.4038245219347583</c:v>
                </c:pt>
                <c:pt idx="3">
                  <c:v>1.3908261467316585</c:v>
                </c:pt>
                <c:pt idx="4">
                  <c:v>1.3063367079115111</c:v>
                </c:pt>
                <c:pt idx="5">
                  <c:v>1.2543432070991127</c:v>
                </c:pt>
                <c:pt idx="6">
                  <c:v>1.2283464566929134</c:v>
                </c:pt>
                <c:pt idx="7">
                  <c:v>1.1893513310836146</c:v>
                </c:pt>
                <c:pt idx="8">
                  <c:v>1.1178602674665667</c:v>
                </c:pt>
                <c:pt idx="9">
                  <c:v>1.1113610798650169</c:v>
                </c:pt>
                <c:pt idx="10">
                  <c:v>1.0593675790526185</c:v>
                </c:pt>
                <c:pt idx="11">
                  <c:v>0.99437570303712042</c:v>
                </c:pt>
                <c:pt idx="12">
                  <c:v>0.98787651543557053</c:v>
                </c:pt>
                <c:pt idx="13">
                  <c:v>0.96187976502937134</c:v>
                </c:pt>
                <c:pt idx="14">
                  <c:v>0.92288463942007248</c:v>
                </c:pt>
                <c:pt idx="15">
                  <c:v>0.86764154480689915</c:v>
                </c:pt>
                <c:pt idx="16">
                  <c:v>0.83189601299837523</c:v>
                </c:pt>
                <c:pt idx="17">
                  <c:v>0.83189601299837523</c:v>
                </c:pt>
                <c:pt idx="18">
                  <c:v>0.81239845019372581</c:v>
                </c:pt>
                <c:pt idx="19">
                  <c:v>0.81239845019372581</c:v>
                </c:pt>
                <c:pt idx="20">
                  <c:v>0.7604049493813273</c:v>
                </c:pt>
                <c:pt idx="21">
                  <c:v>0.74090738657667787</c:v>
                </c:pt>
                <c:pt idx="22">
                  <c:v>0.71491063617047867</c:v>
                </c:pt>
                <c:pt idx="23">
                  <c:v>0.69541307336582925</c:v>
                </c:pt>
                <c:pt idx="24">
                  <c:v>0.66291713535808028</c:v>
                </c:pt>
                <c:pt idx="25">
                  <c:v>0.48093988251468567</c:v>
                </c:pt>
              </c:numCache>
            </c:numRef>
          </c:xVal>
          <c:yVal>
            <c:numRef>
              <c:f>Stats!$O$4:$O$29</c:f>
              <c:numCache>
                <c:formatCode>General</c:formatCode>
                <c:ptCount val="26"/>
                <c:pt idx="0">
                  <c:v>4.9721494290009037E-3</c:v>
                </c:pt>
                <c:pt idx="1">
                  <c:v>5.3911610868546903E-3</c:v>
                </c:pt>
                <c:pt idx="2">
                  <c:v>6.0589461445767611E-3</c:v>
                </c:pt>
                <c:pt idx="3">
                  <c:v>6.5294810704919961E-3</c:v>
                </c:pt>
                <c:pt idx="4">
                  <c:v>1.0002473926913539E-2</c:v>
                </c:pt>
                <c:pt idx="5">
                  <c:v>1.235319337642031E-2</c:v>
                </c:pt>
                <c:pt idx="6">
                  <c:v>1.352818077080723E-2</c:v>
                </c:pt>
                <c:pt idx="7">
                  <c:v>1.522158755042829E-2</c:v>
                </c:pt>
                <c:pt idx="8">
                  <c:v>1.7845365361361228E-2</c:v>
                </c:pt>
                <c:pt idx="9">
                  <c:v>1.8038905701912862E-2</c:v>
                </c:pt>
                <c:pt idx="10">
                  <c:v>1.9236431958174888E-2</c:v>
                </c:pt>
                <c:pt idx="11">
                  <c:v>1.9729150299583661E-2</c:v>
                </c:pt>
                <c:pt idx="12">
                  <c:v>1.9712679388423301E-2</c:v>
                </c:pt>
                <c:pt idx="13">
                  <c:v>1.9527120465561199E-2</c:v>
                </c:pt>
                <c:pt idx="14">
                  <c:v>1.8901981816387279E-2</c:v>
                </c:pt>
                <c:pt idx="15">
                  <c:v>1.7382712820256909E-2</c:v>
                </c:pt>
                <c:pt idx="16">
                  <c:v>1.608212601961553E-2</c:v>
                </c:pt>
                <c:pt idx="17">
                  <c:v>1.608212601961553E-2</c:v>
                </c:pt>
                <c:pt idx="18">
                  <c:v>1.5294458716747268E-2</c:v>
                </c:pt>
                <c:pt idx="19">
                  <c:v>1.5294458716747268E-2</c:v>
                </c:pt>
                <c:pt idx="20">
                  <c:v>1.3022278386586397E-2</c:v>
                </c:pt>
                <c:pt idx="21">
                  <c:v>1.2136989396893441E-2</c:v>
                </c:pt>
                <c:pt idx="22">
                  <c:v>1.0955287581715141E-2</c:v>
                </c:pt>
                <c:pt idx="23">
                  <c:v>1.0080196547497765E-2</c:v>
                </c:pt>
                <c:pt idx="24">
                  <c:v>8.6675809521073056E-3</c:v>
                </c:pt>
                <c:pt idx="25">
                  <c:v>2.8052181072260487E-3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81-4FD4-9BA0-9B472C75A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939840"/>
        <c:axId val="43306672"/>
      </c:scatterChart>
      <c:valAx>
        <c:axId val="151993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6672"/>
        <c:crosses val="autoZero"/>
        <c:crossBetween val="midCat"/>
      </c:valAx>
      <c:valAx>
        <c:axId val="433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93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44450</xdr:colOff>
      <xdr:row>0</xdr:row>
      <xdr:rowOff>0</xdr:rowOff>
    </xdr:from>
    <xdr:to>
      <xdr:col>6</xdr:col>
      <xdr:colOff>664934</xdr:colOff>
      <xdr:row>2</xdr:row>
      <xdr:rowOff>36350</xdr:rowOff>
    </xdr:to>
    <xdr:pic>
      <xdr:nvPicPr>
        <xdr:cNvPr id="2" name="Graphic 1" descr="Race Car with solid fill">
          <a:extLst>
            <a:ext uri="{FF2B5EF4-FFF2-40B4-BE49-F238E27FC236}">
              <a16:creationId xmlns:a16="http://schemas.microsoft.com/office/drawing/2014/main" id="{313E12A8-D773-4953-A2B3-9B5B8774F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61230" y="0"/>
          <a:ext cx="620484" cy="600230"/>
        </a:xfrm>
        <a:prstGeom prst="rect">
          <a:avLst/>
        </a:prstGeom>
      </xdr:spPr>
    </xdr:pic>
    <xdr:clientData/>
  </xdr:twoCellAnchor>
  <xdr:twoCellAnchor>
    <xdr:from>
      <xdr:col>1</xdr:col>
      <xdr:colOff>830262</xdr:colOff>
      <xdr:row>48</xdr:row>
      <xdr:rowOff>0</xdr:rowOff>
    </xdr:from>
    <xdr:to>
      <xdr:col>17</xdr:col>
      <xdr:colOff>317499</xdr:colOff>
      <xdr:row>80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3786EA8-AB5F-43D9-AEDE-75D41BD4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79375</xdr:colOff>
      <xdr:row>31</xdr:row>
      <xdr:rowOff>136525</xdr:rowOff>
    </xdr:from>
    <xdr:to>
      <xdr:col>13</xdr:col>
      <xdr:colOff>384175</xdr:colOff>
      <xdr:row>46</xdr:row>
      <xdr:rowOff>117475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5EA951-0872-4FFE-A5FD-23DB210F1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e Bell" refreshedDate="45256.62683252315" createdVersion="8" refreshedVersion="8" minRefreshableVersion="3" recordCount="513" xr:uid="{627921DC-9B91-4CA6-9B03-0FD621038E34}">
  <cacheSource type="worksheet">
    <worksheetSource name="Table_Table_0__2"/>
  </cacheSource>
  <cacheFields count="9">
    <cacheField name="Timestamp" numFmtId="0">
      <sharedItems/>
    </cacheField>
    <cacheField name="Who are you?" numFmtId="0">
      <sharedItems count="41">
        <s v="Smartin"/>
        <s v="F(1)rank"/>
        <s v="Joshua"/>
        <s v="Deville"/>
        <s v="Lee"/>
        <s v="Oscar"/>
        <s v="Petra"/>
        <s v="Clarice"/>
        <s v="James Moorcroft"/>
        <s v="Nico"/>
        <s v="Pam"/>
        <s v="Mike"/>
        <s v="Reinhard"/>
        <s v="Nico Bell JN"/>
        <s v="Liz Bell"/>
        <s v="Ilarie"/>
        <s v="Suzzy B"/>
        <s v="Alida"/>
        <s v="Michael H"/>
        <s v="Markus"/>
        <s v="Kristel"/>
        <s v="Jason"/>
        <s v="Wade"/>
        <s v="David"/>
        <s v="Jimbo"/>
        <s v="Lays"/>
        <s v="Alida Kruger"/>
        <s v="Dunkirk"/>
        <s v="Frank"/>
        <s v="Joshua Bornman"/>
        <s v="Mike Ireland"/>
        <s v="Pamela Ireland"/>
        <s v="PJ"/>
        <s v="Nico Bell (JN)"/>
        <s v="Nico jnr"/>
        <s v="Bernd"/>
        <s v="Liam"/>
        <s v="Nico SR"/>
        <s v="Liz"/>
        <s v="Nico JR"/>
        <s v="Riaan"/>
      </sharedItems>
    </cacheField>
    <cacheField name="Race" numFmtId="0">
      <sharedItems count="21">
        <s v="Saudi Arabia - 19 March"/>
        <s v="Australia - 2 April"/>
        <s v="Azerbaijan - 30 April"/>
        <s v="Miami - 7 May"/>
        <s v="Monaco - 28 May"/>
        <s v="Spain - 4 June"/>
        <s v="Canada - 18 June"/>
        <s v="Austria - 2 July"/>
        <s v="Great Britain - 9 July"/>
        <s v="Hungary - 23 July"/>
        <s v="Belgium - 30 July"/>
        <s v="Netherlands - 27 August"/>
        <s v="Italy - 3 September"/>
        <s v="Singapore - 17 September"/>
        <s v="Japan - 24 September"/>
        <s v="Qatar - 8 October"/>
        <s v="United States - 22 October"/>
        <s v="Mexico - 29 October"/>
        <s v="Brazil - 5 November"/>
        <s v="Las Vegas - 18 November"/>
        <s v="Abu Dhabi - 26 November"/>
      </sharedItems>
    </cacheField>
    <cacheField name="First Pick" numFmtId="0">
      <sharedItems count="34">
        <s v="Albon - Williams"/>
        <s v="Zhou - Alfa Romeo"/>
        <s v="Magnussen - Haas"/>
        <s v="Piastri - McLaren"/>
        <s v="Hulkenberg - Haas"/>
        <s v="Bottas - Alfa Romeo"/>
        <s v="Gasly - Alpine"/>
        <s v="Tsunoda - AlphaTauri"/>
        <s v="Norris - McLaren"/>
        <s v="Ocon - Alpine"/>
        <s v="Hamilton - Mercedes"/>
        <s v="Alex Albon - Williams"/>
        <s v="Esteban Ocon - Alpine"/>
        <s v="Nico Hulkenberg - Haas"/>
        <s v="Valtteri Bottas - Alfa Romeo Racing"/>
        <s v="Yuki Tsunoda - AlphaTauri"/>
        <s v="Max Verstappen - Red Bull"/>
        <s v="Oscar Piastri - McLaren"/>
        <s v="Fernando Alonso - Aston Martin"/>
        <s v="Lewis Hamilton - Mercedes"/>
        <s v="Pierre Gasly - Alpine"/>
        <s v="Kevin Magnussen - Haas"/>
        <s v="Lando Norris - McLaren"/>
        <s v="Guanyu Zhou - Alfa Romeo Racing"/>
        <s v="Sergio Perez - Red Bull"/>
        <s v="Nyck de Vries - Alpha Tauri"/>
        <s v="Lance Stroll - Aston Martin"/>
        <s v="Charles Leclerc - Ferrari"/>
        <s v="Carlos Sainz - Ferrari"/>
        <s v="George Russell - Mercedes"/>
        <s v="Daniel Ricciardo - Alpha Tauri"/>
        <s v="Liam Lawson - Alpha Tauri"/>
        <s v="Yuki Tsunoda - Alpha Tauri"/>
        <s v="Logan Sargeant - Williams"/>
      </sharedItems>
    </cacheField>
    <cacheField name="Second Pick" numFmtId="0">
      <sharedItems count="36">
        <s v="Bottas - Alfa Romeo"/>
        <s v="Occon - Alpine"/>
        <s v="Ocon - Alpine"/>
        <s v="Stroll - Aston Martin"/>
        <s v="Gasly - Alpine"/>
        <s v="Verstappen - Red Bull"/>
        <s v="Hulkenberg - Haas"/>
        <s v="Tsunoda - AlphaTauri"/>
        <s v="Magnussen - Haas"/>
        <s v="Zhou - Alfa Romeo"/>
        <s v="Sargeant - Williams"/>
        <s v="Norris - McLaren"/>
        <s v="Albon - Williams"/>
        <s v="Sainz - Ferrari"/>
        <s v="George Russell - Mercedes"/>
        <s v="Oscar Piastri - McLaren"/>
        <s v="Esteban Ocon - Alpine"/>
        <s v="Alex Albon - Williams"/>
        <s v="Yuki Tsunoda - AlphaTauri"/>
        <s v="Lance Stroll - Aston Martin"/>
        <s v="Guanyu Zhou - Alfa Romeo Racing"/>
        <s v="Pierre Gasly - Alpine"/>
        <s v="Lando Norris - McLaren"/>
        <s v="Carlos Sainz - Ferrari"/>
        <s v="Nico Hulkenberg - Haas"/>
        <s v="Valtteri Bottas - Alfa Romeo Racing"/>
        <s v="Kevin Magnussen - Haas"/>
        <s v="Lewis Hamilton - Mercedes"/>
        <s v="Sergio Perez - Red Bull"/>
        <s v="Charles Leclerc - Ferrari"/>
        <s v="Daniel Ricciardo - Alpha Tauri"/>
        <s v="Fernando Alonso - Aston Martin"/>
        <s v="Logan Sargeant - Williams"/>
        <s v="Max Verstappen - Red Bull"/>
        <s v="Liam Lawson - Alpha Tauri"/>
        <s v="Yuki Tsunoda - Alpha Tauri"/>
      </sharedItems>
    </cacheField>
    <cacheField name="Best Memes" numFmtId="0">
      <sharedItems containsBlank="1"/>
    </cacheField>
    <cacheField name="Master Commentator" numFmtId="0">
      <sharedItems containsBlank="1"/>
    </cacheField>
    <cacheField name="Random Question" numFmtId="0">
      <sharedItems containsBlank="1" longText="1"/>
    </cacheField>
    <cacheField name="Random Awar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3">
  <r>
    <s v="17/03/2023 20:39:56"/>
    <x v="0"/>
    <x v="0"/>
    <x v="0"/>
    <x v="0"/>
    <m/>
    <m/>
    <m/>
    <m/>
  </r>
  <r>
    <s v="17/03/2023 20:43:39"/>
    <x v="1"/>
    <x v="0"/>
    <x v="0"/>
    <x v="0"/>
    <m/>
    <m/>
    <m/>
    <m/>
  </r>
  <r>
    <s v="18/03/2023 11:31:20"/>
    <x v="2"/>
    <x v="0"/>
    <x v="1"/>
    <x v="1"/>
    <m/>
    <m/>
    <m/>
    <m/>
  </r>
  <r>
    <s v="18/03/2023 21:15:44"/>
    <x v="3"/>
    <x v="0"/>
    <x v="2"/>
    <x v="0"/>
    <m/>
    <m/>
    <m/>
    <m/>
  </r>
  <r>
    <s v="18/03/2023 21:46:15"/>
    <x v="4"/>
    <x v="0"/>
    <x v="3"/>
    <x v="0"/>
    <m/>
    <m/>
    <m/>
    <m/>
  </r>
  <r>
    <s v="18/03/2023 21:48:41"/>
    <x v="5"/>
    <x v="0"/>
    <x v="1"/>
    <x v="2"/>
    <m/>
    <m/>
    <m/>
    <m/>
  </r>
  <r>
    <s v="18/03/2023 21:48:48"/>
    <x v="6"/>
    <x v="0"/>
    <x v="4"/>
    <x v="3"/>
    <m/>
    <m/>
    <m/>
    <m/>
  </r>
  <r>
    <s v="18/03/2023 22:14:59"/>
    <x v="7"/>
    <x v="0"/>
    <x v="3"/>
    <x v="4"/>
    <m/>
    <m/>
    <m/>
    <m/>
  </r>
  <r>
    <s v="19/03/2023 10:18:14"/>
    <x v="8"/>
    <x v="0"/>
    <x v="3"/>
    <x v="4"/>
    <m/>
    <m/>
    <m/>
    <m/>
  </r>
  <r>
    <s v="19/03/2023 10:32:32"/>
    <x v="9"/>
    <x v="0"/>
    <x v="3"/>
    <x v="2"/>
    <m/>
    <m/>
    <m/>
    <m/>
  </r>
  <r>
    <s v="19/03/2023 13:07:39"/>
    <x v="10"/>
    <x v="0"/>
    <x v="5"/>
    <x v="5"/>
    <m/>
    <m/>
    <m/>
    <m/>
  </r>
  <r>
    <s v="19/03/2023 13:08:14"/>
    <x v="11"/>
    <x v="0"/>
    <x v="2"/>
    <x v="0"/>
    <m/>
    <m/>
    <m/>
    <m/>
  </r>
  <r>
    <s v="19/03/2023 13:09:13"/>
    <x v="12"/>
    <x v="0"/>
    <x v="3"/>
    <x v="6"/>
    <m/>
    <m/>
    <m/>
    <m/>
  </r>
  <r>
    <s v="19/03/2023 14:45:33"/>
    <x v="13"/>
    <x v="0"/>
    <x v="5"/>
    <x v="7"/>
    <m/>
    <m/>
    <m/>
    <m/>
  </r>
  <r>
    <s v="19/03/2023 15:06:08"/>
    <x v="14"/>
    <x v="0"/>
    <x v="0"/>
    <x v="8"/>
    <m/>
    <m/>
    <m/>
    <m/>
  </r>
  <r>
    <s v="19/03/2023 16:45:57"/>
    <x v="15"/>
    <x v="0"/>
    <x v="4"/>
    <x v="4"/>
    <m/>
    <m/>
    <m/>
    <m/>
  </r>
  <r>
    <s v="19/03/2023 17:00:18"/>
    <x v="16"/>
    <x v="0"/>
    <x v="2"/>
    <x v="4"/>
    <m/>
    <m/>
    <m/>
    <m/>
  </r>
  <r>
    <s v="19/03/2023 17:06:04"/>
    <x v="17"/>
    <x v="0"/>
    <x v="6"/>
    <x v="0"/>
    <m/>
    <m/>
    <m/>
    <m/>
  </r>
  <r>
    <s v="19/03/2023 17:16:59"/>
    <x v="18"/>
    <x v="0"/>
    <x v="4"/>
    <x v="9"/>
    <m/>
    <m/>
    <m/>
    <m/>
  </r>
  <r>
    <s v="19/03/2023 17:27:17"/>
    <x v="19"/>
    <x v="0"/>
    <x v="5"/>
    <x v="4"/>
    <m/>
    <m/>
    <m/>
    <m/>
  </r>
  <r>
    <s v="19/03/2023 17:27:36"/>
    <x v="20"/>
    <x v="0"/>
    <x v="0"/>
    <x v="9"/>
    <m/>
    <m/>
    <m/>
    <m/>
  </r>
  <r>
    <s v="19/03/2023 17:44:46"/>
    <x v="21"/>
    <x v="0"/>
    <x v="3"/>
    <x v="4"/>
    <m/>
    <m/>
    <m/>
    <m/>
  </r>
  <r>
    <s v="19/03/2023 17:59:01"/>
    <x v="22"/>
    <x v="0"/>
    <x v="6"/>
    <x v="10"/>
    <m/>
    <m/>
    <m/>
    <m/>
  </r>
  <r>
    <s v="19/03/2023 19:02:36"/>
    <x v="23"/>
    <x v="0"/>
    <x v="5"/>
    <x v="7"/>
    <m/>
    <m/>
    <m/>
    <m/>
  </r>
  <r>
    <s v="01/04/2023 12:48:01"/>
    <x v="16"/>
    <x v="1"/>
    <x v="7"/>
    <x v="8"/>
    <m/>
    <m/>
    <m/>
    <m/>
  </r>
  <r>
    <s v="01/04/2023 13:01:12"/>
    <x v="3"/>
    <x v="1"/>
    <x v="7"/>
    <x v="4"/>
    <m/>
    <m/>
    <m/>
    <m/>
  </r>
  <r>
    <s v="01/04/2023 13:26:56"/>
    <x v="24"/>
    <x v="1"/>
    <x v="0"/>
    <x v="2"/>
    <m/>
    <m/>
    <m/>
    <m/>
  </r>
  <r>
    <s v="01/04/2023 13:33:00"/>
    <x v="25"/>
    <x v="1"/>
    <x v="6"/>
    <x v="7"/>
    <m/>
    <m/>
    <m/>
    <m/>
  </r>
  <r>
    <s v="01/04/2023 14:26:01"/>
    <x v="5"/>
    <x v="1"/>
    <x v="0"/>
    <x v="6"/>
    <m/>
    <m/>
    <m/>
    <m/>
  </r>
  <r>
    <s v="01/04/2023 17:29:43"/>
    <x v="26"/>
    <x v="1"/>
    <x v="6"/>
    <x v="7"/>
    <m/>
    <m/>
    <m/>
    <m/>
  </r>
  <r>
    <s v="01/04/2023 17:34:32"/>
    <x v="6"/>
    <x v="1"/>
    <x v="8"/>
    <x v="4"/>
    <m/>
    <m/>
    <m/>
    <m/>
  </r>
  <r>
    <s v="01/04/2023 18:11:22"/>
    <x v="27"/>
    <x v="1"/>
    <x v="9"/>
    <x v="11"/>
    <m/>
    <m/>
    <m/>
    <m/>
  </r>
  <r>
    <s v="01/04/2023 19:18:45"/>
    <x v="20"/>
    <x v="1"/>
    <x v="4"/>
    <x v="12"/>
    <m/>
    <m/>
    <m/>
    <m/>
  </r>
  <r>
    <s v="01/04/2023 20:40:54"/>
    <x v="28"/>
    <x v="1"/>
    <x v="4"/>
    <x v="12"/>
    <m/>
    <m/>
    <m/>
    <m/>
  </r>
  <r>
    <s v="01/04/2023 20:59:05"/>
    <x v="7"/>
    <x v="1"/>
    <x v="6"/>
    <x v="0"/>
    <m/>
    <m/>
    <m/>
    <m/>
  </r>
  <r>
    <s v="01/04/2023 21:06:01"/>
    <x v="19"/>
    <x v="1"/>
    <x v="8"/>
    <x v="4"/>
    <m/>
    <m/>
    <m/>
    <m/>
  </r>
  <r>
    <s v="01/04/2023 21:22:11"/>
    <x v="22"/>
    <x v="1"/>
    <x v="7"/>
    <x v="4"/>
    <m/>
    <m/>
    <m/>
    <m/>
  </r>
  <r>
    <s v="01/04/2023 21:41:26"/>
    <x v="4"/>
    <x v="1"/>
    <x v="0"/>
    <x v="3"/>
    <m/>
    <m/>
    <m/>
    <m/>
  </r>
  <r>
    <s v="01/04/2023 21:44:16"/>
    <x v="29"/>
    <x v="1"/>
    <x v="7"/>
    <x v="13"/>
    <m/>
    <m/>
    <m/>
    <m/>
  </r>
  <r>
    <s v="01/04/2023 21:46:35"/>
    <x v="15"/>
    <x v="1"/>
    <x v="4"/>
    <x v="4"/>
    <m/>
    <m/>
    <m/>
    <m/>
  </r>
  <r>
    <s v="01/04/2023 21:48:25"/>
    <x v="30"/>
    <x v="1"/>
    <x v="8"/>
    <x v="8"/>
    <m/>
    <m/>
    <m/>
    <m/>
  </r>
  <r>
    <s v="01/04/2023 21:49:47"/>
    <x v="31"/>
    <x v="1"/>
    <x v="4"/>
    <x v="12"/>
    <m/>
    <m/>
    <m/>
    <m/>
  </r>
  <r>
    <s v="01/04/2023 21:50:55"/>
    <x v="18"/>
    <x v="1"/>
    <x v="0"/>
    <x v="4"/>
    <m/>
    <m/>
    <m/>
    <m/>
  </r>
  <r>
    <s v="01/04/2023 22:13:04"/>
    <x v="32"/>
    <x v="1"/>
    <x v="2"/>
    <x v="0"/>
    <m/>
    <m/>
    <m/>
    <m/>
  </r>
  <r>
    <s v="01/04/2023 22:17:12"/>
    <x v="33"/>
    <x v="1"/>
    <x v="6"/>
    <x v="6"/>
    <m/>
    <m/>
    <m/>
    <m/>
  </r>
  <r>
    <s v="01/04/2023 22:17:17"/>
    <x v="14"/>
    <x v="1"/>
    <x v="0"/>
    <x v="7"/>
    <m/>
    <m/>
    <m/>
    <m/>
  </r>
  <r>
    <s v="01/04/2023 22:20:44"/>
    <x v="34"/>
    <x v="1"/>
    <x v="6"/>
    <x v="12"/>
    <m/>
    <m/>
    <m/>
    <m/>
  </r>
  <r>
    <s v="01/04/2023 23:07:28"/>
    <x v="21"/>
    <x v="1"/>
    <x v="0"/>
    <x v="7"/>
    <m/>
    <m/>
    <m/>
    <m/>
  </r>
  <r>
    <s v="03/04/2023 06:01:07"/>
    <x v="35"/>
    <x v="1"/>
    <x v="10"/>
    <x v="5"/>
    <m/>
    <m/>
    <m/>
    <m/>
  </r>
  <r>
    <s v="29/04/2023 01:19:45"/>
    <x v="17"/>
    <x v="2"/>
    <x v="11"/>
    <x v="14"/>
    <m/>
    <m/>
    <m/>
    <m/>
  </r>
  <r>
    <s v="29/04/2023 14:52:16"/>
    <x v="36"/>
    <x v="2"/>
    <x v="12"/>
    <x v="15"/>
    <m/>
    <m/>
    <m/>
    <m/>
  </r>
  <r>
    <s v="29/04/2023 17:28:45"/>
    <x v="37"/>
    <x v="2"/>
    <x v="13"/>
    <x v="16"/>
    <m/>
    <m/>
    <m/>
    <m/>
  </r>
  <r>
    <s v="29/04/2023 17:29:13"/>
    <x v="38"/>
    <x v="2"/>
    <x v="14"/>
    <x v="17"/>
    <m/>
    <m/>
    <m/>
    <m/>
  </r>
  <r>
    <s v="30/04/2023 07:58:33"/>
    <x v="16"/>
    <x v="2"/>
    <x v="12"/>
    <x v="17"/>
    <m/>
    <m/>
    <m/>
    <m/>
  </r>
  <r>
    <s v="30/04/2023 08:49:06"/>
    <x v="3"/>
    <x v="2"/>
    <x v="11"/>
    <x v="18"/>
    <m/>
    <m/>
    <m/>
    <m/>
  </r>
  <r>
    <s v="30/04/2023 08:49:41"/>
    <x v="19"/>
    <x v="2"/>
    <x v="15"/>
    <x v="16"/>
    <m/>
    <m/>
    <m/>
    <m/>
  </r>
  <r>
    <s v="30/04/2023 08:50:57"/>
    <x v="7"/>
    <x v="2"/>
    <x v="12"/>
    <x v="15"/>
    <m/>
    <m/>
    <m/>
    <m/>
  </r>
  <r>
    <s v="30/04/2023 09:07:20"/>
    <x v="15"/>
    <x v="2"/>
    <x v="12"/>
    <x v="19"/>
    <m/>
    <m/>
    <m/>
    <m/>
  </r>
  <r>
    <s v="30/04/2023 09:08:38"/>
    <x v="24"/>
    <x v="2"/>
    <x v="15"/>
    <x v="15"/>
    <m/>
    <m/>
    <m/>
    <m/>
  </r>
  <r>
    <s v="30/04/2023 09:11:08"/>
    <x v="12"/>
    <x v="2"/>
    <x v="15"/>
    <x v="16"/>
    <m/>
    <m/>
    <m/>
    <m/>
  </r>
  <r>
    <s v="30/04/2023 09:21:44"/>
    <x v="35"/>
    <x v="2"/>
    <x v="16"/>
    <x v="14"/>
    <m/>
    <m/>
    <m/>
    <m/>
  </r>
  <r>
    <s v="30/04/2023 09:27:32"/>
    <x v="32"/>
    <x v="2"/>
    <x v="15"/>
    <x v="20"/>
    <m/>
    <m/>
    <m/>
    <m/>
  </r>
  <r>
    <s v="30/04/2023 09:33:37"/>
    <x v="20"/>
    <x v="2"/>
    <x v="17"/>
    <x v="16"/>
    <m/>
    <m/>
    <m/>
    <m/>
  </r>
  <r>
    <s v="30/04/2023 09:49:02"/>
    <x v="22"/>
    <x v="2"/>
    <x v="12"/>
    <x v="18"/>
    <m/>
    <m/>
    <m/>
    <m/>
  </r>
  <r>
    <s v="30/04/2023 09:51:43"/>
    <x v="11"/>
    <x v="2"/>
    <x v="11"/>
    <x v="15"/>
    <m/>
    <m/>
    <m/>
    <m/>
  </r>
  <r>
    <s v="30/04/2023 09:53:38"/>
    <x v="10"/>
    <x v="2"/>
    <x v="15"/>
    <x v="19"/>
    <m/>
    <m/>
    <m/>
    <m/>
  </r>
  <r>
    <s v="30/04/2023 11:13:22"/>
    <x v="21"/>
    <x v="2"/>
    <x v="11"/>
    <x v="18"/>
    <m/>
    <m/>
    <m/>
    <m/>
  </r>
  <r>
    <s v="30/04/2023 11:13:42"/>
    <x v="6"/>
    <x v="2"/>
    <x v="12"/>
    <x v="17"/>
    <m/>
    <m/>
    <m/>
    <m/>
  </r>
  <r>
    <s v="30/04/2023 11:18:01"/>
    <x v="4"/>
    <x v="2"/>
    <x v="15"/>
    <x v="21"/>
    <m/>
    <m/>
    <m/>
    <m/>
  </r>
  <r>
    <s v="30/04/2023 11:18:44"/>
    <x v="5"/>
    <x v="2"/>
    <x v="15"/>
    <x v="22"/>
    <m/>
    <m/>
    <m/>
    <m/>
  </r>
  <r>
    <s v="30/04/2023 11:18:54"/>
    <x v="28"/>
    <x v="2"/>
    <x v="15"/>
    <x v="16"/>
    <m/>
    <m/>
    <m/>
    <m/>
  </r>
  <r>
    <s v="30/04/2023 11:31:02"/>
    <x v="0"/>
    <x v="2"/>
    <x v="14"/>
    <x v="23"/>
    <m/>
    <m/>
    <m/>
    <m/>
  </r>
  <r>
    <s v="30/04/2023 12:49:47"/>
    <x v="39"/>
    <x v="2"/>
    <x v="15"/>
    <x v="15"/>
    <m/>
    <m/>
    <m/>
    <m/>
  </r>
  <r>
    <s v="30/04/2023 12:53:36"/>
    <x v="2"/>
    <x v="2"/>
    <x v="18"/>
    <x v="16"/>
    <m/>
    <m/>
    <m/>
    <m/>
  </r>
  <r>
    <s v="06/05/2023 23:07:25"/>
    <x v="10"/>
    <x v="3"/>
    <x v="19"/>
    <x v="24"/>
    <m/>
    <m/>
    <m/>
    <m/>
  </r>
  <r>
    <s v="06/05/2023 23:07:50"/>
    <x v="11"/>
    <x v="3"/>
    <x v="11"/>
    <x v="24"/>
    <m/>
    <m/>
    <m/>
    <m/>
  </r>
  <r>
    <s v="07/05/2023 09:59:10"/>
    <x v="36"/>
    <x v="3"/>
    <x v="13"/>
    <x v="25"/>
    <m/>
    <m/>
    <m/>
    <m/>
  </r>
  <r>
    <s v="07/05/2023 10:00:06"/>
    <x v="32"/>
    <x v="3"/>
    <x v="20"/>
    <x v="16"/>
    <m/>
    <m/>
    <m/>
    <m/>
  </r>
  <r>
    <s v="07/05/2023 10:36:16"/>
    <x v="24"/>
    <x v="3"/>
    <x v="12"/>
    <x v="24"/>
    <m/>
    <m/>
    <m/>
    <m/>
  </r>
  <r>
    <s v="07/05/2023 12:20:01"/>
    <x v="6"/>
    <x v="3"/>
    <x v="12"/>
    <x v="21"/>
    <m/>
    <m/>
    <m/>
    <m/>
  </r>
  <r>
    <s v="07/05/2023 13:25:31"/>
    <x v="19"/>
    <x v="3"/>
    <x v="13"/>
    <x v="16"/>
    <m/>
    <m/>
    <m/>
    <m/>
  </r>
  <r>
    <s v="07/05/2023 16:27:02"/>
    <x v="5"/>
    <x v="3"/>
    <x v="12"/>
    <x v="21"/>
    <m/>
    <m/>
    <m/>
    <m/>
  </r>
  <r>
    <s v="07/05/2023 16:44:52"/>
    <x v="4"/>
    <x v="3"/>
    <x v="11"/>
    <x v="16"/>
    <m/>
    <m/>
    <m/>
    <m/>
  </r>
  <r>
    <s v="07/05/2023 16:46:19"/>
    <x v="3"/>
    <x v="3"/>
    <x v="13"/>
    <x v="17"/>
    <m/>
    <m/>
    <m/>
    <m/>
  </r>
  <r>
    <s v="07/05/2023 16:48:58"/>
    <x v="2"/>
    <x v="3"/>
    <x v="20"/>
    <x v="20"/>
    <m/>
    <m/>
    <m/>
    <m/>
  </r>
  <r>
    <s v="07/05/2023 16:51:02"/>
    <x v="20"/>
    <x v="3"/>
    <x v="21"/>
    <x v="16"/>
    <m/>
    <m/>
    <m/>
    <m/>
  </r>
  <r>
    <s v="07/05/2023 16:53:33"/>
    <x v="17"/>
    <x v="3"/>
    <x v="22"/>
    <x v="26"/>
    <m/>
    <m/>
    <m/>
    <m/>
  </r>
  <r>
    <s v="07/05/2023 17:11:45"/>
    <x v="15"/>
    <x v="3"/>
    <x v="21"/>
    <x v="16"/>
    <m/>
    <m/>
    <m/>
    <m/>
  </r>
  <r>
    <s v="07/05/2023 17:15:46"/>
    <x v="35"/>
    <x v="3"/>
    <x v="23"/>
    <x v="19"/>
    <m/>
    <m/>
    <m/>
    <m/>
  </r>
  <r>
    <s v="07/05/2023 17:22:32"/>
    <x v="12"/>
    <x v="3"/>
    <x v="13"/>
    <x v="16"/>
    <m/>
    <m/>
    <m/>
    <m/>
  </r>
  <r>
    <s v="07/05/2023 17:26:31"/>
    <x v="22"/>
    <x v="3"/>
    <x v="20"/>
    <x v="27"/>
    <m/>
    <m/>
    <m/>
    <m/>
  </r>
  <r>
    <s v="07/05/2023 17:32:47"/>
    <x v="7"/>
    <x v="3"/>
    <x v="14"/>
    <x v="16"/>
    <m/>
    <m/>
    <m/>
    <m/>
  </r>
  <r>
    <s v="07/05/2023 17:34:43"/>
    <x v="38"/>
    <x v="3"/>
    <x v="12"/>
    <x v="26"/>
    <m/>
    <m/>
    <m/>
    <m/>
  </r>
  <r>
    <s v="07/05/2023 17:46:34"/>
    <x v="37"/>
    <x v="3"/>
    <x v="13"/>
    <x v="21"/>
    <m/>
    <m/>
    <m/>
    <m/>
  </r>
  <r>
    <s v="07/05/2023 17:49:56"/>
    <x v="0"/>
    <x v="3"/>
    <x v="14"/>
    <x v="27"/>
    <m/>
    <m/>
    <m/>
    <m/>
  </r>
  <r>
    <s v="07/05/2023 18:04:55"/>
    <x v="16"/>
    <x v="3"/>
    <x v="11"/>
    <x v="20"/>
    <m/>
    <m/>
    <m/>
    <m/>
  </r>
  <r>
    <s v="07/05/2023 18:33:53"/>
    <x v="28"/>
    <x v="3"/>
    <x v="12"/>
    <x v="21"/>
    <m/>
    <m/>
    <m/>
    <m/>
  </r>
  <r>
    <s v="07/05/2023 18:55:47"/>
    <x v="21"/>
    <x v="3"/>
    <x v="13"/>
    <x v="19"/>
    <m/>
    <m/>
    <m/>
    <m/>
  </r>
  <r>
    <s v="07/05/2023 19:02:34"/>
    <x v="39"/>
    <x v="3"/>
    <x v="14"/>
    <x v="16"/>
    <m/>
    <m/>
    <m/>
    <m/>
  </r>
  <r>
    <s v="28/05/2023 08:09:28"/>
    <x v="12"/>
    <x v="4"/>
    <x v="22"/>
    <x v="28"/>
    <m/>
    <m/>
    <m/>
    <m/>
  </r>
  <r>
    <s v="28/05/2023 08:25:24"/>
    <x v="3"/>
    <x v="4"/>
    <x v="15"/>
    <x v="17"/>
    <m/>
    <m/>
    <m/>
    <m/>
  </r>
  <r>
    <s v="28/05/2023 09:14:15"/>
    <x v="2"/>
    <x v="4"/>
    <x v="15"/>
    <x v="19"/>
    <m/>
    <m/>
    <m/>
    <m/>
  </r>
  <r>
    <s v="28/05/2023 09:14:59"/>
    <x v="20"/>
    <x v="4"/>
    <x v="24"/>
    <x v="15"/>
    <m/>
    <m/>
    <m/>
    <m/>
  </r>
  <r>
    <s v="28/05/2023 09:18:11"/>
    <x v="22"/>
    <x v="4"/>
    <x v="24"/>
    <x v="22"/>
    <m/>
    <m/>
    <m/>
    <m/>
  </r>
  <r>
    <s v="28/05/2023 09:55:00"/>
    <x v="24"/>
    <x v="4"/>
    <x v="22"/>
    <x v="18"/>
    <m/>
    <m/>
    <m/>
    <m/>
  </r>
  <r>
    <s v="28/05/2023 09:57:38"/>
    <x v="11"/>
    <x v="4"/>
    <x v="15"/>
    <x v="15"/>
    <m/>
    <m/>
    <m/>
    <m/>
  </r>
  <r>
    <s v="28/05/2023 09:59:30"/>
    <x v="10"/>
    <x v="4"/>
    <x v="15"/>
    <x v="17"/>
    <m/>
    <m/>
    <m/>
    <m/>
  </r>
  <r>
    <s v="28/05/2023 10:05:11"/>
    <x v="36"/>
    <x v="4"/>
    <x v="22"/>
    <x v="28"/>
    <m/>
    <m/>
    <m/>
    <m/>
  </r>
  <r>
    <s v="28/05/2023 10:09:01"/>
    <x v="32"/>
    <x v="4"/>
    <x v="15"/>
    <x v="28"/>
    <m/>
    <m/>
    <m/>
    <m/>
  </r>
  <r>
    <s v="28/05/2023 10:36:43"/>
    <x v="19"/>
    <x v="4"/>
    <x v="25"/>
    <x v="26"/>
    <m/>
    <m/>
    <m/>
    <m/>
  </r>
  <r>
    <s v="28/05/2023 10:44:45"/>
    <x v="6"/>
    <x v="4"/>
    <x v="13"/>
    <x v="17"/>
    <m/>
    <m/>
    <m/>
    <m/>
  </r>
  <r>
    <s v="28/05/2023 11:31:03"/>
    <x v="16"/>
    <x v="4"/>
    <x v="17"/>
    <x v="18"/>
    <m/>
    <m/>
    <m/>
    <m/>
  </r>
  <r>
    <s v="28/05/2023 11:47:26"/>
    <x v="40"/>
    <x v="4"/>
    <x v="17"/>
    <x v="17"/>
    <m/>
    <m/>
    <m/>
    <m/>
  </r>
  <r>
    <s v="28/05/2023 12:14:39"/>
    <x v="17"/>
    <x v="4"/>
    <x v="15"/>
    <x v="21"/>
    <m/>
    <m/>
    <m/>
    <m/>
  </r>
  <r>
    <s v="28/05/2023 12:15:23"/>
    <x v="15"/>
    <x v="4"/>
    <x v="20"/>
    <x v="18"/>
    <m/>
    <m/>
    <m/>
    <m/>
  </r>
  <r>
    <s v="28/05/2023 12:34:38"/>
    <x v="39"/>
    <x v="4"/>
    <x v="15"/>
    <x v="21"/>
    <m/>
    <m/>
    <m/>
    <m/>
  </r>
  <r>
    <s v="28/05/2023 12:55:20"/>
    <x v="0"/>
    <x v="4"/>
    <x v="15"/>
    <x v="25"/>
    <m/>
    <m/>
    <m/>
    <m/>
  </r>
  <r>
    <s v="28/05/2023 13:03:53"/>
    <x v="4"/>
    <x v="4"/>
    <x v="15"/>
    <x v="26"/>
    <m/>
    <m/>
    <m/>
    <m/>
  </r>
  <r>
    <s v="28/05/2023 13:09:39"/>
    <x v="5"/>
    <x v="4"/>
    <x v="15"/>
    <x v="21"/>
    <m/>
    <m/>
    <m/>
    <m/>
  </r>
  <r>
    <s v="28/05/2023 13:14:58"/>
    <x v="7"/>
    <x v="4"/>
    <x v="15"/>
    <x v="21"/>
    <m/>
    <m/>
    <m/>
    <m/>
  </r>
  <r>
    <s v="28/05/2023 13:31:29"/>
    <x v="21"/>
    <x v="4"/>
    <x v="15"/>
    <x v="28"/>
    <m/>
    <m/>
    <m/>
    <m/>
  </r>
  <r>
    <s v="28/05/2023 13:36:00"/>
    <x v="37"/>
    <x v="4"/>
    <x v="22"/>
    <x v="19"/>
    <m/>
    <m/>
    <m/>
    <m/>
  </r>
  <r>
    <s v="28/05/2023 13:36:15"/>
    <x v="38"/>
    <x v="4"/>
    <x v="26"/>
    <x v="22"/>
    <m/>
    <m/>
    <m/>
    <m/>
  </r>
  <r>
    <s v="28/05/2023 13:37:01"/>
    <x v="28"/>
    <x v="4"/>
    <x v="15"/>
    <x v="22"/>
    <m/>
    <m/>
    <m/>
    <m/>
  </r>
  <r>
    <s v="28/05/2023 15:02:58"/>
    <x v="35"/>
    <x v="4"/>
    <x v="23"/>
    <x v="25"/>
    <m/>
    <m/>
    <m/>
    <m/>
  </r>
  <r>
    <s v="03/06/2023 19:36:36"/>
    <x v="36"/>
    <x v="5"/>
    <x v="26"/>
    <x v="14"/>
    <m/>
    <m/>
    <m/>
    <m/>
  </r>
  <r>
    <s v="04/06/2023 08:09:16"/>
    <x v="37"/>
    <x v="5"/>
    <x v="12"/>
    <x v="21"/>
    <m/>
    <m/>
    <m/>
    <m/>
  </r>
  <r>
    <s v="04/06/2023 08:17:28"/>
    <x v="38"/>
    <x v="5"/>
    <x v="22"/>
    <x v="21"/>
    <m/>
    <m/>
    <m/>
    <m/>
  </r>
  <r>
    <s v="04/06/2023 09:27:29"/>
    <x v="40"/>
    <x v="5"/>
    <x v="17"/>
    <x v="20"/>
    <m/>
    <m/>
    <m/>
    <m/>
  </r>
  <r>
    <s v="04/06/2023 09:32:01"/>
    <x v="10"/>
    <x v="5"/>
    <x v="13"/>
    <x v="19"/>
    <m/>
    <m/>
    <m/>
    <m/>
  </r>
  <r>
    <s v="04/06/2023 09:59:03"/>
    <x v="6"/>
    <x v="5"/>
    <x v="17"/>
    <x v="18"/>
    <m/>
    <m/>
    <m/>
    <m/>
  </r>
  <r>
    <s v="04/06/2023 10:30:19"/>
    <x v="11"/>
    <x v="5"/>
    <x v="12"/>
    <x v="21"/>
    <m/>
    <m/>
    <m/>
    <m/>
  </r>
  <r>
    <s v="04/06/2023 12:07:02"/>
    <x v="19"/>
    <x v="5"/>
    <x v="12"/>
    <x v="20"/>
    <m/>
    <m/>
    <m/>
    <m/>
  </r>
  <r>
    <s v="04/06/2023 12:08:58"/>
    <x v="3"/>
    <x v="5"/>
    <x v="17"/>
    <x v="24"/>
    <m/>
    <m/>
    <m/>
    <m/>
  </r>
  <r>
    <s v="04/06/2023 12:13:16"/>
    <x v="24"/>
    <x v="5"/>
    <x v="13"/>
    <x v="15"/>
    <m/>
    <m/>
    <m/>
    <m/>
  </r>
  <r>
    <s v="04/06/2023 12:33:26"/>
    <x v="28"/>
    <x v="5"/>
    <x v="13"/>
    <x v="14"/>
    <m/>
    <m/>
    <m/>
    <m/>
  </r>
  <r>
    <s v="04/06/2023 13:06:12"/>
    <x v="0"/>
    <x v="5"/>
    <x v="27"/>
    <x v="16"/>
    <m/>
    <m/>
    <m/>
    <m/>
  </r>
  <r>
    <s v="04/06/2023 13:16:21"/>
    <x v="32"/>
    <x v="5"/>
    <x v="12"/>
    <x v="22"/>
    <m/>
    <m/>
    <m/>
    <m/>
  </r>
  <r>
    <s v="04/06/2023 13:17:57"/>
    <x v="16"/>
    <x v="5"/>
    <x v="17"/>
    <x v="20"/>
    <m/>
    <m/>
    <m/>
    <m/>
  </r>
  <r>
    <s v="04/06/2023 13:39:42"/>
    <x v="2"/>
    <x v="5"/>
    <x v="20"/>
    <x v="26"/>
    <m/>
    <m/>
    <m/>
    <m/>
  </r>
  <r>
    <s v="04/06/2023 13:40:49"/>
    <x v="35"/>
    <x v="5"/>
    <x v="20"/>
    <x v="27"/>
    <m/>
    <m/>
    <m/>
    <m/>
  </r>
  <r>
    <s v="04/06/2023 13:40:51"/>
    <x v="15"/>
    <x v="5"/>
    <x v="15"/>
    <x v="15"/>
    <m/>
    <m/>
    <m/>
    <m/>
  </r>
  <r>
    <s v="04/06/2023 13:41:11"/>
    <x v="21"/>
    <x v="5"/>
    <x v="17"/>
    <x v="24"/>
    <m/>
    <m/>
    <m/>
    <m/>
  </r>
  <r>
    <s v="04/06/2023 13:46:29"/>
    <x v="17"/>
    <x v="5"/>
    <x v="17"/>
    <x v="24"/>
    <m/>
    <m/>
    <m/>
    <m/>
  </r>
  <r>
    <s v="04/06/2023 13:53:20"/>
    <x v="4"/>
    <x v="5"/>
    <x v="13"/>
    <x v="18"/>
    <m/>
    <m/>
    <m/>
    <m/>
  </r>
  <r>
    <s v="04/06/2023 13:54:06"/>
    <x v="7"/>
    <x v="5"/>
    <x v="20"/>
    <x v="15"/>
    <m/>
    <m/>
    <m/>
    <m/>
  </r>
  <r>
    <s v="04/06/2023 14:00:30"/>
    <x v="22"/>
    <x v="5"/>
    <x v="15"/>
    <x v="15"/>
    <m/>
    <m/>
    <m/>
    <m/>
  </r>
  <r>
    <s v="04/06/2023 14:01:09"/>
    <x v="20"/>
    <x v="5"/>
    <x v="17"/>
    <x v="24"/>
    <m/>
    <m/>
    <m/>
    <m/>
  </r>
  <r>
    <s v="04/06/2023 14:09:53"/>
    <x v="5"/>
    <x v="5"/>
    <x v="13"/>
    <x v="22"/>
    <m/>
    <m/>
    <m/>
    <m/>
  </r>
  <r>
    <s v="04/06/2023 14:29:03"/>
    <x v="39"/>
    <x v="5"/>
    <x v="17"/>
    <x v="21"/>
    <m/>
    <m/>
    <m/>
    <m/>
  </r>
  <r>
    <s v="16/06/2023 13:43:59"/>
    <x v="35"/>
    <x v="6"/>
    <x v="17"/>
    <x v="24"/>
    <m/>
    <m/>
    <m/>
    <m/>
  </r>
  <r>
    <s v="17/06/2023 19:09:02"/>
    <x v="2"/>
    <x v="6"/>
    <x v="23"/>
    <x v="15"/>
    <m/>
    <m/>
    <m/>
    <m/>
  </r>
  <r>
    <s v="18/06/2023 12:17:43"/>
    <x v="16"/>
    <x v="6"/>
    <x v="17"/>
    <x v="26"/>
    <m/>
    <m/>
    <m/>
    <m/>
  </r>
  <r>
    <s v="18/06/2023 16:10:29"/>
    <x v="24"/>
    <x v="6"/>
    <x v="22"/>
    <x v="15"/>
    <m/>
    <m/>
    <m/>
    <m/>
  </r>
  <r>
    <s v="18/06/2023 16:10:41"/>
    <x v="12"/>
    <x v="6"/>
    <x v="17"/>
    <x v="24"/>
    <m/>
    <m/>
    <m/>
    <m/>
  </r>
  <r>
    <s v="18/06/2023 16:57:14"/>
    <x v="4"/>
    <x v="6"/>
    <x v="22"/>
    <x v="18"/>
    <m/>
    <m/>
    <m/>
    <m/>
  </r>
  <r>
    <s v="18/06/2023 16:58:03"/>
    <x v="5"/>
    <x v="6"/>
    <x v="12"/>
    <x v="22"/>
    <m/>
    <m/>
    <m/>
    <m/>
  </r>
  <r>
    <s v="18/06/2023 17:01:48"/>
    <x v="32"/>
    <x v="6"/>
    <x v="13"/>
    <x v="16"/>
    <m/>
    <m/>
    <m/>
    <m/>
  </r>
  <r>
    <s v="18/06/2023 17:02:05"/>
    <x v="6"/>
    <x v="6"/>
    <x v="12"/>
    <x v="21"/>
    <m/>
    <m/>
    <m/>
    <m/>
  </r>
  <r>
    <s v="18/06/2023 17:03:39"/>
    <x v="3"/>
    <x v="6"/>
    <x v="17"/>
    <x v="19"/>
    <m/>
    <m/>
    <m/>
    <m/>
  </r>
  <r>
    <s v="18/06/2023 17:12:24"/>
    <x v="0"/>
    <x v="6"/>
    <x v="22"/>
    <x v="20"/>
    <m/>
    <m/>
    <m/>
    <m/>
  </r>
  <r>
    <s v="18/06/2023 17:17:08"/>
    <x v="15"/>
    <x v="6"/>
    <x v="13"/>
    <x v="16"/>
    <m/>
    <m/>
    <m/>
    <m/>
  </r>
  <r>
    <s v="18/06/2023 17:17:21"/>
    <x v="36"/>
    <x v="6"/>
    <x v="28"/>
    <x v="24"/>
    <m/>
    <m/>
    <m/>
    <m/>
  </r>
  <r>
    <s v="18/06/2023 17:29:21"/>
    <x v="40"/>
    <x v="6"/>
    <x v="17"/>
    <x v="17"/>
    <m/>
    <m/>
    <m/>
    <m/>
  </r>
  <r>
    <s v="18/06/2023 17:45:31"/>
    <x v="10"/>
    <x v="6"/>
    <x v="17"/>
    <x v="22"/>
    <m/>
    <m/>
    <m/>
    <m/>
  </r>
  <r>
    <s v="18/06/2023 17:48:19"/>
    <x v="7"/>
    <x v="6"/>
    <x v="15"/>
    <x v="26"/>
    <m/>
    <m/>
    <m/>
    <m/>
  </r>
  <r>
    <s v="18/06/2023 18:00:02"/>
    <x v="17"/>
    <x v="6"/>
    <x v="12"/>
    <x v="15"/>
    <m/>
    <m/>
    <m/>
    <m/>
  </r>
  <r>
    <s v="18/06/2023 18:20:06"/>
    <x v="38"/>
    <x v="6"/>
    <x v="17"/>
    <x v="19"/>
    <m/>
    <m/>
    <m/>
    <m/>
  </r>
  <r>
    <s v="18/06/2023 18:22:16"/>
    <x v="11"/>
    <x v="6"/>
    <x v="26"/>
    <x v="15"/>
    <m/>
    <m/>
    <m/>
    <m/>
  </r>
  <r>
    <s v="18/06/2023 18:22:44"/>
    <x v="28"/>
    <x v="6"/>
    <x v="17"/>
    <x v="22"/>
    <m/>
    <m/>
    <m/>
    <m/>
  </r>
  <r>
    <s v="18/06/2023 18:25:31"/>
    <x v="37"/>
    <x v="6"/>
    <x v="22"/>
    <x v="16"/>
    <m/>
    <m/>
    <m/>
    <m/>
  </r>
  <r>
    <s v="18/06/2023 18:30:37"/>
    <x v="39"/>
    <x v="6"/>
    <x v="22"/>
    <x v="17"/>
    <m/>
    <m/>
    <m/>
    <m/>
  </r>
  <r>
    <s v="18/06/2023 18:42:01"/>
    <x v="19"/>
    <x v="6"/>
    <x v="17"/>
    <x v="22"/>
    <m/>
    <m/>
    <m/>
    <m/>
  </r>
  <r>
    <s v="18/06/2023 18:55:33"/>
    <x v="22"/>
    <x v="6"/>
    <x v="22"/>
    <x v="19"/>
    <m/>
    <m/>
    <m/>
    <m/>
  </r>
  <r>
    <s v="18/06/2023 18:56:00"/>
    <x v="20"/>
    <x v="6"/>
    <x v="17"/>
    <x v="19"/>
    <m/>
    <m/>
    <m/>
    <m/>
  </r>
  <r>
    <s v="18/06/2023 19:10:51"/>
    <x v="21"/>
    <x v="6"/>
    <x v="17"/>
    <x v="17"/>
    <m/>
    <m/>
    <m/>
    <m/>
  </r>
  <r>
    <s v="01/07/2023 20:09:40"/>
    <x v="19"/>
    <x v="7"/>
    <x v="12"/>
    <x v="21"/>
    <m/>
    <m/>
    <m/>
    <m/>
  </r>
  <r>
    <s v="01/07/2023 21:24:33"/>
    <x v="2"/>
    <x v="7"/>
    <x v="15"/>
    <x v="25"/>
    <m/>
    <m/>
    <m/>
    <m/>
  </r>
  <r>
    <s v="02/07/2023 08:52:47"/>
    <x v="37"/>
    <x v="7"/>
    <x v="12"/>
    <x v="21"/>
    <m/>
    <m/>
    <m/>
    <m/>
  </r>
  <r>
    <s v="02/07/2023 09:05:42"/>
    <x v="0"/>
    <x v="7"/>
    <x v="12"/>
    <x v="15"/>
    <m/>
    <m/>
    <m/>
    <m/>
  </r>
  <r>
    <s v="02/07/2023 09:07:57"/>
    <x v="38"/>
    <x v="7"/>
    <x v="22"/>
    <x v="16"/>
    <m/>
    <m/>
    <m/>
    <m/>
  </r>
  <r>
    <s v="02/07/2023 09:35:59"/>
    <x v="16"/>
    <x v="7"/>
    <x v="13"/>
    <x v="16"/>
    <m/>
    <m/>
    <m/>
    <m/>
  </r>
  <r>
    <s v="02/07/2023 09:40:10"/>
    <x v="12"/>
    <x v="7"/>
    <x v="12"/>
    <x v="25"/>
    <m/>
    <m/>
    <m/>
    <m/>
  </r>
  <r>
    <s v="02/07/2023 10:02:05"/>
    <x v="32"/>
    <x v="7"/>
    <x v="22"/>
    <x v="16"/>
    <m/>
    <m/>
    <m/>
    <m/>
  </r>
  <r>
    <s v="02/07/2023 10:02:54"/>
    <x v="36"/>
    <x v="7"/>
    <x v="22"/>
    <x v="21"/>
    <m/>
    <m/>
    <m/>
    <m/>
  </r>
  <r>
    <s v="02/07/2023 10:32:24"/>
    <x v="3"/>
    <x v="7"/>
    <x v="20"/>
    <x v="16"/>
    <m/>
    <m/>
    <m/>
    <m/>
  </r>
  <r>
    <s v="02/07/2023 10:43:08"/>
    <x v="6"/>
    <x v="7"/>
    <x v="13"/>
    <x v="16"/>
    <m/>
    <m/>
    <m/>
    <m/>
  </r>
  <r>
    <s v="02/07/2023 12:03:24"/>
    <x v="40"/>
    <x v="7"/>
    <x v="12"/>
    <x v="15"/>
    <m/>
    <m/>
    <m/>
    <m/>
  </r>
  <r>
    <s v="02/07/2023 12:19:08"/>
    <x v="24"/>
    <x v="7"/>
    <x v="13"/>
    <x v="16"/>
    <m/>
    <m/>
    <m/>
    <m/>
  </r>
  <r>
    <s v="02/07/2023 12:33:57"/>
    <x v="10"/>
    <x v="7"/>
    <x v="13"/>
    <x v="15"/>
    <m/>
    <m/>
    <m/>
    <m/>
  </r>
  <r>
    <s v="02/07/2023 12:34:52"/>
    <x v="11"/>
    <x v="7"/>
    <x v="17"/>
    <x v="17"/>
    <m/>
    <m/>
    <m/>
    <m/>
  </r>
  <r>
    <s v="02/07/2023 12:54:15"/>
    <x v="15"/>
    <x v="7"/>
    <x v="11"/>
    <x v="21"/>
    <m/>
    <m/>
    <m/>
    <m/>
  </r>
  <r>
    <s v="02/07/2023 13:17:16"/>
    <x v="28"/>
    <x v="7"/>
    <x v="20"/>
    <x v="15"/>
    <m/>
    <m/>
    <m/>
    <m/>
  </r>
  <r>
    <s v="02/07/2023 13:20:35"/>
    <x v="4"/>
    <x v="7"/>
    <x v="15"/>
    <x v="17"/>
    <m/>
    <m/>
    <m/>
    <m/>
  </r>
  <r>
    <s v="02/07/2023 13:21:00"/>
    <x v="5"/>
    <x v="7"/>
    <x v="20"/>
    <x v="22"/>
    <m/>
    <m/>
    <m/>
    <m/>
  </r>
  <r>
    <s v="02/07/2023 13:33:18"/>
    <x v="17"/>
    <x v="7"/>
    <x v="17"/>
    <x v="16"/>
    <m/>
    <m/>
    <m/>
    <m/>
  </r>
  <r>
    <s v="02/07/2023 14:40:50"/>
    <x v="39"/>
    <x v="7"/>
    <x v="22"/>
    <x v="24"/>
    <m/>
    <m/>
    <m/>
    <m/>
  </r>
  <r>
    <s v="02/07/2023 14:45:08"/>
    <x v="21"/>
    <x v="7"/>
    <x v="12"/>
    <x v="15"/>
    <m/>
    <m/>
    <m/>
    <m/>
  </r>
  <r>
    <s v="02/07/2023 14:46:56"/>
    <x v="35"/>
    <x v="7"/>
    <x v="27"/>
    <x v="21"/>
    <m/>
    <m/>
    <m/>
    <m/>
  </r>
  <r>
    <s v="02/07/2023 14:48:09"/>
    <x v="22"/>
    <x v="7"/>
    <x v="13"/>
    <x v="21"/>
    <m/>
    <m/>
    <m/>
    <m/>
  </r>
  <r>
    <s v="02/07/2023 14:48:55"/>
    <x v="20"/>
    <x v="7"/>
    <x v="20"/>
    <x v="17"/>
    <m/>
    <m/>
    <m/>
    <m/>
  </r>
  <r>
    <s v="08/07/2023 11:38:04"/>
    <x v="35"/>
    <x v="8"/>
    <x v="25"/>
    <x v="29"/>
    <m/>
    <m/>
    <m/>
    <m/>
  </r>
  <r>
    <s v="08/07/2023 19:37:31"/>
    <x v="11"/>
    <x v="8"/>
    <x v="12"/>
    <x v="17"/>
    <m/>
    <m/>
    <m/>
    <m/>
  </r>
  <r>
    <s v="08/07/2023 19:38:41"/>
    <x v="10"/>
    <x v="8"/>
    <x v="11"/>
    <x v="24"/>
    <m/>
    <m/>
    <m/>
    <m/>
  </r>
  <r>
    <s v="09/07/2023 08:39:27"/>
    <x v="12"/>
    <x v="8"/>
    <x v="11"/>
    <x v="19"/>
    <m/>
    <m/>
    <m/>
    <m/>
  </r>
  <r>
    <s v="09/07/2023 09:19:22"/>
    <x v="3"/>
    <x v="8"/>
    <x v="26"/>
    <x v="21"/>
    <m/>
    <m/>
    <m/>
    <m/>
  </r>
  <r>
    <s v="09/07/2023 09:20:45"/>
    <x v="38"/>
    <x v="8"/>
    <x v="11"/>
    <x v="19"/>
    <m/>
    <m/>
    <m/>
    <m/>
  </r>
  <r>
    <s v="09/07/2023 09:20:46"/>
    <x v="37"/>
    <x v="8"/>
    <x v="26"/>
    <x v="16"/>
    <m/>
    <m/>
    <m/>
    <m/>
  </r>
  <r>
    <s v="09/07/2023 09:34:58"/>
    <x v="40"/>
    <x v="8"/>
    <x v="20"/>
    <x v="24"/>
    <m/>
    <m/>
    <m/>
    <m/>
  </r>
  <r>
    <s v="09/07/2023 10:32:07"/>
    <x v="19"/>
    <x v="8"/>
    <x v="11"/>
    <x v="19"/>
    <m/>
    <m/>
    <m/>
    <m/>
  </r>
  <r>
    <s v="09/07/2023 10:47:51"/>
    <x v="16"/>
    <x v="8"/>
    <x v="11"/>
    <x v="16"/>
    <m/>
    <m/>
    <m/>
    <m/>
  </r>
  <r>
    <s v="09/07/2023 10:48:42"/>
    <x v="17"/>
    <x v="8"/>
    <x v="26"/>
    <x v="16"/>
    <m/>
    <m/>
    <m/>
    <m/>
  </r>
  <r>
    <s v="09/07/2023 12:08:45"/>
    <x v="6"/>
    <x v="8"/>
    <x v="12"/>
    <x v="18"/>
    <m/>
    <m/>
    <m/>
    <m/>
  </r>
  <r>
    <s v="09/07/2023 13:13:54"/>
    <x v="20"/>
    <x v="8"/>
    <x v="12"/>
    <x v="21"/>
    <m/>
    <m/>
    <m/>
    <m/>
  </r>
  <r>
    <s v="09/07/2023 13:21:31"/>
    <x v="4"/>
    <x v="8"/>
    <x v="20"/>
    <x v="15"/>
    <m/>
    <m/>
    <m/>
    <m/>
  </r>
  <r>
    <s v="09/07/2023 13:30:26"/>
    <x v="2"/>
    <x v="8"/>
    <x v="26"/>
    <x v="16"/>
    <m/>
    <m/>
    <m/>
    <m/>
  </r>
  <r>
    <s v="09/07/2023 13:30:49"/>
    <x v="7"/>
    <x v="8"/>
    <x v="20"/>
    <x v="16"/>
    <m/>
    <m/>
    <m/>
    <m/>
  </r>
  <r>
    <s v="09/07/2023 13:36:56"/>
    <x v="0"/>
    <x v="8"/>
    <x v="29"/>
    <x v="28"/>
    <m/>
    <m/>
    <m/>
    <m/>
  </r>
  <r>
    <s v="09/07/2023 13:44:40"/>
    <x v="15"/>
    <x v="8"/>
    <x v="17"/>
    <x v="21"/>
    <m/>
    <m/>
    <m/>
    <m/>
  </r>
  <r>
    <s v="09/07/2023 13:59:39"/>
    <x v="32"/>
    <x v="8"/>
    <x v="17"/>
    <x v="19"/>
    <m/>
    <m/>
    <m/>
    <m/>
  </r>
  <r>
    <s v="09/07/2023 14:10:21"/>
    <x v="39"/>
    <x v="8"/>
    <x v="20"/>
    <x v="17"/>
    <m/>
    <m/>
    <m/>
    <m/>
  </r>
  <r>
    <s v="09/07/2023 14:22:17"/>
    <x v="28"/>
    <x v="8"/>
    <x v="20"/>
    <x v="15"/>
    <m/>
    <m/>
    <m/>
    <m/>
  </r>
  <r>
    <s v="09/07/2023 14:26:32"/>
    <x v="36"/>
    <x v="8"/>
    <x v="20"/>
    <x v="28"/>
    <m/>
    <m/>
    <m/>
    <m/>
  </r>
  <r>
    <s v="09/07/2023 14:36:56"/>
    <x v="22"/>
    <x v="8"/>
    <x v="17"/>
    <x v="21"/>
    <m/>
    <m/>
    <m/>
    <m/>
  </r>
  <r>
    <s v="09/07/2023 14:42:46"/>
    <x v="24"/>
    <x v="8"/>
    <x v="20"/>
    <x v="17"/>
    <m/>
    <m/>
    <m/>
    <m/>
  </r>
  <r>
    <s v="09/07/2023 14:53:23"/>
    <x v="21"/>
    <x v="8"/>
    <x v="11"/>
    <x v="19"/>
    <m/>
    <m/>
    <m/>
    <m/>
  </r>
  <r>
    <s v="09/07/2023 15:25:15"/>
    <x v="5"/>
    <x v="8"/>
    <x v="11"/>
    <x v="21"/>
    <m/>
    <m/>
    <m/>
    <m/>
  </r>
  <r>
    <s v="22/07/2023 14:25:16"/>
    <x v="0"/>
    <x v="9"/>
    <x v="30"/>
    <x v="18"/>
    <m/>
    <m/>
    <m/>
    <m/>
  </r>
  <r>
    <s v="22/07/2023 16:24:55"/>
    <x v="35"/>
    <x v="9"/>
    <x v="14"/>
    <x v="19"/>
    <m/>
    <m/>
    <m/>
    <m/>
  </r>
  <r>
    <s v="22/07/2023 22:26:58"/>
    <x v="4"/>
    <x v="9"/>
    <x v="23"/>
    <x v="23"/>
    <m/>
    <m/>
    <m/>
    <m/>
  </r>
  <r>
    <s v="22/07/2023 22:27:34"/>
    <x v="5"/>
    <x v="9"/>
    <x v="23"/>
    <x v="30"/>
    <m/>
    <m/>
    <m/>
    <m/>
  </r>
  <r>
    <s v="22/07/2023 23:01:53"/>
    <x v="12"/>
    <x v="9"/>
    <x v="14"/>
    <x v="30"/>
    <m/>
    <m/>
    <m/>
    <m/>
  </r>
  <r>
    <s v="23/07/2023 11:13:45"/>
    <x v="16"/>
    <x v="9"/>
    <x v="30"/>
    <x v="15"/>
    <m/>
    <m/>
    <m/>
    <m/>
  </r>
  <r>
    <s v="23/07/2023 11:14:14"/>
    <x v="3"/>
    <x v="9"/>
    <x v="12"/>
    <x v="20"/>
    <m/>
    <m/>
    <m/>
    <m/>
  </r>
  <r>
    <s v="23/07/2023 11:17:42"/>
    <x v="24"/>
    <x v="9"/>
    <x v="28"/>
    <x v="30"/>
    <m/>
    <m/>
    <m/>
    <m/>
  </r>
  <r>
    <s v="23/07/2023 11:18:47"/>
    <x v="7"/>
    <x v="9"/>
    <x v="14"/>
    <x v="26"/>
    <m/>
    <m/>
    <m/>
    <m/>
  </r>
  <r>
    <s v="23/07/2023 11:22:49"/>
    <x v="15"/>
    <x v="9"/>
    <x v="23"/>
    <x v="16"/>
    <m/>
    <m/>
    <m/>
    <m/>
  </r>
  <r>
    <s v="23/07/2023 11:23:41"/>
    <x v="6"/>
    <x v="9"/>
    <x v="12"/>
    <x v="17"/>
    <m/>
    <m/>
    <m/>
    <m/>
  </r>
  <r>
    <s v="23/07/2023 12:03:54"/>
    <x v="11"/>
    <x v="9"/>
    <x v="30"/>
    <x v="14"/>
    <m/>
    <m/>
    <m/>
    <m/>
  </r>
  <r>
    <s v="23/07/2023 12:05:31"/>
    <x v="10"/>
    <x v="9"/>
    <x v="23"/>
    <x v="25"/>
    <m/>
    <m/>
    <m/>
    <m/>
  </r>
  <r>
    <s v="23/07/2023 12:11:58"/>
    <x v="36"/>
    <x v="9"/>
    <x v="23"/>
    <x v="16"/>
    <m/>
    <m/>
    <m/>
    <m/>
  </r>
  <r>
    <s v="23/07/2023 12:20:57"/>
    <x v="40"/>
    <x v="9"/>
    <x v="12"/>
    <x v="24"/>
    <m/>
    <m/>
    <m/>
    <m/>
  </r>
  <r>
    <s v="23/07/2023 12:21:13"/>
    <x v="37"/>
    <x v="9"/>
    <x v="26"/>
    <x v="15"/>
    <m/>
    <m/>
    <m/>
    <m/>
  </r>
  <r>
    <s v="23/07/2023 12:24:09"/>
    <x v="38"/>
    <x v="9"/>
    <x v="29"/>
    <x v="30"/>
    <m/>
    <m/>
    <m/>
    <m/>
  </r>
  <r>
    <s v="23/07/2023 12:42:11"/>
    <x v="19"/>
    <x v="9"/>
    <x v="14"/>
    <x v="20"/>
    <m/>
    <m/>
    <m/>
    <m/>
  </r>
  <r>
    <s v="23/07/2023 13:21:41"/>
    <x v="21"/>
    <x v="9"/>
    <x v="12"/>
    <x v="25"/>
    <m/>
    <m/>
    <m/>
    <m/>
  </r>
  <r>
    <s v="23/07/2023 13:22:17"/>
    <x v="22"/>
    <x v="9"/>
    <x v="30"/>
    <x v="25"/>
    <m/>
    <m/>
    <m/>
    <m/>
  </r>
  <r>
    <s v="23/07/2023 13:23:04"/>
    <x v="20"/>
    <x v="9"/>
    <x v="12"/>
    <x v="19"/>
    <m/>
    <m/>
    <m/>
    <m/>
  </r>
  <r>
    <s v="23/07/2023 13:46:39"/>
    <x v="28"/>
    <x v="9"/>
    <x v="14"/>
    <x v="20"/>
    <m/>
    <m/>
    <m/>
    <m/>
  </r>
  <r>
    <s v="23/07/2023 13:50:21"/>
    <x v="32"/>
    <x v="9"/>
    <x v="23"/>
    <x v="30"/>
    <m/>
    <m/>
    <m/>
    <m/>
  </r>
  <r>
    <s v="23/07/2023 14:00:30"/>
    <x v="17"/>
    <x v="9"/>
    <x v="12"/>
    <x v="25"/>
    <m/>
    <m/>
    <m/>
    <m/>
  </r>
  <r>
    <s v="23/07/2023 14:03:20"/>
    <x v="39"/>
    <x v="9"/>
    <x v="28"/>
    <x v="30"/>
    <m/>
    <m/>
    <m/>
    <m/>
  </r>
  <r>
    <s v="23/07/2023 14:12:08"/>
    <x v="2"/>
    <x v="9"/>
    <x v="14"/>
    <x v="19"/>
    <m/>
    <m/>
    <m/>
    <m/>
  </r>
  <r>
    <s v="29/07/2023 15:51:20"/>
    <x v="0"/>
    <x v="10"/>
    <x v="28"/>
    <x v="24"/>
    <m/>
    <m/>
    <m/>
    <m/>
  </r>
  <r>
    <s v="29/07/2023 22:28:25"/>
    <x v="19"/>
    <x v="10"/>
    <x v="20"/>
    <x v="18"/>
    <m/>
    <m/>
    <m/>
    <m/>
  </r>
  <r>
    <s v="30/07/2023 08:09:09"/>
    <x v="36"/>
    <x v="10"/>
    <x v="15"/>
    <x v="19"/>
    <m/>
    <m/>
    <m/>
    <m/>
  </r>
  <r>
    <s v="30/07/2023 08:09:32"/>
    <x v="32"/>
    <x v="10"/>
    <x v="26"/>
    <x v="21"/>
    <m/>
    <m/>
    <m/>
    <m/>
  </r>
  <r>
    <s v="30/07/2023 08:47:55"/>
    <x v="6"/>
    <x v="10"/>
    <x v="20"/>
    <x v="30"/>
    <m/>
    <m/>
    <m/>
    <m/>
  </r>
  <r>
    <s v="30/07/2023 09:43:18"/>
    <x v="24"/>
    <x v="10"/>
    <x v="26"/>
    <x v="25"/>
    <m/>
    <m/>
    <m/>
    <m/>
  </r>
  <r>
    <s v="30/07/2023 10:04:02"/>
    <x v="16"/>
    <x v="10"/>
    <x v="15"/>
    <x v="26"/>
    <m/>
    <m/>
    <m/>
    <m/>
  </r>
  <r>
    <s v="30/07/2023 10:54:25"/>
    <x v="11"/>
    <x v="10"/>
    <x v="14"/>
    <x v="18"/>
    <m/>
    <m/>
    <m/>
    <m/>
  </r>
  <r>
    <s v="30/07/2023 10:55:16"/>
    <x v="10"/>
    <x v="10"/>
    <x v="26"/>
    <x v="21"/>
    <m/>
    <m/>
    <m/>
    <m/>
  </r>
  <r>
    <s v="30/07/2023 11:07:20"/>
    <x v="3"/>
    <x v="10"/>
    <x v="26"/>
    <x v="18"/>
    <m/>
    <m/>
    <m/>
    <m/>
  </r>
  <r>
    <s v="30/07/2023 11:48:09"/>
    <x v="40"/>
    <x v="10"/>
    <x v="15"/>
    <x v="21"/>
    <m/>
    <m/>
    <m/>
    <m/>
  </r>
  <r>
    <s v="30/07/2023 12:03:15"/>
    <x v="28"/>
    <x v="10"/>
    <x v="26"/>
    <x v="17"/>
    <m/>
    <m/>
    <m/>
    <m/>
  </r>
  <r>
    <s v="30/07/2023 12:26:38"/>
    <x v="35"/>
    <x v="10"/>
    <x v="20"/>
    <x v="15"/>
    <m/>
    <m/>
    <m/>
    <m/>
  </r>
  <r>
    <s v="30/07/2023 12:27:22"/>
    <x v="15"/>
    <x v="10"/>
    <x v="15"/>
    <x v="21"/>
    <m/>
    <m/>
    <m/>
    <m/>
  </r>
  <r>
    <s v="30/07/2023 12:50:18"/>
    <x v="21"/>
    <x v="10"/>
    <x v="26"/>
    <x v="18"/>
    <m/>
    <m/>
    <m/>
    <m/>
  </r>
  <r>
    <s v="30/07/2023 12:50:19"/>
    <x v="37"/>
    <x v="10"/>
    <x v="26"/>
    <x v="30"/>
    <m/>
    <m/>
    <m/>
    <m/>
  </r>
  <r>
    <s v="30/07/2023 12:52:25"/>
    <x v="38"/>
    <x v="10"/>
    <x v="12"/>
    <x v="19"/>
    <m/>
    <m/>
    <m/>
    <m/>
  </r>
  <r>
    <s v="30/07/2023 13:37:57"/>
    <x v="4"/>
    <x v="10"/>
    <x v="15"/>
    <x v="21"/>
    <m/>
    <m/>
    <m/>
    <m/>
  </r>
  <r>
    <s v="30/07/2023 13:39:15"/>
    <x v="5"/>
    <x v="10"/>
    <x v="20"/>
    <x v="16"/>
    <m/>
    <m/>
    <m/>
    <m/>
  </r>
  <r>
    <s v="30/07/2023 13:47:03"/>
    <x v="22"/>
    <x v="10"/>
    <x v="20"/>
    <x v="31"/>
    <m/>
    <m/>
    <m/>
    <m/>
  </r>
  <r>
    <s v="30/07/2023 13:48:32"/>
    <x v="20"/>
    <x v="10"/>
    <x v="20"/>
    <x v="19"/>
    <m/>
    <m/>
    <m/>
    <m/>
  </r>
  <r>
    <s v="30/07/2023 13:58:08"/>
    <x v="12"/>
    <x v="10"/>
    <x v="26"/>
    <x v="18"/>
    <m/>
    <m/>
    <m/>
    <m/>
  </r>
  <r>
    <s v="30/07/2023 14:00:06"/>
    <x v="2"/>
    <x v="10"/>
    <x v="26"/>
    <x v="16"/>
    <m/>
    <m/>
    <m/>
    <m/>
  </r>
  <r>
    <s v="30/07/2023 14:00:06"/>
    <x v="17"/>
    <x v="10"/>
    <x v="12"/>
    <x v="19"/>
    <m/>
    <m/>
    <m/>
    <m/>
  </r>
  <r>
    <s v="30/07/2023 14:39:31"/>
    <x v="39"/>
    <x v="10"/>
    <x v="26"/>
    <x v="21"/>
    <m/>
    <m/>
    <m/>
    <m/>
  </r>
  <r>
    <s v="26/08/2023 18:45:38"/>
    <x v="12"/>
    <x v="11"/>
    <x v="19"/>
    <x v="32"/>
    <m/>
    <m/>
    <m/>
    <m/>
  </r>
  <r>
    <s v="26/08/2023 19:45:01"/>
    <x v="24"/>
    <x v="11"/>
    <x v="26"/>
    <x v="21"/>
    <m/>
    <m/>
    <m/>
    <m/>
  </r>
  <r>
    <s v="26/08/2023 22:24:29"/>
    <x v="19"/>
    <x v="11"/>
    <x v="17"/>
    <x v="21"/>
    <m/>
    <m/>
    <m/>
    <m/>
  </r>
  <r>
    <s v="27/08/2023 07:22:04"/>
    <x v="28"/>
    <x v="11"/>
    <x v="17"/>
    <x v="19"/>
    <m/>
    <m/>
    <m/>
    <m/>
  </r>
  <r>
    <s v="27/08/2023 07:47:13"/>
    <x v="2"/>
    <x v="11"/>
    <x v="17"/>
    <x v="19"/>
    <m/>
    <m/>
    <m/>
    <m/>
  </r>
  <r>
    <s v="27/08/2023 08:29:22"/>
    <x v="16"/>
    <x v="11"/>
    <x v="20"/>
    <x v="18"/>
    <m/>
    <m/>
    <m/>
    <m/>
  </r>
  <r>
    <s v="27/08/2023 09:14:24"/>
    <x v="0"/>
    <x v="11"/>
    <x v="11"/>
    <x v="15"/>
    <m/>
    <m/>
    <m/>
    <m/>
  </r>
  <r>
    <s v="27/08/2023 09:20:01"/>
    <x v="38"/>
    <x v="11"/>
    <x v="11"/>
    <x v="15"/>
    <m/>
    <m/>
    <m/>
    <m/>
  </r>
  <r>
    <s v="27/08/2023 09:24:42"/>
    <x v="37"/>
    <x v="11"/>
    <x v="26"/>
    <x v="15"/>
    <m/>
    <m/>
    <m/>
    <m/>
  </r>
  <r>
    <s v="27/08/2023 10:38:21"/>
    <x v="22"/>
    <x v="11"/>
    <x v="19"/>
    <x v="19"/>
    <m/>
    <m/>
    <m/>
    <m/>
  </r>
  <r>
    <s v="27/08/2023 10:39:42"/>
    <x v="20"/>
    <x v="11"/>
    <x v="26"/>
    <x v="17"/>
    <m/>
    <m/>
    <m/>
    <m/>
  </r>
  <r>
    <s v="27/08/2023 10:52:23"/>
    <x v="15"/>
    <x v="11"/>
    <x v="11"/>
    <x v="18"/>
    <m/>
    <m/>
    <m/>
    <m/>
  </r>
  <r>
    <s v="27/08/2023 12:46:50"/>
    <x v="39"/>
    <x v="11"/>
    <x v="20"/>
    <x v="17"/>
    <m/>
    <m/>
    <m/>
    <m/>
  </r>
  <r>
    <s v="27/08/2023 12:47:51"/>
    <x v="10"/>
    <x v="11"/>
    <x v="19"/>
    <x v="32"/>
    <m/>
    <m/>
    <m/>
    <m/>
  </r>
  <r>
    <s v="27/08/2023 13:12:04"/>
    <x v="17"/>
    <x v="11"/>
    <x v="26"/>
    <x v="21"/>
    <m/>
    <m/>
    <m/>
    <m/>
  </r>
  <r>
    <s v="27/08/2023 13:25:50"/>
    <x v="32"/>
    <x v="11"/>
    <x v="26"/>
    <x v="17"/>
    <m/>
    <m/>
    <m/>
    <m/>
  </r>
  <r>
    <s v="27/08/2023 13:28:00"/>
    <x v="5"/>
    <x v="11"/>
    <x v="27"/>
    <x v="21"/>
    <m/>
    <m/>
    <m/>
    <m/>
  </r>
  <r>
    <s v="27/08/2023 13:34:55"/>
    <x v="4"/>
    <x v="11"/>
    <x v="17"/>
    <x v="21"/>
    <m/>
    <m/>
    <m/>
    <m/>
  </r>
  <r>
    <s v="27/08/2023 13:48:48"/>
    <x v="11"/>
    <x v="11"/>
    <x v="15"/>
    <x v="24"/>
    <m/>
    <m/>
    <m/>
    <m/>
  </r>
  <r>
    <s v="27/08/2023 13:59:59"/>
    <x v="3"/>
    <x v="11"/>
    <x v="20"/>
    <x v="19"/>
    <m/>
    <m/>
    <m/>
    <m/>
  </r>
  <r>
    <s v="27/08/2023 14:18:28"/>
    <x v="21"/>
    <x v="11"/>
    <x v="26"/>
    <x v="17"/>
    <m/>
    <m/>
    <m/>
    <m/>
  </r>
  <r>
    <s v="27/08/2023 18:20:38"/>
    <x v="36"/>
    <x v="11"/>
    <x v="26"/>
    <x v="21"/>
    <m/>
    <m/>
    <m/>
    <m/>
  </r>
  <r>
    <s v="02/09/2023 18:10:55"/>
    <x v="24"/>
    <x v="12"/>
    <x v="15"/>
    <x v="17"/>
    <m/>
    <m/>
    <m/>
    <m/>
  </r>
  <r>
    <s v="02/09/2023 18:59:05"/>
    <x v="12"/>
    <x v="12"/>
    <x v="15"/>
    <x v="31"/>
    <m/>
    <m/>
    <m/>
    <m/>
  </r>
  <r>
    <s v="02/09/2023 19:48:27"/>
    <x v="19"/>
    <x v="12"/>
    <x v="11"/>
    <x v="25"/>
    <m/>
    <m/>
    <m/>
    <m/>
  </r>
  <r>
    <s v="02/09/2023 23:56:27"/>
    <x v="10"/>
    <x v="12"/>
    <x v="15"/>
    <x v="15"/>
    <m/>
    <m/>
    <m/>
    <m/>
  </r>
  <r>
    <s v="03/09/2023 06:26:06"/>
    <x v="2"/>
    <x v="12"/>
    <x v="17"/>
    <x v="20"/>
    <m/>
    <m/>
    <m/>
    <m/>
  </r>
  <r>
    <s v="03/09/2023 10:27:05"/>
    <x v="11"/>
    <x v="12"/>
    <x v="15"/>
    <x v="15"/>
    <m/>
    <m/>
    <m/>
    <m/>
  </r>
  <r>
    <s v="03/09/2023 11:24:23"/>
    <x v="37"/>
    <x v="12"/>
    <x v="20"/>
    <x v="15"/>
    <m/>
    <m/>
    <m/>
    <m/>
  </r>
  <r>
    <s v="03/09/2023 11:29:25"/>
    <x v="38"/>
    <x v="12"/>
    <x v="15"/>
    <x v="17"/>
    <m/>
    <m/>
    <m/>
    <m/>
  </r>
  <r>
    <s v="03/09/2023 12:29:37"/>
    <x v="36"/>
    <x v="12"/>
    <x v="17"/>
    <x v="18"/>
    <m/>
    <m/>
    <m/>
    <m/>
  </r>
  <r>
    <s v="03/09/2023 12:33:53"/>
    <x v="32"/>
    <x v="12"/>
    <x v="15"/>
    <x v="17"/>
    <m/>
    <m/>
    <m/>
    <m/>
  </r>
  <r>
    <s v="03/09/2023 12:54:07"/>
    <x v="7"/>
    <x v="12"/>
    <x v="15"/>
    <x v="24"/>
    <m/>
    <m/>
    <m/>
    <m/>
  </r>
  <r>
    <s v="03/09/2023 12:54:59"/>
    <x v="3"/>
    <x v="12"/>
    <x v="15"/>
    <x v="22"/>
    <m/>
    <m/>
    <m/>
    <m/>
  </r>
  <r>
    <s v="03/09/2023 12:56:07"/>
    <x v="17"/>
    <x v="12"/>
    <x v="15"/>
    <x v="21"/>
    <m/>
    <m/>
    <m/>
    <m/>
  </r>
  <r>
    <s v="03/09/2023 12:58:05"/>
    <x v="6"/>
    <x v="12"/>
    <x v="12"/>
    <x v="17"/>
    <m/>
    <m/>
    <m/>
    <m/>
  </r>
  <r>
    <s v="03/09/2023 13:11:27"/>
    <x v="15"/>
    <x v="12"/>
    <x v="15"/>
    <x v="17"/>
    <m/>
    <m/>
    <m/>
    <m/>
  </r>
  <r>
    <s v="03/09/2023 13:11:58"/>
    <x v="21"/>
    <x v="12"/>
    <x v="15"/>
    <x v="17"/>
    <m/>
    <m/>
    <m/>
    <m/>
  </r>
  <r>
    <s v="03/09/2023 13:26:53"/>
    <x v="0"/>
    <x v="12"/>
    <x v="11"/>
    <x v="15"/>
    <m/>
    <m/>
    <m/>
    <m/>
  </r>
  <r>
    <s v="03/09/2023 13:29:51"/>
    <x v="16"/>
    <x v="12"/>
    <x v="17"/>
    <x v="18"/>
    <m/>
    <m/>
    <m/>
    <m/>
  </r>
  <r>
    <s v="03/09/2023 13:37:53"/>
    <x v="4"/>
    <x v="12"/>
    <x v="15"/>
    <x v="15"/>
    <m/>
    <m/>
    <m/>
    <m/>
  </r>
  <r>
    <s v="03/09/2023 13:41:29"/>
    <x v="5"/>
    <x v="12"/>
    <x v="15"/>
    <x v="16"/>
    <m/>
    <m/>
    <m/>
    <m/>
  </r>
  <r>
    <s v="03/09/2023 13:46:07"/>
    <x v="28"/>
    <x v="12"/>
    <x v="11"/>
    <x v="22"/>
    <m/>
    <m/>
    <m/>
    <m/>
  </r>
  <r>
    <s v="03/09/2023 13:56:43"/>
    <x v="39"/>
    <x v="12"/>
    <x v="15"/>
    <x v="31"/>
    <m/>
    <m/>
    <m/>
    <m/>
  </r>
  <r>
    <s v="03/09/2023 14:03:51"/>
    <x v="22"/>
    <x v="12"/>
    <x v="15"/>
    <x v="30"/>
    <m/>
    <m/>
    <m/>
    <m/>
  </r>
  <r>
    <s v="03/09/2023 14:06:39"/>
    <x v="20"/>
    <x v="12"/>
    <x v="17"/>
    <x v="17"/>
    <m/>
    <m/>
    <m/>
    <m/>
  </r>
  <r>
    <s v="17/09/2023 07:45:41"/>
    <x v="32"/>
    <x v="13"/>
    <x v="12"/>
    <x v="21"/>
    <m/>
    <m/>
    <m/>
    <m/>
  </r>
  <r>
    <s v="17/09/2023 07:53:21"/>
    <x v="36"/>
    <x v="13"/>
    <x v="20"/>
    <x v="33"/>
    <m/>
    <m/>
    <m/>
    <m/>
  </r>
  <r>
    <s v="17/09/2023 08:10:59"/>
    <x v="12"/>
    <x v="13"/>
    <x v="12"/>
    <x v="21"/>
    <m/>
    <m/>
    <m/>
    <m/>
  </r>
  <r>
    <s v="17/09/2023 08:55:27"/>
    <x v="19"/>
    <x v="13"/>
    <x v="13"/>
    <x v="26"/>
    <m/>
    <m/>
    <m/>
    <m/>
  </r>
  <r>
    <s v="17/09/2023 09:09:30"/>
    <x v="38"/>
    <x v="13"/>
    <x v="12"/>
    <x v="21"/>
    <m/>
    <m/>
    <m/>
    <m/>
  </r>
  <r>
    <s v="17/09/2023 09:11:08"/>
    <x v="37"/>
    <x v="13"/>
    <x v="20"/>
    <x v="16"/>
    <m/>
    <m/>
    <m/>
    <m/>
  </r>
  <r>
    <s v="17/09/2023 09:41:06"/>
    <x v="24"/>
    <x v="13"/>
    <x v="12"/>
    <x v="24"/>
    <m/>
    <m/>
    <m/>
    <m/>
  </r>
  <r>
    <s v="17/09/2023 09:41:10"/>
    <x v="6"/>
    <x v="13"/>
    <x v="17"/>
    <x v="16"/>
    <m/>
    <m/>
    <m/>
    <m/>
  </r>
  <r>
    <s v="17/09/2023 09:57:38"/>
    <x v="2"/>
    <x v="13"/>
    <x v="11"/>
    <x v="30"/>
    <m/>
    <m/>
    <m/>
    <m/>
  </r>
  <r>
    <s v="17/09/2023 10:49:57"/>
    <x v="10"/>
    <x v="13"/>
    <x v="12"/>
    <x v="24"/>
    <m/>
    <m/>
    <m/>
    <m/>
  </r>
  <r>
    <s v="17/09/2023 10:50:22"/>
    <x v="11"/>
    <x v="13"/>
    <x v="21"/>
    <x v="16"/>
    <m/>
    <m/>
    <m/>
    <m/>
  </r>
  <r>
    <s v="17/09/2023 10:59:34"/>
    <x v="0"/>
    <x v="13"/>
    <x v="12"/>
    <x v="17"/>
    <m/>
    <m/>
    <m/>
    <m/>
  </r>
  <r>
    <s v="17/09/2023 11:09:02"/>
    <x v="3"/>
    <x v="13"/>
    <x v="12"/>
    <x v="24"/>
    <m/>
    <m/>
    <m/>
    <m/>
  </r>
  <r>
    <s v="17/09/2023 11:23:16"/>
    <x v="16"/>
    <x v="13"/>
    <x v="13"/>
    <x v="17"/>
    <m/>
    <m/>
    <m/>
    <m/>
  </r>
  <r>
    <s v="17/09/2023 12:29:15"/>
    <x v="28"/>
    <x v="13"/>
    <x v="24"/>
    <x v="21"/>
    <m/>
    <m/>
    <m/>
    <m/>
  </r>
  <r>
    <s v="17/09/2023 12:30:43"/>
    <x v="22"/>
    <x v="13"/>
    <x v="21"/>
    <x v="30"/>
    <m/>
    <m/>
    <m/>
    <m/>
  </r>
  <r>
    <s v="17/09/2023 12:31:09"/>
    <x v="20"/>
    <x v="13"/>
    <x v="12"/>
    <x v="30"/>
    <m/>
    <m/>
    <m/>
    <m/>
  </r>
  <r>
    <s v="17/09/2023 12:37:12"/>
    <x v="17"/>
    <x v="13"/>
    <x v="20"/>
    <x v="16"/>
    <m/>
    <m/>
    <m/>
    <m/>
  </r>
  <r>
    <s v="17/09/2023 12:46:50"/>
    <x v="35"/>
    <x v="13"/>
    <x v="17"/>
    <x v="21"/>
    <m/>
    <m/>
    <m/>
    <m/>
  </r>
  <r>
    <s v="17/09/2023 13:16:57"/>
    <x v="5"/>
    <x v="13"/>
    <x v="17"/>
    <x v="18"/>
    <m/>
    <m/>
    <m/>
    <m/>
  </r>
  <r>
    <s v="17/09/2023 13:19:07"/>
    <x v="4"/>
    <x v="13"/>
    <x v="20"/>
    <x v="18"/>
    <m/>
    <m/>
    <m/>
    <m/>
  </r>
  <r>
    <s v="17/09/2023 13:19:34"/>
    <x v="4"/>
    <x v="13"/>
    <x v="20"/>
    <x v="18"/>
    <m/>
    <m/>
    <m/>
    <m/>
  </r>
  <r>
    <s v="17/09/2023 13:20:02"/>
    <x v="39"/>
    <x v="13"/>
    <x v="12"/>
    <x v="24"/>
    <m/>
    <m/>
    <m/>
    <m/>
  </r>
  <r>
    <s v="17/09/2023 13:22:51"/>
    <x v="21"/>
    <x v="13"/>
    <x v="11"/>
    <x v="21"/>
    <m/>
    <m/>
    <m/>
    <m/>
  </r>
  <r>
    <s v="17/09/2023 13:47:04"/>
    <x v="15"/>
    <x v="13"/>
    <x v="15"/>
    <x v="16"/>
    <m/>
    <m/>
    <m/>
    <m/>
  </r>
  <r>
    <s v="22/09/2023 14:23:46"/>
    <x v="2"/>
    <x v="14"/>
    <x v="31"/>
    <x v="20"/>
    <m/>
    <m/>
    <m/>
    <m/>
  </r>
  <r>
    <s v="22/09/2023 14:39:15"/>
    <x v="35"/>
    <x v="14"/>
    <x v="20"/>
    <x v="15"/>
    <m/>
    <m/>
    <m/>
    <m/>
  </r>
  <r>
    <s v="23/09/2023 15:56:30"/>
    <x v="12"/>
    <x v="14"/>
    <x v="32"/>
    <x v="34"/>
    <m/>
    <m/>
    <m/>
    <m/>
  </r>
  <r>
    <s v="23/09/2023 16:41:17"/>
    <x v="32"/>
    <x v="14"/>
    <x v="20"/>
    <x v="35"/>
    <m/>
    <m/>
    <m/>
    <m/>
  </r>
  <r>
    <s v="23/09/2023 16:45:21"/>
    <x v="36"/>
    <x v="14"/>
    <x v="31"/>
    <x v="16"/>
    <m/>
    <m/>
    <m/>
    <m/>
  </r>
  <r>
    <s v="23/09/2023 17:01:40"/>
    <x v="37"/>
    <x v="14"/>
    <x v="32"/>
    <x v="16"/>
    <m/>
    <m/>
    <m/>
    <m/>
  </r>
  <r>
    <s v="23/09/2023 17:25:12"/>
    <x v="19"/>
    <x v="14"/>
    <x v="20"/>
    <x v="16"/>
    <m/>
    <m/>
    <m/>
    <m/>
  </r>
  <r>
    <s v="23/09/2023 17:38:18"/>
    <x v="11"/>
    <x v="14"/>
    <x v="32"/>
    <x v="17"/>
    <m/>
    <m/>
    <m/>
    <m/>
  </r>
  <r>
    <s v="23/09/2023 17:39:22"/>
    <x v="10"/>
    <x v="14"/>
    <x v="20"/>
    <x v="17"/>
    <m/>
    <m/>
    <m/>
    <m/>
  </r>
  <r>
    <s v="23/09/2023 17:55:19"/>
    <x v="6"/>
    <x v="14"/>
    <x v="26"/>
    <x v="25"/>
    <m/>
    <m/>
    <m/>
    <m/>
  </r>
  <r>
    <s v="23/09/2023 18:02:41"/>
    <x v="3"/>
    <x v="14"/>
    <x v="32"/>
    <x v="21"/>
    <m/>
    <m/>
    <m/>
    <m/>
  </r>
  <r>
    <s v="23/09/2023 18:48:41"/>
    <x v="0"/>
    <x v="14"/>
    <x v="20"/>
    <x v="14"/>
    <m/>
    <m/>
    <m/>
    <m/>
  </r>
  <r>
    <s v="23/09/2023 19:39:11"/>
    <x v="16"/>
    <x v="14"/>
    <x v="11"/>
    <x v="34"/>
    <m/>
    <m/>
    <m/>
    <m/>
  </r>
  <r>
    <s v="23/09/2023 21:07:04"/>
    <x v="17"/>
    <x v="14"/>
    <x v="32"/>
    <x v="16"/>
    <m/>
    <m/>
    <m/>
    <m/>
  </r>
  <r>
    <s v="23/09/2023 21:38:48"/>
    <x v="24"/>
    <x v="14"/>
    <x v="31"/>
    <x v="21"/>
    <m/>
    <m/>
    <m/>
    <m/>
  </r>
  <r>
    <s v="23/09/2023 21:57:45"/>
    <x v="4"/>
    <x v="14"/>
    <x v="32"/>
    <x v="34"/>
    <m/>
    <m/>
    <m/>
    <m/>
  </r>
  <r>
    <s v="23/09/2023 22:09:56"/>
    <x v="38"/>
    <x v="14"/>
    <x v="31"/>
    <x v="35"/>
    <m/>
    <m/>
    <m/>
    <m/>
  </r>
  <r>
    <s v="23/09/2023 23:00:36"/>
    <x v="5"/>
    <x v="14"/>
    <x v="32"/>
    <x v="34"/>
    <m/>
    <m/>
    <m/>
    <m/>
  </r>
  <r>
    <s v="23/09/2023 23:42:12"/>
    <x v="40"/>
    <x v="14"/>
    <x v="20"/>
    <x v="35"/>
    <m/>
    <m/>
    <m/>
    <m/>
  </r>
  <r>
    <s v="23/09/2023 23:49:03"/>
    <x v="21"/>
    <x v="14"/>
    <x v="32"/>
    <x v="34"/>
    <m/>
    <m/>
    <m/>
    <m/>
  </r>
  <r>
    <s v="23/09/2023 23:59:41"/>
    <x v="39"/>
    <x v="14"/>
    <x v="20"/>
    <x v="31"/>
    <m/>
    <m/>
    <m/>
    <m/>
  </r>
  <r>
    <s v="24/09/2023 05:58:59"/>
    <x v="22"/>
    <x v="14"/>
    <x v="31"/>
    <x v="21"/>
    <m/>
    <m/>
    <m/>
    <m/>
  </r>
  <r>
    <s v="24/09/2023 05:59:29"/>
    <x v="20"/>
    <x v="14"/>
    <x v="20"/>
    <x v="17"/>
    <m/>
    <m/>
    <m/>
    <m/>
  </r>
  <r>
    <s v="07/10/2023 22:06:31"/>
    <x v="19"/>
    <x v="15"/>
    <x v="14"/>
    <x v="16"/>
    <m/>
    <m/>
    <m/>
    <m/>
  </r>
  <r>
    <s v="08/10/2023 10:10:56"/>
    <x v="36"/>
    <x v="15"/>
    <x v="14"/>
    <x v="31"/>
    <m/>
    <m/>
    <m/>
    <m/>
  </r>
  <r>
    <s v="08/10/2023 10:37:41"/>
    <x v="32"/>
    <x v="15"/>
    <x v="12"/>
    <x v="35"/>
    <m/>
    <m/>
    <m/>
    <m/>
  </r>
  <r>
    <s v="08/10/2023 11:47:27"/>
    <x v="11"/>
    <x v="15"/>
    <x v="14"/>
    <x v="35"/>
    <m/>
    <m/>
    <m/>
    <m/>
  </r>
  <r>
    <s v="08/10/2023 11:49:23"/>
    <x v="10"/>
    <x v="15"/>
    <x v="20"/>
    <x v="35"/>
    <m/>
    <m/>
    <m/>
    <m/>
  </r>
  <r>
    <s v="08/10/2023 12:27:55"/>
    <x v="17"/>
    <x v="15"/>
    <x v="14"/>
    <x v="17"/>
    <m/>
    <m/>
    <m/>
    <m/>
  </r>
  <r>
    <s v="08/10/2023 12:48:52"/>
    <x v="0"/>
    <x v="15"/>
    <x v="11"/>
    <x v="19"/>
    <m/>
    <m/>
    <m/>
    <m/>
  </r>
  <r>
    <s v="08/10/2023 13:07:07"/>
    <x v="38"/>
    <x v="15"/>
    <x v="20"/>
    <x v="19"/>
    <m/>
    <m/>
    <m/>
    <m/>
  </r>
  <r>
    <s v="08/10/2023 13:14:47"/>
    <x v="37"/>
    <x v="15"/>
    <x v="20"/>
    <x v="16"/>
    <m/>
    <m/>
    <m/>
    <m/>
  </r>
  <r>
    <s v="08/10/2023 14:23:55"/>
    <x v="2"/>
    <x v="15"/>
    <x v="12"/>
    <x v="35"/>
    <m/>
    <m/>
    <m/>
    <m/>
  </r>
  <r>
    <s v="08/10/2023 14:41:11"/>
    <x v="6"/>
    <x v="15"/>
    <x v="12"/>
    <x v="15"/>
    <m/>
    <m/>
    <m/>
    <m/>
  </r>
  <r>
    <s v="08/10/2023 14:48:17"/>
    <x v="35"/>
    <x v="15"/>
    <x v="26"/>
    <x v="21"/>
    <m/>
    <m/>
    <m/>
    <m/>
  </r>
  <r>
    <s v="08/10/2023 14:55:07"/>
    <x v="24"/>
    <x v="15"/>
    <x v="14"/>
    <x v="16"/>
    <m/>
    <m/>
    <m/>
    <m/>
  </r>
  <r>
    <s v="08/10/2023 15:00:21"/>
    <x v="3"/>
    <x v="15"/>
    <x v="32"/>
    <x v="25"/>
    <m/>
    <m/>
    <m/>
    <m/>
  </r>
  <r>
    <s v="08/10/2023 15:19:59"/>
    <x v="15"/>
    <x v="15"/>
    <x v="20"/>
    <x v="16"/>
    <m/>
    <m/>
    <m/>
    <m/>
  </r>
  <r>
    <s v="08/10/2023 16:01:16"/>
    <x v="12"/>
    <x v="15"/>
    <x v="32"/>
    <x v="25"/>
    <m/>
    <m/>
    <m/>
    <m/>
  </r>
  <r>
    <s v="08/10/2023 16:27:14"/>
    <x v="16"/>
    <x v="15"/>
    <x v="32"/>
    <x v="16"/>
    <m/>
    <m/>
    <m/>
    <m/>
  </r>
  <r>
    <s v="08/10/2023 16:33:47"/>
    <x v="28"/>
    <x v="15"/>
    <x v="14"/>
    <x v="16"/>
    <m/>
    <m/>
    <m/>
    <m/>
  </r>
  <r>
    <s v="08/10/2023 17:11:43"/>
    <x v="40"/>
    <x v="15"/>
    <x v="32"/>
    <x v="17"/>
    <m/>
    <m/>
    <m/>
    <m/>
  </r>
  <r>
    <s v="08/10/2023 17:31:24"/>
    <x v="21"/>
    <x v="15"/>
    <x v="13"/>
    <x v="16"/>
    <m/>
    <m/>
    <m/>
    <m/>
  </r>
  <r>
    <s v="08/10/2023 17:55:53"/>
    <x v="4"/>
    <x v="15"/>
    <x v="32"/>
    <x v="16"/>
    <m/>
    <m/>
    <m/>
    <m/>
  </r>
  <r>
    <s v="08/10/2023 17:56:20"/>
    <x v="5"/>
    <x v="15"/>
    <x v="24"/>
    <x v="16"/>
    <m/>
    <m/>
    <m/>
    <m/>
  </r>
  <r>
    <s v="08/10/2023 17:58:36"/>
    <x v="22"/>
    <x v="15"/>
    <x v="20"/>
    <x v="25"/>
    <m/>
    <m/>
    <m/>
    <m/>
  </r>
  <r>
    <s v="08/10/2023 17:59:06"/>
    <x v="39"/>
    <x v="15"/>
    <x v="12"/>
    <x v="21"/>
    <m/>
    <m/>
    <m/>
    <m/>
  </r>
  <r>
    <s v="08/10/2023 17:59:17"/>
    <x v="20"/>
    <x v="15"/>
    <x v="12"/>
    <x v="17"/>
    <m/>
    <m/>
    <m/>
    <m/>
  </r>
  <r>
    <s v="21/10/2023 10:19:51"/>
    <x v="19"/>
    <x v="16"/>
    <x v="14"/>
    <x v="35"/>
    <m/>
    <m/>
    <m/>
    <m/>
  </r>
  <r>
    <s v="21/10/2023 13:20:30"/>
    <x v="11"/>
    <x v="16"/>
    <x v="12"/>
    <x v="35"/>
    <m/>
    <m/>
    <m/>
    <m/>
  </r>
  <r>
    <s v="21/10/2023 13:20:49"/>
    <x v="10"/>
    <x v="16"/>
    <x v="12"/>
    <x v="35"/>
    <m/>
    <m/>
    <m/>
    <m/>
  </r>
  <r>
    <s v="21/10/2023 23:24:17"/>
    <x v="15"/>
    <x v="16"/>
    <x v="32"/>
    <x v="21"/>
    <m/>
    <m/>
    <m/>
    <m/>
  </r>
  <r>
    <s v="22/10/2023 11:45:05"/>
    <x v="37"/>
    <x v="16"/>
    <x v="20"/>
    <x v="31"/>
    <m/>
    <m/>
    <m/>
    <m/>
  </r>
  <r>
    <s v="22/10/2023 11:48:05"/>
    <x v="38"/>
    <x v="16"/>
    <x v="17"/>
    <x v="16"/>
    <m/>
    <m/>
    <m/>
    <m/>
  </r>
  <r>
    <s v="22/10/2023 16:34:39"/>
    <x v="0"/>
    <x v="16"/>
    <x v="14"/>
    <x v="14"/>
    <m/>
    <m/>
    <m/>
    <m/>
  </r>
  <r>
    <s v="22/10/2023 16:59:55"/>
    <x v="24"/>
    <x v="16"/>
    <x v="32"/>
    <x v="20"/>
    <m/>
    <m/>
    <m/>
    <m/>
  </r>
  <r>
    <s v="22/10/2023 17:11:59"/>
    <x v="36"/>
    <x v="16"/>
    <x v="12"/>
    <x v="28"/>
    <m/>
    <m/>
    <m/>
    <m/>
  </r>
  <r>
    <s v="22/10/2023 17:14:41"/>
    <x v="32"/>
    <x v="16"/>
    <x v="20"/>
    <x v="28"/>
    <m/>
    <m/>
    <m/>
    <m/>
  </r>
  <r>
    <s v="22/10/2023 18:52:01"/>
    <x v="17"/>
    <x v="16"/>
    <x v="14"/>
    <x v="35"/>
    <m/>
    <m/>
    <m/>
    <m/>
  </r>
  <r>
    <s v="22/10/2023 18:52:35"/>
    <x v="2"/>
    <x v="16"/>
    <x v="20"/>
    <x v="32"/>
    <m/>
    <m/>
    <m/>
    <m/>
  </r>
  <r>
    <s v="22/10/2023 19:08:22"/>
    <x v="16"/>
    <x v="16"/>
    <x v="32"/>
    <x v="26"/>
    <m/>
    <m/>
    <m/>
    <m/>
  </r>
  <r>
    <s v="22/10/2023 19:11:39"/>
    <x v="35"/>
    <x v="16"/>
    <x v="20"/>
    <x v="22"/>
    <m/>
    <m/>
    <m/>
    <m/>
  </r>
  <r>
    <s v="22/10/2023 19:23:19"/>
    <x v="6"/>
    <x v="16"/>
    <x v="11"/>
    <x v="15"/>
    <m/>
    <m/>
    <m/>
    <m/>
  </r>
  <r>
    <s v="22/10/2023 19:38:07"/>
    <x v="3"/>
    <x v="16"/>
    <x v="12"/>
    <x v="35"/>
    <m/>
    <m/>
    <m/>
    <m/>
  </r>
  <r>
    <s v="22/10/2023 19:59:36"/>
    <x v="22"/>
    <x v="16"/>
    <x v="12"/>
    <x v="35"/>
    <m/>
    <m/>
    <m/>
    <m/>
  </r>
  <r>
    <s v="22/10/2023 19:59:59"/>
    <x v="20"/>
    <x v="16"/>
    <x v="17"/>
    <x v="16"/>
    <m/>
    <m/>
    <m/>
    <m/>
  </r>
  <r>
    <s v="22/10/2023 20:01:08"/>
    <x v="28"/>
    <x v="16"/>
    <x v="17"/>
    <x v="35"/>
    <m/>
    <m/>
    <m/>
    <m/>
  </r>
  <r>
    <s v="22/10/2023 20:11:58"/>
    <x v="39"/>
    <x v="16"/>
    <x v="12"/>
    <x v="35"/>
    <m/>
    <m/>
    <m/>
    <m/>
  </r>
  <r>
    <s v="22/10/2023 20:23:41"/>
    <x v="4"/>
    <x v="16"/>
    <x v="12"/>
    <x v="15"/>
    <m/>
    <m/>
    <m/>
    <m/>
  </r>
  <r>
    <s v="22/10/2023 20:24:25"/>
    <x v="5"/>
    <x v="16"/>
    <x v="12"/>
    <x v="30"/>
    <m/>
    <m/>
    <m/>
    <m/>
  </r>
  <r>
    <s v="22/10/2023 20:27:56"/>
    <x v="21"/>
    <x v="16"/>
    <x v="12"/>
    <x v="35"/>
    <m/>
    <m/>
    <m/>
    <m/>
  </r>
  <r>
    <s v="29/10/2023 11:33:29"/>
    <x v="36"/>
    <x v="17"/>
    <x v="14"/>
    <x v="21"/>
    <m/>
    <m/>
    <m/>
    <m/>
  </r>
  <r>
    <s v="29/10/2023 11:34:12"/>
    <x v="32"/>
    <x v="17"/>
    <x v="23"/>
    <x v="30"/>
    <m/>
    <m/>
    <m/>
    <m/>
  </r>
  <r>
    <s v="29/10/2023 16:15:47"/>
    <x v="15"/>
    <x v="17"/>
    <x v="32"/>
    <x v="21"/>
    <m/>
    <m/>
    <m/>
    <m/>
  </r>
  <r>
    <s v="29/10/2023 16:25:21"/>
    <x v="10"/>
    <x v="17"/>
    <x v="20"/>
    <x v="31"/>
    <m/>
    <m/>
    <m/>
    <m/>
  </r>
  <r>
    <s v="29/10/2023 16:25:32"/>
    <x v="3"/>
    <x v="17"/>
    <x v="20"/>
    <x v="31"/>
    <m/>
    <m/>
    <m/>
    <m/>
  </r>
  <r>
    <s v="29/10/2023 16:25:43"/>
    <x v="11"/>
    <x v="17"/>
    <x v="14"/>
    <x v="24"/>
    <m/>
    <m/>
    <m/>
    <m/>
  </r>
  <r>
    <s v="29/10/2023 16:26:43"/>
    <x v="11"/>
    <x v="17"/>
    <x v="14"/>
    <x v="24"/>
    <m/>
    <m/>
    <m/>
    <m/>
  </r>
  <r>
    <s v="29/10/2023 16:27:02"/>
    <x v="19"/>
    <x v="17"/>
    <x v="14"/>
    <x v="24"/>
    <m/>
    <m/>
    <m/>
    <m/>
  </r>
  <r>
    <s v="29/10/2023 16:48:08"/>
    <x v="0"/>
    <x v="17"/>
    <x v="14"/>
    <x v="17"/>
    <m/>
    <m/>
    <m/>
    <m/>
  </r>
  <r>
    <s v="29/10/2023 16:56:06"/>
    <x v="21"/>
    <x v="17"/>
    <x v="30"/>
    <x v="21"/>
    <m/>
    <m/>
    <m/>
    <m/>
  </r>
  <r>
    <s v="29/10/2023 18:04:17"/>
    <x v="35"/>
    <x v="17"/>
    <x v="26"/>
    <x v="21"/>
    <m/>
    <m/>
    <m/>
    <m/>
  </r>
  <r>
    <s v="29/10/2023 18:46:49"/>
    <x v="24"/>
    <x v="17"/>
    <x v="14"/>
    <x v="21"/>
    <m/>
    <m/>
    <m/>
    <m/>
  </r>
  <r>
    <s v="29/10/2023 18:49:28"/>
    <x v="38"/>
    <x v="17"/>
    <x v="20"/>
    <x v="31"/>
    <m/>
    <m/>
    <m/>
    <m/>
  </r>
  <r>
    <s v="29/10/2023 18:52:31"/>
    <x v="37"/>
    <x v="17"/>
    <x v="30"/>
    <x v="22"/>
    <m/>
    <m/>
    <m/>
    <m/>
  </r>
  <r>
    <s v="29/10/2023 20:45:26"/>
    <x v="22"/>
    <x v="17"/>
    <x v="14"/>
    <x v="21"/>
    <m/>
    <m/>
    <m/>
    <m/>
  </r>
  <r>
    <s v="29/10/2023 20:45:59"/>
    <x v="20"/>
    <x v="17"/>
    <x v="14"/>
    <x v="17"/>
    <m/>
    <m/>
    <m/>
    <m/>
  </r>
  <r>
    <s v="29/10/2023 20:46:32"/>
    <x v="17"/>
    <x v="17"/>
    <x v="32"/>
    <x v="21"/>
    <m/>
    <m/>
    <m/>
    <m/>
  </r>
  <r>
    <s v="29/10/2023 20:47:03"/>
    <x v="16"/>
    <x v="17"/>
    <x v="17"/>
    <x v="24"/>
    <m/>
    <m/>
    <m/>
    <m/>
  </r>
  <r>
    <s v="29/10/2023 21:04:38"/>
    <x v="39"/>
    <x v="17"/>
    <x v="22"/>
    <x v="21"/>
    <m/>
    <m/>
    <m/>
    <m/>
  </r>
  <r>
    <s v="29/10/2023 21:22:29"/>
    <x v="6"/>
    <x v="17"/>
    <x v="31"/>
    <x v="20"/>
    <m/>
    <m/>
    <m/>
    <m/>
  </r>
  <r>
    <s v="29/10/2023 21:22:35"/>
    <x v="2"/>
    <x v="17"/>
    <x v="26"/>
    <x v="25"/>
    <m/>
    <m/>
    <m/>
    <m/>
  </r>
  <r>
    <s v="29/10/2023 21:48:48"/>
    <x v="4"/>
    <x v="17"/>
    <x v="20"/>
    <x v="30"/>
    <m/>
    <m/>
    <m/>
    <m/>
  </r>
  <r>
    <s v="29/10/2023 21:50:08"/>
    <x v="5"/>
    <x v="17"/>
    <x v="30"/>
    <x v="22"/>
    <m/>
    <m/>
    <m/>
    <m/>
  </r>
  <r>
    <s v="05/11/2023 08:17:27"/>
    <x v="2"/>
    <x v="18"/>
    <x v="12"/>
    <x v="26"/>
    <m/>
    <m/>
    <m/>
    <m/>
  </r>
  <r>
    <s v="05/11/2023 09:18:13"/>
    <x v="37"/>
    <x v="18"/>
    <x v="17"/>
    <x v="30"/>
    <m/>
    <m/>
    <m/>
    <m/>
  </r>
  <r>
    <s v="05/11/2023 09:20:12"/>
    <x v="38"/>
    <x v="18"/>
    <x v="11"/>
    <x v="19"/>
    <m/>
    <m/>
    <m/>
    <m/>
  </r>
  <r>
    <s v="05/11/2023 10:59:57"/>
    <x v="19"/>
    <x v="18"/>
    <x v="20"/>
    <x v="31"/>
    <m/>
    <m/>
    <m/>
    <m/>
  </r>
  <r>
    <s v="05/11/2023 11:05:54"/>
    <x v="0"/>
    <x v="18"/>
    <x v="30"/>
    <x v="17"/>
    <m/>
    <m/>
    <m/>
    <m/>
  </r>
  <r>
    <s v="05/11/2023 13:12:30"/>
    <x v="24"/>
    <x v="18"/>
    <x v="17"/>
    <x v="31"/>
    <m/>
    <m/>
    <m/>
    <m/>
  </r>
  <r>
    <s v="05/11/2023 13:33:52"/>
    <x v="32"/>
    <x v="18"/>
    <x v="26"/>
    <x v="14"/>
    <m/>
    <m/>
    <m/>
    <m/>
  </r>
  <r>
    <s v="05/11/2023 13:38:16"/>
    <x v="36"/>
    <x v="18"/>
    <x v="24"/>
    <x v="17"/>
    <m/>
    <m/>
    <m/>
    <m/>
  </r>
  <r>
    <s v="05/11/2023 15:32:14"/>
    <x v="11"/>
    <x v="18"/>
    <x v="21"/>
    <x v="17"/>
    <m/>
    <m/>
    <m/>
    <m/>
  </r>
  <r>
    <s v="05/11/2023 15:33:39"/>
    <x v="10"/>
    <x v="18"/>
    <x v="11"/>
    <x v="24"/>
    <m/>
    <m/>
    <m/>
    <m/>
  </r>
  <r>
    <s v="05/11/2023 16:09:51"/>
    <x v="3"/>
    <x v="18"/>
    <x v="11"/>
    <x v="24"/>
    <m/>
    <m/>
    <m/>
    <m/>
  </r>
  <r>
    <s v="05/11/2023 16:26:40"/>
    <x v="12"/>
    <x v="17"/>
    <x v="11"/>
    <x v="16"/>
    <m/>
    <m/>
    <m/>
    <m/>
  </r>
  <r>
    <s v="05/11/2023 17:22:01"/>
    <x v="16"/>
    <x v="18"/>
    <x v="13"/>
    <x v="17"/>
    <m/>
    <m/>
    <m/>
    <m/>
  </r>
  <r>
    <s v="05/11/2023 17:22:24"/>
    <x v="6"/>
    <x v="18"/>
    <x v="26"/>
    <x v="25"/>
    <m/>
    <m/>
    <m/>
    <m/>
  </r>
  <r>
    <s v="05/11/2023 17:25:35"/>
    <x v="15"/>
    <x v="18"/>
    <x v="20"/>
    <x v="16"/>
    <m/>
    <m/>
    <m/>
    <m/>
  </r>
  <r>
    <s v="05/11/2023 17:25:56"/>
    <x v="17"/>
    <x v="18"/>
    <x v="21"/>
    <x v="15"/>
    <m/>
    <m/>
    <m/>
    <m/>
  </r>
  <r>
    <s v="05/11/2023 17:30:32"/>
    <x v="28"/>
    <x v="18"/>
    <x v="17"/>
    <x v="16"/>
    <m/>
    <m/>
    <m/>
    <m/>
  </r>
  <r>
    <s v="05/11/2023 17:52:05"/>
    <x v="21"/>
    <x v="18"/>
    <x v="32"/>
    <x v="30"/>
    <m/>
    <m/>
    <m/>
    <m/>
  </r>
  <r>
    <s v="05/11/2023 17:52:47"/>
    <x v="20"/>
    <x v="18"/>
    <x v="11"/>
    <x v="16"/>
    <m/>
    <m/>
    <m/>
    <m/>
  </r>
  <r>
    <s v="05/11/2023 17:53:12"/>
    <x v="22"/>
    <x v="18"/>
    <x v="26"/>
    <x v="17"/>
    <m/>
    <m/>
    <m/>
    <m/>
  </r>
  <r>
    <s v="05/11/2023 18:12:16"/>
    <x v="39"/>
    <x v="18"/>
    <x v="21"/>
    <x v="16"/>
    <m/>
    <m/>
    <m/>
    <m/>
  </r>
  <r>
    <s v="05/11/2023 18:37:00"/>
    <x v="4"/>
    <x v="18"/>
    <x v="17"/>
    <x v="21"/>
    <m/>
    <m/>
    <m/>
    <m/>
  </r>
  <r>
    <s v="05/11/2023 18:37:50"/>
    <x v="5"/>
    <x v="18"/>
    <x v="11"/>
    <x v="35"/>
    <m/>
    <m/>
    <m/>
    <m/>
  </r>
  <r>
    <s v="18/11/2023 13:48:48"/>
    <x v="19"/>
    <x v="19"/>
    <x v="21"/>
    <x v="30"/>
    <m/>
    <m/>
    <m/>
    <m/>
  </r>
  <r>
    <s v="18/11/2023 14:48:09"/>
    <x v="12"/>
    <x v="19"/>
    <x v="14"/>
    <x v="30"/>
    <m/>
    <m/>
    <m/>
    <m/>
  </r>
  <r>
    <s v="18/11/2023 19:25:46"/>
    <x v="32"/>
    <x v="19"/>
    <x v="11"/>
    <x v="16"/>
    <m/>
    <m/>
    <m/>
    <m/>
  </r>
  <r>
    <s v="18/11/2023 19:26:58"/>
    <x v="36"/>
    <x v="19"/>
    <x v="21"/>
    <x v="22"/>
    <m/>
    <m/>
    <m/>
    <m/>
  </r>
  <r>
    <s v="18/11/2023 19:53:06"/>
    <x v="16"/>
    <x v="19"/>
    <x v="21"/>
    <x v="24"/>
    <m/>
    <m/>
    <m/>
    <m/>
  </r>
  <r>
    <s v="18/11/2023 20:02:19"/>
    <x v="24"/>
    <x v="19"/>
    <x v="14"/>
    <x v="31"/>
    <m/>
    <m/>
    <m/>
    <m/>
  </r>
  <r>
    <s v="18/11/2023 20:13:57"/>
    <x v="15"/>
    <x v="19"/>
    <x v="20"/>
    <x v="17"/>
    <m/>
    <m/>
    <m/>
    <m/>
  </r>
  <r>
    <s v="18/11/2023 21:07:47"/>
    <x v="37"/>
    <x v="19"/>
    <x v="20"/>
    <x v="22"/>
    <m/>
    <m/>
    <m/>
    <m/>
  </r>
  <r>
    <s v="18/11/2023 21:11:47"/>
    <x v="38"/>
    <x v="19"/>
    <x v="11"/>
    <x v="21"/>
    <m/>
    <m/>
    <m/>
    <m/>
  </r>
  <r>
    <s v="18/11/2023 21:17:06"/>
    <x v="6"/>
    <x v="19"/>
    <x v="23"/>
    <x v="21"/>
    <m/>
    <m/>
    <m/>
    <m/>
  </r>
  <r>
    <s v="18/11/2023 21:31:38"/>
    <x v="3"/>
    <x v="19"/>
    <x v="33"/>
    <x v="30"/>
    <m/>
    <m/>
    <m/>
    <m/>
  </r>
  <r>
    <s v="18/11/2023 21:56:25"/>
    <x v="10"/>
    <x v="19"/>
    <x v="11"/>
    <x v="21"/>
    <m/>
    <m/>
    <m/>
    <m/>
  </r>
  <r>
    <s v="18/11/2023 22:09:52"/>
    <x v="21"/>
    <x v="19"/>
    <x v="21"/>
    <x v="25"/>
    <m/>
    <m/>
    <m/>
    <m/>
  </r>
  <r>
    <s v="18/11/2023 22:34:15"/>
    <x v="40"/>
    <x v="19"/>
    <x v="13"/>
    <x v="16"/>
    <m/>
    <m/>
    <m/>
    <m/>
  </r>
  <r>
    <s v="18/11/2023 22:42:53"/>
    <x v="35"/>
    <x v="19"/>
    <x v="14"/>
    <x v="20"/>
    <m/>
    <m/>
    <m/>
    <m/>
  </r>
  <r>
    <s v="18/11/2023 23:05:48"/>
    <x v="28"/>
    <x v="19"/>
    <x v="21"/>
    <x v="25"/>
    <m/>
    <m/>
    <m/>
    <m/>
  </r>
  <r>
    <s v="18/11/2023 23:12:14"/>
    <x v="11"/>
    <x v="19"/>
    <x v="22"/>
    <x v="21"/>
    <m/>
    <m/>
    <m/>
    <m/>
  </r>
  <r>
    <s v="19/11/2023 01:50:07"/>
    <x v="17"/>
    <x v="19"/>
    <x v="14"/>
    <x v="24"/>
    <m/>
    <m/>
    <m/>
    <m/>
  </r>
  <r>
    <s v="19/11/2023 06:15:21"/>
    <x v="2"/>
    <x v="19"/>
    <x v="32"/>
    <x v="19"/>
    <m/>
    <m/>
    <m/>
    <m/>
  </r>
  <r>
    <s v="19/11/2023 06:52:54"/>
    <x v="22"/>
    <x v="19"/>
    <x v="33"/>
    <x v="17"/>
    <m/>
    <m/>
    <m/>
    <m/>
  </r>
  <r>
    <s v="19/11/2023 06:53:04"/>
    <x v="20"/>
    <x v="19"/>
    <x v="11"/>
    <x v="25"/>
    <m/>
    <m/>
    <m/>
    <m/>
  </r>
  <r>
    <s v="19/11/2023 07:05:23"/>
    <x v="39"/>
    <x v="19"/>
    <x v="22"/>
    <x v="17"/>
    <m/>
    <m/>
    <m/>
    <m/>
  </r>
  <r>
    <s v="19/11/2023 08:14:50"/>
    <x v="5"/>
    <x v="19"/>
    <x v="33"/>
    <x v="22"/>
    <m/>
    <m/>
    <m/>
    <m/>
  </r>
  <r>
    <s v="19/11/2023 08:15:53"/>
    <x v="4"/>
    <x v="19"/>
    <x v="22"/>
    <x v="30"/>
    <m/>
    <m/>
    <m/>
    <m/>
  </r>
  <r>
    <s v="25/11/2023 19:29:57"/>
    <x v="35"/>
    <x v="20"/>
    <x v="17"/>
    <x v="19"/>
    <s v="Oscar"/>
    <s v="Markus"/>
    <m/>
    <m/>
  </r>
  <r>
    <s v="25/11/2023 19:50:03"/>
    <x v="6"/>
    <x v="20"/>
    <x v="11"/>
    <x v="16"/>
    <s v="Suzzy B"/>
    <s v="Oscar"/>
    <m/>
    <m/>
  </r>
  <r>
    <s v="25/11/2023 21:43:11"/>
    <x v="19"/>
    <x v="20"/>
    <x v="12"/>
    <x v="17"/>
    <s v="Oscar"/>
    <s v="Liam"/>
    <m/>
    <m/>
  </r>
  <r>
    <s v="26/11/2023 09:58:52"/>
    <x v="0"/>
    <x v="20"/>
    <x v="20"/>
    <x v="26"/>
    <s v="Liam"/>
    <s v="Joshua"/>
    <m/>
    <m/>
  </r>
  <r>
    <s v="26/11/2023 10:02:47"/>
    <x v="37"/>
    <x v="20"/>
    <x v="20"/>
    <x v="19"/>
    <s v="Oscar"/>
    <s v="Lee"/>
    <s v="Oscar and Lee for perseverance."/>
    <m/>
  </r>
  <r>
    <s v="26/11/2023 10:09:04"/>
    <x v="24"/>
    <x v="20"/>
    <x v="20"/>
    <x v="16"/>
    <s v="Liam"/>
    <s v="Liam"/>
    <m/>
    <m/>
  </r>
  <r>
    <s v="26/11/2023 10:38:12"/>
    <x v="36"/>
    <x v="20"/>
    <x v="13"/>
    <x v="21"/>
    <s v="Liam"/>
    <s v="Liam"/>
    <s v="Liam"/>
    <m/>
  </r>
  <r>
    <s v="26/11/2023 10:45:03"/>
    <x v="38"/>
    <x v="20"/>
    <x v="32"/>
    <x v="21"/>
    <s v="Lee"/>
    <s v="Suzzy B"/>
    <s v="Sneaky points award goes to Petra"/>
    <m/>
  </r>
  <r>
    <s v="26/11/2023 11:08:31"/>
    <x v="32"/>
    <x v="20"/>
    <x v="26"/>
    <x v="35"/>
    <s v="Lee"/>
    <s v="Liam"/>
    <m/>
    <m/>
  </r>
  <r>
    <s v="26/11/2023 12:00:23"/>
    <x v="10"/>
    <x v="20"/>
    <x v="11"/>
    <x v="21"/>
    <s v="Lee"/>
    <s v="Liam"/>
    <s v="Oscar-Race controller and Group principal for keeping everyone on track everywhere with reminders ;)"/>
    <m/>
  </r>
  <r>
    <s v="26/11/2023 12:09:17"/>
    <x v="16"/>
    <x v="20"/>
    <x v="12"/>
    <x v="24"/>
    <s v="Liam"/>
    <s v="Deville"/>
    <s v="Best organisers - Lee Nico and Oscar (and whoever else helped behind the scenes - Frank maybe??) love you bye"/>
    <m/>
  </r>
  <r>
    <s v="26/11/2023 12:09:27"/>
    <x v="17"/>
    <x v="20"/>
    <x v="26"/>
    <x v="16"/>
    <s v="Suzzy B"/>
    <s v="Lee"/>
    <m/>
    <m/>
  </r>
  <r>
    <s v="26/11/2023 12:44:58"/>
    <x v="11"/>
    <x v="20"/>
    <x v="32"/>
    <x v="19"/>
    <s v="Deville"/>
    <s v="Jason"/>
    <m/>
    <m/>
  </r>
  <r>
    <s v="26/11/2023 13:43:06"/>
    <x v="40"/>
    <x v="20"/>
    <x v="12"/>
    <x v="24"/>
    <s v="Lee"/>
    <s v="Lee"/>
    <s v="Zero to Hero: The person who came in from behind to come top 5 or top 10 or something like that. I don't know who should get it though, I haven't analysed all the historical results, but maybe someone good with excel and who sits with the data can draw a line graph with the names and placements after each race and that way you could quite quickly pick up whether someone deserves the award."/>
    <m/>
  </r>
  <r>
    <s v="26/11/2023 13:54:26"/>
    <x v="22"/>
    <x v="20"/>
    <x v="32"/>
    <x v="17"/>
    <s v="Suzzy B"/>
    <s v="Liam"/>
    <m/>
    <m/>
  </r>
  <r>
    <s v="26/11/2023 14:00:52"/>
    <x v="20"/>
    <x v="20"/>
    <x v="32"/>
    <x v="16"/>
    <s v="Suzzy B"/>
    <s v="Liam"/>
    <s v="The lucky one- the one that knows absolutely nothing about F1 but finished the highest"/>
    <m/>
  </r>
  <r>
    <s v="26/11/2023 14:10:33"/>
    <x v="39"/>
    <x v="20"/>
    <x v="32"/>
    <x v="21"/>
    <s v="Liam"/>
    <s v="Liam"/>
    <s v="The bad luck charm award_x000d__x000a_Awarded to the person who's drivers crashed the most"/>
    <m/>
  </r>
  <r>
    <s v="26/11/2023 14:44:14"/>
    <x v="12"/>
    <x v="20"/>
    <x v="20"/>
    <x v="35"/>
    <s v="Liam"/>
    <s v="Oscar"/>
    <m/>
    <m/>
  </r>
  <r>
    <s v="26/11/2023 14:44:38"/>
    <x v="15"/>
    <x v="20"/>
    <x v="32"/>
    <x v="21"/>
    <s v="Lee"/>
    <s v="Lee"/>
    <m/>
    <m/>
  </r>
  <r>
    <s v="26/11/2023 14:47:55"/>
    <x v="4"/>
    <x v="20"/>
    <x v="32"/>
    <x v="21"/>
    <s v="Suzzy B"/>
    <s v="Liam"/>
    <m/>
    <m/>
  </r>
  <r>
    <s v="26/11/2023 14:48:54"/>
    <x v="3"/>
    <x v="20"/>
    <x v="20"/>
    <x v="16"/>
    <s v="Suzzy B"/>
    <s v="Oscar"/>
    <m/>
    <m/>
  </r>
  <r>
    <s v="26/11/2023 14:53:59"/>
    <x v="28"/>
    <x v="20"/>
    <x v="32"/>
    <x v="21"/>
    <s v="Bernd"/>
    <s v="Liam"/>
    <s v="R1000000 for the winner"/>
    <m/>
  </r>
  <r>
    <s v="26/11/2023 14:57:14"/>
    <x v="5"/>
    <x v="20"/>
    <x v="32"/>
    <x v="16"/>
    <s v="Lee"/>
    <s v="Liam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297DF2-71C8-4EE5-9EDD-29DD16A8BCEF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52:C87" firstHeaderRow="1" firstDataRow="1" firstDataCol="1" rowPageCount="1" colPageCount="1"/>
  <pivotFields count="9">
    <pivotField showAll="0" defaultSubtotal="0"/>
    <pivotField showAll="0" defaultSubtotal="0"/>
    <pivotField axis="axisPage" showAll="0" defaultSubtotal="0">
      <items count="21">
        <item x="1"/>
        <item x="2"/>
        <item x="3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dataField="1" showAll="0" defaultSubtotal="0">
      <items count="34">
        <item x="0"/>
        <item x="11"/>
        <item x="5"/>
        <item x="12"/>
        <item x="18"/>
        <item x="6"/>
        <item x="23"/>
        <item x="10"/>
        <item x="4"/>
        <item x="21"/>
        <item x="22"/>
        <item x="19"/>
        <item x="2"/>
        <item x="16"/>
        <item x="13"/>
        <item x="8"/>
        <item x="9"/>
        <item x="17"/>
        <item x="3"/>
        <item x="20"/>
        <item x="7"/>
        <item x="14"/>
        <item x="15"/>
        <item x="1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</pivotFields>
  <rowFields count="1">
    <field x="3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1">
    <pageField fld="2" hier="-1"/>
  </pageFields>
  <dataFields count="1">
    <dataField name="Count of First Pick2" fld="3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2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</reference>
          </references>
        </pivotArea>
      </pivotAreas>
    </conditionalFormat>
  </conditional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84B61-D23C-4E32-B6BB-17A2C97663DE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B4:D27" firstHeaderRow="1" firstDataRow="1" firstDataCol="3" rowPageCount="1" colPageCount="1"/>
  <pivotFields count="9">
    <pivotField compact="0" outline="0" subtotalTop="0" showAll="0" defaultSubtotal="0"/>
    <pivotField axis="axisRow" compact="0" outline="0" subtotalTop="0" showAll="0" defaultSubtotal="0">
      <items count="41">
        <item x="17"/>
        <item x="26"/>
        <item x="35"/>
        <item x="7"/>
        <item x="23"/>
        <item x="3"/>
        <item x="27"/>
        <item x="1"/>
        <item x="28"/>
        <item x="15"/>
        <item x="8"/>
        <item x="21"/>
        <item x="24"/>
        <item x="2"/>
        <item x="29"/>
        <item x="20"/>
        <item x="25"/>
        <item x="4"/>
        <item x="36"/>
        <item x="38"/>
        <item x="14"/>
        <item x="19"/>
        <item x="18"/>
        <item x="11"/>
        <item x="30"/>
        <item x="9"/>
        <item x="33"/>
        <item x="13"/>
        <item x="34"/>
        <item x="39"/>
        <item x="37"/>
        <item x="5"/>
        <item x="10"/>
        <item x="31"/>
        <item x="6"/>
        <item x="32"/>
        <item x="12"/>
        <item x="40"/>
        <item x="0"/>
        <item x="16"/>
        <item x="22"/>
      </items>
    </pivotField>
    <pivotField axis="axisPage" compact="0" outline="0" showAll="0" defaultSubtotal="0">
      <items count="21">
        <item x="1"/>
        <item x="2"/>
        <item x="3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ubtotalTop="0" showAll="0" defaultSubtotal="0">
      <items count="34">
        <item x="0"/>
        <item x="11"/>
        <item x="5"/>
        <item x="27"/>
        <item x="12"/>
        <item x="18"/>
        <item x="6"/>
        <item x="23"/>
        <item x="10"/>
        <item x="4"/>
        <item x="21"/>
        <item x="26"/>
        <item x="22"/>
        <item x="19"/>
        <item x="2"/>
        <item x="16"/>
        <item x="13"/>
        <item x="8"/>
        <item x="25"/>
        <item x="9"/>
        <item x="17"/>
        <item x="3"/>
        <item x="20"/>
        <item x="24"/>
        <item x="7"/>
        <item x="14"/>
        <item x="15"/>
        <item x="1"/>
        <item x="28"/>
        <item x="29"/>
        <item x="30"/>
        <item x="31"/>
        <item x="32"/>
        <item x="33"/>
      </items>
    </pivotField>
    <pivotField axis="axisRow" compact="0" outline="0" subtotalTop="0" showAll="0" defaultSubtotal="0">
      <items count="36">
        <item x="12"/>
        <item x="17"/>
        <item x="0"/>
        <item x="23"/>
        <item x="16"/>
        <item x="4"/>
        <item x="14"/>
        <item x="20"/>
        <item x="6"/>
        <item x="26"/>
        <item x="19"/>
        <item x="22"/>
        <item x="27"/>
        <item x="8"/>
        <item x="24"/>
        <item x="11"/>
        <item x="1"/>
        <item x="2"/>
        <item x="15"/>
        <item x="21"/>
        <item x="13"/>
        <item x="10"/>
        <item x="28"/>
        <item x="3"/>
        <item x="7"/>
        <item x="25"/>
        <item x="5"/>
        <item x="18"/>
        <item x="9"/>
        <item x="29"/>
        <item x="30"/>
        <item x="31"/>
        <item x="32"/>
        <item x="33"/>
        <item x="34"/>
        <item x="3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3">
    <field x="1"/>
    <field x="3"/>
    <field x="4"/>
  </rowFields>
  <rowItems count="23">
    <i>
      <x/>
      <x v="11"/>
      <x v="4"/>
    </i>
    <i>
      <x v="2"/>
      <x v="20"/>
      <x v="10"/>
    </i>
    <i>
      <x v="5"/>
      <x v="22"/>
      <x v="4"/>
    </i>
    <i>
      <x v="8"/>
      <x v="32"/>
      <x v="19"/>
    </i>
    <i>
      <x v="9"/>
      <x v="32"/>
      <x v="19"/>
    </i>
    <i>
      <x v="12"/>
      <x v="22"/>
      <x v="4"/>
    </i>
    <i>
      <x v="15"/>
      <x v="32"/>
      <x v="4"/>
    </i>
    <i>
      <x v="17"/>
      <x v="32"/>
      <x v="19"/>
    </i>
    <i>
      <x v="18"/>
      <x v="16"/>
      <x v="19"/>
    </i>
    <i>
      <x v="19"/>
      <x v="32"/>
      <x v="19"/>
    </i>
    <i>
      <x v="21"/>
      <x v="4"/>
      <x v="1"/>
    </i>
    <i>
      <x v="23"/>
      <x v="32"/>
      <x v="10"/>
    </i>
    <i>
      <x v="29"/>
      <x v="32"/>
      <x v="19"/>
    </i>
    <i>
      <x v="30"/>
      <x v="22"/>
      <x v="10"/>
    </i>
    <i>
      <x v="31"/>
      <x v="32"/>
      <x v="4"/>
    </i>
    <i>
      <x v="32"/>
      <x v="1"/>
      <x v="19"/>
    </i>
    <i>
      <x v="34"/>
      <x v="1"/>
      <x v="4"/>
    </i>
    <i>
      <x v="35"/>
      <x v="11"/>
      <x v="35"/>
    </i>
    <i>
      <x v="36"/>
      <x v="22"/>
      <x v="35"/>
    </i>
    <i>
      <x v="37"/>
      <x v="4"/>
      <x v="14"/>
    </i>
    <i>
      <x v="38"/>
      <x v="22"/>
      <x v="9"/>
    </i>
    <i>
      <x v="39"/>
      <x v="4"/>
      <x v="14"/>
    </i>
    <i>
      <x v="40"/>
      <x v="32"/>
      <x v="1"/>
    </i>
  </rowItems>
  <colItems count="1">
    <i/>
  </colItems>
  <pageFields count="1">
    <pageField fld="2" item="20" hier="-1"/>
  </page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0000000}" autoFormatId="16" applyNumberFormats="0" applyBorderFormats="0" applyFontFormats="0" applyPatternFormats="0" applyAlignmentFormats="0" applyWidthHeightFormats="0">
  <queryTableRefresh nextId="17">
    <queryTableFields count="9">
      <queryTableField id="8" name="Timestamp" tableColumnId="8"/>
      <queryTableField id="9" name="Who are you?" tableColumnId="9"/>
      <queryTableField id="10" name="Race" tableColumnId="10"/>
      <queryTableField id="11" name="First Pick" tableColumnId="11"/>
      <queryTableField id="12" name="Second Pick" tableColumnId="12"/>
      <queryTableField id="13" name="Best Memes" tableColumnId="1"/>
      <queryTableField id="14" name="Master Commentator" tableColumnId="2"/>
      <queryTableField id="15" name="Random Question" tableColumnId="3"/>
      <queryTableField id="16" name="Random Awar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1000000}" autoFormatId="16" applyNumberFormats="0" applyBorderFormats="0" applyFontFormats="0" applyPatternFormats="0" applyAlignmentFormats="0" applyWidthHeightFormats="0">
  <queryTableRefresh nextId="9">
    <queryTableFields count="4">
      <queryTableField id="1" name="Pos" tableColumnId="1"/>
      <queryTableField id="3" name="Driver" tableColumnId="3"/>
      <queryTableField id="4" name="Time" tableColumnId="4"/>
      <queryTableField id="8" name="Stops" tableColumnId="8"/>
    </queryTableFields>
    <queryTableDeletedFields count="1">
      <deletedField name="Lap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6717A0-42FF-427C-B905-BF6EB4D320AC}" name="Table_Table_0__2" displayName="Table_Table_0__2" ref="A3:I518" tableType="queryTable" totalsRowShown="0">
  <autoFilter ref="A3:I518" xr:uid="{646717A0-42FF-427C-B905-BF6EB4D320AC}"/>
  <tableColumns count="9">
    <tableColumn id="8" xr3:uid="{283FCDC6-7656-483A-BC44-EAB1FC944F6B}" uniqueName="8" name="Timestamp" queryTableFieldId="8" dataDxfId="86"/>
    <tableColumn id="9" xr3:uid="{180CF2C9-B550-4797-9FE9-917BD089A948}" uniqueName="9" name="Who are you?" queryTableFieldId="9" dataDxfId="85"/>
    <tableColumn id="10" xr3:uid="{B9F5C330-134B-4019-BEB1-03561FDA1C86}" uniqueName="10" name="Race" queryTableFieldId="10" dataDxfId="84"/>
    <tableColumn id="11" xr3:uid="{CEEFF590-5949-4319-8561-294B9A8092C0}" uniqueName="11" name="First Pick" queryTableFieldId="11" dataDxfId="83"/>
    <tableColumn id="12" xr3:uid="{4F91FF74-F096-4F23-9A74-E7177E84ACFB}" uniqueName="12" name="Second Pick" queryTableFieldId="12" dataDxfId="82"/>
    <tableColumn id="1" xr3:uid="{4A0781F4-830E-46EA-94BE-EFD3F9125D97}" uniqueName="1" name="Best Memes" queryTableFieldId="13" dataDxfId="81"/>
    <tableColumn id="2" xr3:uid="{8C67C8E9-8CCE-4476-87B3-221AC09BFF85}" uniqueName="2" name="Master Commentator" queryTableFieldId="14" dataDxfId="80"/>
    <tableColumn id="3" xr3:uid="{5AAFFD5A-4793-40F7-A06F-B8A96850C211}" uniqueName="3" name="Random Question" queryTableFieldId="15" dataDxfId="79"/>
    <tableColumn id="4" xr3:uid="{DF03BE82-36B2-47DF-BD49-F14205B32BD0}" uniqueName="4" name="Random Award" queryTableFieldId="16" dataDxfId="78"/>
  </tableColumns>
  <tableStyleInfo name="TableStyleMedium1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BB5D5-0DD5-4D2B-B261-57C14684AAE4}" name="Table_0" displayName="Table_0" ref="A2:D22" tableType="queryTable" totalsRowShown="0" headerRowDxfId="77" dataDxfId="75" headerRowBorderDxfId="76">
  <autoFilter ref="A2:D22" xr:uid="{FC2BB5D5-0DD5-4D2B-B261-57C14684AAE4}"/>
  <tableColumns count="4">
    <tableColumn id="1" xr3:uid="{56323713-7B56-4EC2-AFD5-D1953641CF7F}" uniqueName="1" name="Pos" queryTableFieldId="1" dataDxfId="74"/>
    <tableColumn id="3" xr3:uid="{D48BA325-2340-4E3C-8378-F5261189AA23}" uniqueName="3" name="Driver" queryTableFieldId="3" dataDxfId="73"/>
    <tableColumn id="4" xr3:uid="{DFCEC983-3F4B-40C5-80F9-46DD7EFC9D9D}" uniqueName="4" name="Time" queryTableFieldId="4" dataDxfId="72"/>
    <tableColumn id="8" xr3:uid="{662C2F5F-F616-4EB1-A0F3-4BCDE90E0366}" uniqueName="8" name="Stops" queryTableFieldId="8" dataDxfId="7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867CAD-12D5-44D1-B095-AB712A1FDB7E}" name="Table5" displayName="Table5" ref="G2:L22" totalsRowShown="0" headerRowBorderDxfId="70">
  <autoFilter ref="G2:L22" xr:uid="{83867CAD-12D5-44D1-B095-AB712A1FDB7E}"/>
  <sortState xmlns:xlrd2="http://schemas.microsoft.com/office/spreadsheetml/2017/richdata2" ref="G3:L22">
    <sortCondition ref="H2:H22"/>
  </sortState>
  <tableColumns count="6">
    <tableColumn id="1" xr3:uid="{ECE61288-3CDC-4D59-BAA3-86822D03239D}" name="Map" dataDxfId="69">
      <calculatedColumnFormula>Table_0[[#This Row],[Driver]]</calculatedColumnFormula>
    </tableColumn>
    <tableColumn id="2" xr3:uid="{580C30C8-5085-47DE-8D0E-2AC03771C8C4}" name="Position" dataDxfId="68">
      <calculatedColumnFormula>IFERROR(VALUE(_xlfn.XLOOKUP(G3,Table_0[Driver],Table_0[Pos])),"R")</calculatedColumnFormula>
    </tableColumn>
    <tableColumn id="3" xr3:uid="{D233E641-86CD-467E-BF6F-7386073FADC4}" name="Driver" dataDxfId="67">
      <calculatedColumnFormula>_xlfn.XLOOKUP(Table_0[[#This Row],[Driver]],DriverNameMapping!$A$1:$A$22,DriverNameMapping!$B$1:$B$22)</calculatedColumnFormula>
    </tableColumn>
    <tableColumn id="4" xr3:uid="{A68ADFF8-557B-4D10-AF77-EB1DC534581E}" name="Time" dataDxfId="66">
      <calculatedColumnFormula>_xlfn.XLOOKUP(G3,Table_0[Driver],Table_0[Time])</calculatedColumnFormula>
    </tableColumn>
    <tableColumn id="5" xr3:uid="{A73225E6-61BB-4527-B6D6-361D228C53A3}" name="Stops" dataDxfId="65">
      <calculatedColumnFormula>_xlfn.XLOOKUP(G3,Table_0[Driver],Table_0[Stops])</calculatedColumnFormula>
    </tableColumn>
    <tableColumn id="6" xr3:uid="{5B4E140B-B68E-4029-9135-471BC8E1ECB0}" name="Points" dataDxfId="64">
      <calculatedColumnFormula array="1">_xlfn.XLOOKUP(H3,VALUE(Table_0[Pos]),$E$3:$E$22,0)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599502-8748-47A3-98B8-55CDD3F7BC93}" name="Table3" displayName="Table3" ref="B25:Z46" totalsRowShown="0" headerRowDxfId="63">
  <autoFilter ref="B25:Z46" xr:uid="{A4599502-8748-47A3-98B8-55CDD3F7BC93}"/>
  <sortState xmlns:xlrd2="http://schemas.microsoft.com/office/spreadsheetml/2017/richdata2" ref="B26:Z46">
    <sortCondition descending="1" ref="C25:C46"/>
  </sortState>
  <tableColumns count="25">
    <tableColumn id="1" xr3:uid="{8EC19B57-4922-47BA-89E3-826AE5F84FD2}" name="Race Results"/>
    <tableColumn id="2" xr3:uid="{46E622A8-5824-43AC-847A-907D8103820C}" name="Median Position" dataDxfId="62">
      <calculatedColumnFormula>MEDIAN(D26:Z26)</calculatedColumnFormula>
    </tableColumn>
    <tableColumn id="3" xr3:uid="{7F00F056-2744-47AD-95D9-BA0471EDA1F7}" name="Bahrain">
      <calculatedColumnFormula>IFERROR(_xlfn.XLOOKUP($B26,'Race Results'!O$3:O$22,'Race Results'!$N$3:$N$22),"")</calculatedColumnFormula>
    </tableColumn>
    <tableColumn id="4" xr3:uid="{FDAF0963-0B78-4157-9C2C-5398F0847E6D}" name="Saudi Arabia">
      <calculatedColumnFormula>IFERROR(_xlfn.XLOOKUP($B26,'Race Results'!P$3:P$22,'Race Results'!$N$3:$N$22),"")</calculatedColumnFormula>
    </tableColumn>
    <tableColumn id="5" xr3:uid="{9F6B35F5-F50B-46FC-9384-E59CA046B77D}" name="Australia">
      <calculatedColumnFormula>IFERROR(_xlfn.XLOOKUP($B26,'Race Results'!Q$3:Q$22,'Race Results'!$N$3:$N$22),"")</calculatedColumnFormula>
    </tableColumn>
    <tableColumn id="6" xr3:uid="{7E5F781B-FB72-4B4B-AAD0-D60346E97812}" name="Azerbaijan">
      <calculatedColumnFormula>IFERROR(_xlfn.XLOOKUP($B26,'Race Results'!R$3:R$22,'Race Results'!$N$3:$N$22),"")</calculatedColumnFormula>
    </tableColumn>
    <tableColumn id="7" xr3:uid="{BB7E5685-4F82-489B-8FFD-87635A986816}" name="Miami">
      <calculatedColumnFormula>IFERROR(_xlfn.XLOOKUP($B26,'Race Results'!S$3:S$22,'Race Results'!$N$3:$N$22),"")</calculatedColumnFormula>
    </tableColumn>
    <tableColumn id="8" xr3:uid="{698D208D-6FB0-4737-9037-1B5678B2481B}" name="Italy">
      <calculatedColumnFormula>IFERROR(_xlfn.XLOOKUP($B26,'Race Results'!T$3:T$22,'Race Results'!$N$3:$N$22),"")</calculatedColumnFormula>
    </tableColumn>
    <tableColumn id="9" xr3:uid="{1B012A21-48EC-4DB7-9DEC-D8813E056AB8}" name="Monaco">
      <calculatedColumnFormula>IFERROR(_xlfn.XLOOKUP($B26,'Race Results'!U$3:U$22,'Race Results'!$N$3:$N$22),"")</calculatedColumnFormula>
    </tableColumn>
    <tableColumn id="10" xr3:uid="{0F4D895E-F2D4-484B-A37D-935285071208}" name="Spain">
      <calculatedColumnFormula>IFERROR(_xlfn.XLOOKUP($B26,'Race Results'!V$3:V$22,'Race Results'!$N$3:$N$22),"")</calculatedColumnFormula>
    </tableColumn>
    <tableColumn id="11" xr3:uid="{42ACDB9B-6503-4DE2-B0B2-50D95ACC9F22}" name="Canada">
      <calculatedColumnFormula>IFERROR(_xlfn.XLOOKUP($B26,'Race Results'!W$3:W$22,'Race Results'!$N$3:$N$22),"")</calculatedColumnFormula>
    </tableColumn>
    <tableColumn id="12" xr3:uid="{F62A370C-199E-4D22-861E-78EC9ABEF532}" name="Autria">
      <calculatedColumnFormula>IFERROR(_xlfn.XLOOKUP($B26,'Race Results'!X$3:X$22,'Race Results'!$N$3:$N$22),"")</calculatedColumnFormula>
    </tableColumn>
    <tableColumn id="13" xr3:uid="{A4612DC1-8194-48E7-B88A-4574C117B783}" name="Great Britain">
      <calculatedColumnFormula>IFERROR(_xlfn.XLOOKUP($B26,'Race Results'!Y$3:Y$22,'Race Results'!$N$3:$N$22),"")</calculatedColumnFormula>
    </tableColumn>
    <tableColumn id="14" xr3:uid="{1770064D-46A0-4767-B9BD-65D81BA82405}" name="Hungary">
      <calculatedColumnFormula>IFERROR(_xlfn.XLOOKUP($B26,'Race Results'!Z$3:Z$22,'Race Results'!$N$3:$N$22),"")</calculatedColumnFormula>
    </tableColumn>
    <tableColumn id="15" xr3:uid="{73459F81-84DA-4AC0-BE1A-680EC2A5DB00}" name="Belgium">
      <calculatedColumnFormula>IFERROR(_xlfn.XLOOKUP($B26,'Race Results'!AA$3:AA$22,'Race Results'!$N$3:$N$22),"")</calculatedColumnFormula>
    </tableColumn>
    <tableColumn id="16" xr3:uid="{C9D6C259-DAC6-4629-AE4F-CE5D8A2D708E}" name="Netherlands">
      <calculatedColumnFormula>IFERROR(_xlfn.XLOOKUP($B26,'Race Results'!AB$3:AB$22,'Race Results'!$N$3:$N$22),"")</calculatedColumnFormula>
    </tableColumn>
    <tableColumn id="17" xr3:uid="{A35B8170-1BB9-436A-B4ED-343FDFFD6837}" name="Italy2">
      <calculatedColumnFormula>IFERROR(_xlfn.XLOOKUP($B26,'Race Results'!AC$3:AC$22,'Race Results'!$N$3:$N$22),"")</calculatedColumnFormula>
    </tableColumn>
    <tableColumn id="18" xr3:uid="{1DCA6E42-0418-4E78-80EF-625E716625FA}" name="Singapore">
      <calculatedColumnFormula>IFERROR(_xlfn.XLOOKUP($B26,'Race Results'!AD$3:AD$22,'Race Results'!$N$3:$N$22),"")</calculatedColumnFormula>
    </tableColumn>
    <tableColumn id="19" xr3:uid="{DE3D61D6-F089-4178-B697-28129005FEAE}" name="Japan">
      <calculatedColumnFormula>IFERROR(_xlfn.XLOOKUP($B26,'Race Results'!AE$3:AE$22,'Race Results'!$N$3:$N$22),"")</calculatedColumnFormula>
    </tableColumn>
    <tableColumn id="20" xr3:uid="{C03643EF-AFFF-43D4-ADB3-1498924A7F36}" name="Qatar">
      <calculatedColumnFormula>IFERROR(_xlfn.XLOOKUP($B26,'Race Results'!AF$3:AF$22,'Race Results'!$N$3:$N$22),"")</calculatedColumnFormula>
    </tableColumn>
    <tableColumn id="21" xr3:uid="{05F591B1-64C1-4D5F-8973-30A2C49FE600}" name="United States">
      <calculatedColumnFormula>IFERROR(_xlfn.XLOOKUP($B26,'Race Results'!AG$3:AG$22,'Race Results'!$N$3:$N$22),"")</calculatedColumnFormula>
    </tableColumn>
    <tableColumn id="22" xr3:uid="{72FF6E34-6BB4-4C74-9DE3-DF5CF7CAB83C}" name="Mexico">
      <calculatedColumnFormula>IFERROR(_xlfn.XLOOKUP($B26,'Race Results'!AH$3:AH$22,'Race Results'!$N$3:$N$22),"")</calculatedColumnFormula>
    </tableColumn>
    <tableColumn id="23" xr3:uid="{2291F0FF-A1B9-463C-B59D-B96FDB481D2F}" name="Brazil">
      <calculatedColumnFormula>IFERROR(_xlfn.XLOOKUP($B26,'Race Results'!AI$3:AI$22,'Race Results'!$N$3:$N$22),"")</calculatedColumnFormula>
    </tableColumn>
    <tableColumn id="24" xr3:uid="{5A723549-062D-44C6-BEC3-6D22C7AEB8E2}" name="Las Vegas">
      <calculatedColumnFormula>IFERROR(_xlfn.XLOOKUP($B26,'Race Results'!AJ$3:AJ$22,'Race Results'!$N$3:$N$22),"")</calculatedColumnFormula>
    </tableColumn>
    <tableColumn id="25" xr3:uid="{004EC791-74E8-4C76-BB68-192ADF954BAC}" name="Abu Dhabi">
      <calculatedColumnFormula>IFERROR(_xlfn.XLOOKUP($B26,'Race Results'!AK$3:AK$22,'Race Results'!$N$3:$N$22),"")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136543-D71A-405F-8FA4-9FE3086B3E0A}" name="Table7" displayName="Table7" ref="F32:I54" totalsRowShown="0" headerRowDxfId="61" headerRowBorderDxfId="60">
  <autoFilter ref="F32:I54" xr:uid="{67136543-D71A-405F-8FA4-9FE3086B3E0A}"/>
  <sortState xmlns:xlrd2="http://schemas.microsoft.com/office/spreadsheetml/2017/richdata2" ref="F33:I54">
    <sortCondition descending="1" ref="I32:I54"/>
  </sortState>
  <tableColumns count="4">
    <tableColumn id="1" xr3:uid="{9C3739D5-7793-4B66-BFF7-FA674291BE77}" name="Driver" dataDxfId="59"/>
    <tableColumn id="2" xr3:uid="{778D5F99-B6D6-4C0F-BF1F-D513A5C8A4BD}" name="First Picks" dataDxfId="58">
      <calculatedColumnFormula>COUNTIF(C$5:C$30,$F33)</calculatedColumnFormula>
    </tableColumn>
    <tableColumn id="3" xr3:uid="{0CE24616-7083-471D-82AD-695017393CEC}" name="Second Picks" dataDxfId="57">
      <calculatedColumnFormula>COUNTIF(D$5:D$29,$F33)</calculatedColumnFormula>
    </tableColumn>
    <tableColumn id="4" xr3:uid="{8FE25A19-843E-49D4-9341-703810CECB19}" name="Total Picks" dataDxfId="56">
      <calculatedColumnFormula>G33+H33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EE0FF5-485F-4113-AA14-8637A0A05357}" name="Table15" displayName="Table15" ref="B1:AC27" totalsRowShown="0" headerRowDxfId="55" dataDxfId="54">
  <autoFilter ref="B1:AC27" xr:uid="{C2B0D7A7-0352-47F9-BB5D-8DC5E0097A96}"/>
  <sortState xmlns:xlrd2="http://schemas.microsoft.com/office/spreadsheetml/2017/richdata2" ref="B2:AC27">
    <sortCondition descending="1" ref="G1:G27"/>
  </sortState>
  <tableColumns count="28">
    <tableColumn id="2" xr3:uid="{09902E3E-4B1B-4885-9981-2E4D7133584A}" name="Name" dataDxfId="53"/>
    <tableColumn id="1" xr3:uid="{EDDE577A-BC4F-4E25-BB1E-2DB8F90171E4}" name="Previous Race Total" dataDxfId="52">
      <calculatedColumnFormula array="1">Table15[[#This Row],[Total]]-_xlfn.XLOOKUP($G$35,$H$36:$AC$36,Table15[[#This Row],[Saudi Arabia - 19 March]:[Abu Dhabi - 26 November]])</calculatedColumnFormula>
    </tableColumn>
    <tableColumn id="26" xr3:uid="{CF08FD4E-9360-42B3-B747-24C77CC08E13}" name="Previous race Ranking" dataDxfId="51">
      <calculatedColumnFormula array="1">_xlfn.XLOOKUP(B2,_xlfn.SORTBY(Table15[Name],Table15[Previous Race Total],-1),$A$2:$A$27)</calculatedColumnFormula>
    </tableColumn>
    <tableColumn id="28" xr3:uid="{AC8DC2E4-B69A-46B0-BCC6-EDCF7C0F6BE4}" name="Current ranking" dataDxfId="50">
      <calculatedColumnFormula array="1">_xlfn.XLOOKUP(B2,_xlfn.SORTBY(Table15[Name],Table15[Total],-1),$A$2:$A$27)</calculatedColumnFormula>
    </tableColumn>
    <tableColumn id="27" xr3:uid="{E75F08AA-2CC2-4ED0-955B-CEC305B78551}" name="Column1" dataDxfId="49">
      <calculatedColumnFormula>Table15[[#This Row],[Previous race Ranking]]-Table15[[#This Row],[Current ranking]]</calculatedColumnFormula>
    </tableColumn>
    <tableColumn id="25" xr3:uid="{E185FD6E-00DB-4E7B-A7B8-B642DF5DDF75}" name="Total" dataDxfId="48">
      <calculatedColumnFormula>SUM(H2:AC2)</calculatedColumnFormula>
    </tableColumn>
    <tableColumn id="3" xr3:uid="{078EC4E5-1F22-4B41-80FA-ECC5232754EB}" name="Saudi Arabia - 19 March" dataDxfId="47"/>
    <tableColumn id="4" xr3:uid="{B0DBA72F-D70B-4222-9B55-810140D5B774}" name="Australia - 2 April" dataDxfId="46"/>
    <tableColumn id="5" xr3:uid="{29E9E0F2-B517-4726-B7D0-344FD1FFE26F}" name="Azerbaijan - 30 April" dataDxfId="45"/>
    <tableColumn id="6" xr3:uid="{9345566D-C8B0-463E-8D08-91B75C5C6B60}" name="Miami - 7 May" dataDxfId="44">
      <calculatedColumnFormula array="1">IFERROR(_xlfn.XLOOKUP(1,(Table15[[#This Row],[Name]]='Google Forms'!$B:$B)*(Table15[[#Headers],[Miami - 7 May]]='Google Forms'!$C:$C),'Google Forms'!$K:$K,0,0,-1),0)</calculatedColumnFormula>
    </tableColumn>
    <tableColumn id="7" xr3:uid="{A1DB75D6-BA35-4914-A939-AC197B891D30}" name="Italy - 21 May" dataDxfId="43">
      <calculatedColumnFormula array="1">IFERROR(_xlfn.XLOOKUP(1,(Table15[[#This Row],[Name]]='Google Forms'!$B:$B)*(Table15[[#Headers],[Italy - 21 May]]='Google Forms'!$C:$C),'Google Forms'!$K:$K,0,0,-1),0)</calculatedColumnFormula>
    </tableColumn>
    <tableColumn id="8" xr3:uid="{43F870F5-822E-480F-8208-07C35282F3D2}" name="Monaco - 28 May" dataDxfId="42">
      <calculatedColumnFormula array="1">IFERROR(_xlfn.XLOOKUP(1,(Table15[[#This Row],[Name]]='Google Forms'!$B:$B)*(Table15[[#Headers],[Monaco - 28 May]]='Google Forms'!$C:$C),'Google Forms'!$K:$K,0,0,-1),0)</calculatedColumnFormula>
    </tableColumn>
    <tableColumn id="9" xr3:uid="{A6556F38-0E61-4746-96A3-C10050DA494B}" name="Spain - 4 June" dataDxfId="41">
      <calculatedColumnFormula array="1">IFERROR(_xlfn.XLOOKUP(1,(Table15[[#This Row],[Name]]='Google Forms'!$B:$B)*(Table15[[#Headers],[Spain - 4 June]]='Google Forms'!$C:$C),'Google Forms'!$K:$K,0,0,-1),0)</calculatedColumnFormula>
    </tableColumn>
    <tableColumn id="10" xr3:uid="{084C6B7B-B6B8-4C9E-9ED3-E83142D61E6B}" name="Canada - 18 June" dataDxfId="40">
      <calculatedColumnFormula array="1">IFERROR(_xlfn.XLOOKUP(1,(Table15[[#This Row],[Name]]='Google Forms'!$B:$B)*(Table15[[#Headers],[Canada - 18 June]]='Google Forms'!$C:$C),'Google Forms'!$K:$K,0,0,-1),0)</calculatedColumnFormula>
    </tableColumn>
    <tableColumn id="11" xr3:uid="{F4DA8ED6-6310-46C5-8992-0B6D2F299766}" name="Austria - 2 July" dataDxfId="39">
      <calculatedColumnFormula array="1">IFERROR(_xlfn.XLOOKUP(1,(Table15[[#This Row],[Name]]='Google Forms'!$B:$B)*(Table15[[#Headers],[Austria - 2 July]]='Google Forms'!$C:$C),'Google Forms'!$K:$K,0,0,-1),0)</calculatedColumnFormula>
    </tableColumn>
    <tableColumn id="12" xr3:uid="{6B520017-CEDB-4B6F-AF21-EB47F9BC35BE}" name="Great Britain - 9 July" dataDxfId="38">
      <calculatedColumnFormula array="1">IFERROR(_xlfn.XLOOKUP(1,(Table15[[#This Row],[Name]]='Google Forms'!$B:$B)*(Table15[[#Headers],[Great Britain - 9 July]]='Google Forms'!$C:$C),'Google Forms'!$K:$K,0,0,-1),0)</calculatedColumnFormula>
    </tableColumn>
    <tableColumn id="13" xr3:uid="{CC80915D-ECA7-4F52-9EE7-BA03620F53AD}" name="Hungary - 23 July" dataDxfId="37">
      <calculatedColumnFormula array="1">IFERROR(_xlfn.XLOOKUP(1,(Table15[[#This Row],[Name]]='Google Forms'!$B:$B)*(Table15[[#Headers],[Hungary - 23 July]]='Google Forms'!$C:$C),'Google Forms'!$K:$K,0,0,-1),0)</calculatedColumnFormula>
    </tableColumn>
    <tableColumn id="14" xr3:uid="{179BB863-0879-4B63-A6CB-E2D4DCCE1E12}" name="Belgium - 30 July" dataDxfId="36">
      <calculatedColumnFormula array="1">IFERROR(_xlfn.XLOOKUP(1,(Table15[[#This Row],[Name]]='Google Forms'!$B:$B)*(Table15[[#Headers],[Belgium - 30 July]]='Google Forms'!$C:$C),'Google Forms'!$K:$K,0,0,-1),0)</calculatedColumnFormula>
    </tableColumn>
    <tableColumn id="15" xr3:uid="{5AC8A5F5-F8C8-41DE-9062-A5B8F0E30739}" name="Netherlands - 27 August" dataDxfId="35">
      <calculatedColumnFormula array="1">IFERROR(_xlfn.XLOOKUP(1,(Table15[[#This Row],[Name]]='Google Forms'!$B:$B)*(Table15[[#Headers],[Netherlands - 27 August]]='Google Forms'!$C:$C),'Google Forms'!$K:$K,0,0,-1),0)</calculatedColumnFormula>
    </tableColumn>
    <tableColumn id="16" xr3:uid="{AA037D20-95A7-49A7-B22D-3FEA8F187509}" name="Italy - 3 September" dataDxfId="34">
      <calculatedColumnFormula array="1">IFERROR(_xlfn.XLOOKUP(1,(Table15[[#This Row],[Name]]='Google Forms'!$B:$B)*(Table15[[#Headers],[Italy - 3 September]]='Google Forms'!$C:$C),'Google Forms'!$K:$K,0,0,-1),0)</calculatedColumnFormula>
    </tableColumn>
    <tableColumn id="17" xr3:uid="{E908278C-0B45-404A-8CE2-339BF32F7455}" name="Singapore - 17 September" dataDxfId="33">
      <calculatedColumnFormula array="1">IFERROR(_xlfn.XLOOKUP(1,(Table15[[#This Row],[Name]]='Google Forms'!$B:$B)*(Table15[[#Headers],[Singapore - 17 September]]='Google Forms'!$C:$C),'Google Forms'!$K:$K,0,0,-1),0)</calculatedColumnFormula>
    </tableColumn>
    <tableColumn id="18" xr3:uid="{C31DFF9B-4540-4FB7-B400-8DDEA2FA2DB8}" name="Japan - 24 September" dataDxfId="32">
      <calculatedColumnFormula array="1">IFERROR(_xlfn.XLOOKUP(1,(Table15[[#This Row],[Name]]='Google Forms'!$B:$B)*(Table15[[#Headers],[Japan - 24 September]]='Google Forms'!$C:$C),'Google Forms'!$K:$K,0,0,-1),0)</calculatedColumnFormula>
    </tableColumn>
    <tableColumn id="19" xr3:uid="{BD3DE372-3226-43BD-9DB2-5DE27A015119}" name="Qatar - 8 October" dataDxfId="31">
      <calculatedColumnFormula array="1">IFERROR(_xlfn.XLOOKUP(1,(Table15[[#This Row],[Name]]='Google Forms'!$B:$B)*(Table15[[#Headers],[Qatar - 8 October]]='Google Forms'!$C:$C),'Google Forms'!$K:$K,0,0,-1),0)</calculatedColumnFormula>
    </tableColumn>
    <tableColumn id="20" xr3:uid="{8B49827C-EA76-4524-8CDF-9B8B86A17BEC}" name="United States - 22 October" dataDxfId="30">
      <calculatedColumnFormula array="1">IFERROR(_xlfn.XLOOKUP(1,(Table15[[#This Row],[Name]]='Google Forms'!$B:$B)*(Table15[[#Headers],[United States - 22 October]]='Google Forms'!$C:$C),'Google Forms'!$K:$K,0,0,-1),0)</calculatedColumnFormula>
    </tableColumn>
    <tableColumn id="21" xr3:uid="{EC025A43-E6CC-4A6C-8CCB-C0A3E7E4ACF2}" name="Mexico - 29 October" dataDxfId="29">
      <calculatedColumnFormula array="1">IFERROR(_xlfn.XLOOKUP(1,(Table15[[#This Row],[Name]]='Google Forms'!$B:$B)*(Table15[[#Headers],[Mexico - 29 October]]='Google Forms'!$C:$C),'Google Forms'!$K:$K,0,0,-1),0)</calculatedColumnFormula>
    </tableColumn>
    <tableColumn id="22" xr3:uid="{8BE7F1B5-302F-4843-944D-11494C56F71B}" name="Brazil - 5 November" dataDxfId="28">
      <calculatedColumnFormula array="1">IFERROR(_xlfn.XLOOKUP(1,(Table15[[#This Row],[Name]]='Google Forms'!$B:$B)*(Table15[[#Headers],[Brazil - 5 November]]='Google Forms'!$C:$C),'Google Forms'!$K:$K,0,0,-1),0)</calculatedColumnFormula>
    </tableColumn>
    <tableColumn id="23" xr3:uid="{26450457-5825-4FAB-A671-F81F4FCDB70D}" name="Las Vegas - 18 November" dataDxfId="27">
      <calculatedColumnFormula array="1">IFERROR(_xlfn.XLOOKUP(1,(Table15[[#This Row],[Name]]='Google Forms'!$B:$B)*(Table15[[#Headers],[Las Vegas - 18 November]]='Google Forms'!$C:$C),'Google Forms'!$K:$K,0,0,-1),0)</calculatedColumnFormula>
    </tableColumn>
    <tableColumn id="24" xr3:uid="{69BDB461-8317-40EA-A247-B9039A0C4846}" name="Abu Dhabi - 26 November" dataDxfId="26">
      <calculatedColumnFormula array="1">IFERROR(_xlfn.XLOOKUP(1,(Table15[[#This Row],[Name]]='Google Forms'!$B:$B)*(Table15[[#Headers],[Abu Dhabi - 26 November]]='Google Forms'!$C:$C),'Google Forms'!$K:$K,0,0,-1),0)</calculatedColumnFormula>
    </tableColumn>
  </tableColumns>
  <tableStyleInfo name="TableStyleMedium1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B0D7A7-0352-47F9-BB5D-8DC5E0097A96}" name="Table1" displayName="Table1" ref="A1:W27" totalsRowShown="0" headerRowDxfId="111" dataDxfId="110">
  <autoFilter ref="A1:W27" xr:uid="{C2B0D7A7-0352-47F9-BB5D-8DC5E0097A96}"/>
  <tableColumns count="23">
    <tableColumn id="2" xr3:uid="{885858B3-48A5-43B4-B5CB-AA227DB30232}" name="Name" dataDxfId="109"/>
    <tableColumn id="3" xr3:uid="{ED0F5F90-E78F-4047-AA38-19FFD428D6B8}" name="Saudi Arabia - 19 March" dataDxfId="108"/>
    <tableColumn id="4" xr3:uid="{77CBDEC5-5887-4703-96B0-024866EAD64E}" name="Australia - 2 April" dataDxfId="107"/>
    <tableColumn id="5" xr3:uid="{225FBAB8-EADB-43D6-B312-862FE1C40B5B}" name="Azerbaijan - 30 April" dataDxfId="106"/>
    <tableColumn id="6" xr3:uid="{1FB704AE-7AAD-409E-B67D-EAE99ED9B38C}" name="Miami - 7 May" dataDxfId="105">
      <calculatedColumnFormula array="1">IFERROR(_xlfn.XLOOKUP(1,(Table1[[#This Row],[Name]]='Google Forms'!$B:$B)*(Table1[[#Headers],[Miami - 7 May]]='Google Forms'!$C:$C),'Google Forms'!$K:$K,0,0,-1),0)</calculatedColumnFormula>
    </tableColumn>
    <tableColumn id="7" xr3:uid="{553A225F-D02B-42F6-8684-EC468541EACC}" name="Italy - 21 May" dataDxfId="104">
      <calculatedColumnFormula array="1">IFERROR(_xlfn.XLOOKUP(1,(Table1[[#This Row],[Name]]='Google Forms'!$B:$B)*(Table1[[#Headers],[Italy - 21 May]]='Google Forms'!$C:$C),'Google Forms'!$K:$K,0,0,-1),0)</calculatedColumnFormula>
    </tableColumn>
    <tableColumn id="8" xr3:uid="{630AE1FB-0F2A-4C81-995C-2CD24866DD5C}" name="Monaco - 28 May" dataDxfId="103">
      <calculatedColumnFormula array="1">IFERROR(_xlfn.XLOOKUP(1,(Table1[[#This Row],[Name]]='Google Forms'!$B:$B)*(Table1[[#Headers],[Monaco - 28 May]]='Google Forms'!$C:$C),'Google Forms'!$K:$K,0,0,-1),0)</calculatedColumnFormula>
    </tableColumn>
    <tableColumn id="9" xr3:uid="{D289EE90-84C1-427C-8657-43D2462AFCF8}" name="Spain - 4 June" dataDxfId="102">
      <calculatedColumnFormula array="1">IFERROR(_xlfn.XLOOKUP(1,(Table1[[#This Row],[Name]]='Google Forms'!$B:$B)*(Table1[[#Headers],[Spain - 4 June]]='Google Forms'!$C:$C),'Google Forms'!$K:$K,0,0,-1),0)</calculatedColumnFormula>
    </tableColumn>
    <tableColumn id="10" xr3:uid="{773F9C7F-799F-4A0A-A738-1CDE8A14E5BA}" name="Canada - 18 June" dataDxfId="101">
      <calculatedColumnFormula array="1">IFERROR(_xlfn.XLOOKUP(1,(Table1[[#This Row],[Name]]='Google Forms'!$B:$B)*(Table1[[#Headers],[Canada - 18 June]]='Google Forms'!$C:$C),'Google Forms'!$K:$K,0,0,-1),0)</calculatedColumnFormula>
    </tableColumn>
    <tableColumn id="11" xr3:uid="{602B3B5E-B674-45B4-B8A4-3896F5AF43DA}" name="Austria - 2 July" dataDxfId="100">
      <calculatedColumnFormula array="1">IFERROR(_xlfn.XLOOKUP(1,(Table1[[#This Row],[Name]]='Google Forms'!$B:$B)*(Table1[[#Headers],[Austria - 2 July]]='Google Forms'!$C:$C),'Google Forms'!$K:$K,0,0,-1),0)</calculatedColumnFormula>
    </tableColumn>
    <tableColumn id="12" xr3:uid="{7F91AF3B-42E9-4777-9D0C-EC58B2D11C1D}" name="Great Britain - 9 July" dataDxfId="99">
      <calculatedColumnFormula array="1">IFERROR(_xlfn.XLOOKUP(1,(Table1[[#This Row],[Name]]='Google Forms'!$B:$B)*(Table1[[#Headers],[Great Britain - 9 July]]='Google Forms'!$C:$C),'Google Forms'!$K:$K,0,0,-1),0)</calculatedColumnFormula>
    </tableColumn>
    <tableColumn id="13" xr3:uid="{333D97D8-FF4F-44C0-8CC2-7A8D26931781}" name="Hungary - 23 July" dataDxfId="98">
      <calculatedColumnFormula array="1">IFERROR(_xlfn.XLOOKUP(1,(Table1[[#This Row],[Name]]='Google Forms'!$B:$B)*(Table1[[#Headers],[Hungary - 23 July]]='Google Forms'!$C:$C),'Google Forms'!$K:$K,0,0,-1),0)</calculatedColumnFormula>
    </tableColumn>
    <tableColumn id="14" xr3:uid="{CB2D8DBC-B7A0-46EE-B0EB-254FDA4EDA06}" name="Belgium - 30 July" dataDxfId="97">
      <calculatedColumnFormula array="1">IFERROR(_xlfn.XLOOKUP(1,(Table1[[#This Row],[Name]]='Google Forms'!$B:$B)*(Table1[[#Headers],[Belgium - 30 July]]='Google Forms'!$C:$C),'Google Forms'!$K:$K,0,0,-1),0)</calculatedColumnFormula>
    </tableColumn>
    <tableColumn id="15" xr3:uid="{A93FC3FC-28BB-4AA2-981C-124FAD53B5AB}" name="Netherlands - 27 August" dataDxfId="96">
      <calculatedColumnFormula array="1">IFERROR(_xlfn.XLOOKUP(1,(Table1[[#This Row],[Name]]='Google Forms'!$B:$B)*(Table1[[#Headers],[Netherlands - 27 August]]='Google Forms'!$C:$C),'Google Forms'!$K:$K,0,0,-1),0)</calculatedColumnFormula>
    </tableColumn>
    <tableColumn id="16" xr3:uid="{456F4271-B44E-4ED4-91AE-2D046801FEC6}" name="Italy - 3 September" dataDxfId="95">
      <calculatedColumnFormula array="1">IFERROR(_xlfn.XLOOKUP(1,(Table1[[#This Row],[Name]]='Google Forms'!$B:$B)*(Table1[[#Headers],[Italy - 3 September]]='Google Forms'!$C:$C),'Google Forms'!$K:$K,0,0,-1),0)</calculatedColumnFormula>
    </tableColumn>
    <tableColumn id="17" xr3:uid="{7B9ED80C-252B-4C06-8277-05FF4E68C9D4}" name="Singapore - 17 September" dataDxfId="94">
      <calculatedColumnFormula array="1">IFERROR(_xlfn.XLOOKUP(1,(Table1[[#This Row],[Name]]='Google Forms'!$B:$B)*(Table1[[#Headers],[Singapore - 17 September]]='Google Forms'!$C:$C),'Google Forms'!$K:$K,0,0,-1),0)</calculatedColumnFormula>
    </tableColumn>
    <tableColumn id="18" xr3:uid="{69D038D5-3C4C-4B9E-8E9C-B178796159EF}" name="Japan - 24 September" dataDxfId="93">
      <calculatedColumnFormula array="1">IFERROR(_xlfn.XLOOKUP(1,(Table1[[#This Row],[Name]]='Google Forms'!$B:$B)*(Table1[[#Headers],[Japan - 24 September]]='Google Forms'!$C:$C),'Google Forms'!$K:$K,0,0,-1),0)</calculatedColumnFormula>
    </tableColumn>
    <tableColumn id="19" xr3:uid="{93E482DB-A582-43F1-A859-35A4A206E2A6}" name="Qatar - 8 October" dataDxfId="92">
      <calculatedColumnFormula array="1">IFERROR(_xlfn.XLOOKUP(1,(Table1[[#This Row],[Name]]='Google Forms'!$B:$B)*(Table1[[#Headers],[Qatar - 8 October]]='Google Forms'!$C:$C),'Google Forms'!$K:$K,0,0,-1),0)</calculatedColumnFormula>
    </tableColumn>
    <tableColumn id="20" xr3:uid="{663837C7-0300-4E84-98C0-02009FFC9648}" name="United States - 22 October" dataDxfId="91">
      <calculatedColumnFormula array="1">IFERROR(_xlfn.XLOOKUP(1,(Table1[[#This Row],[Name]]='Google Forms'!$B:$B)*(Table1[[#Headers],[United States - 22 October]]='Google Forms'!$C:$C),'Google Forms'!$K:$K,0,0,-1),0)</calculatedColumnFormula>
    </tableColumn>
    <tableColumn id="21" xr3:uid="{B9507682-C653-4CD5-9EE5-4EF0E945B5B6}" name="Mexico - 29 October" dataDxfId="90">
      <calculatedColumnFormula array="1">IFERROR(_xlfn.XLOOKUP(1,(Table1[[#This Row],[Name]]='Google Forms'!$B:$B)*(Table1[[#Headers],[Mexico - 29 October]]='Google Forms'!$C:$C),'Google Forms'!$K:$K,0,0,-1),0)</calculatedColumnFormula>
    </tableColumn>
    <tableColumn id="22" xr3:uid="{3740DF3C-38CE-49DE-B78B-26D0CF3DB946}" name="Brazil - 5 November" dataDxfId="89">
      <calculatedColumnFormula array="1">IFERROR(_xlfn.XLOOKUP(1,(Table1[[#This Row],[Name]]='Google Forms'!$B:$B)*(Table1[[#Headers],[Brazil - 5 November]]='Google Forms'!$C:$C),'Google Forms'!$K:$K,0,0,-1),0)</calculatedColumnFormula>
    </tableColumn>
    <tableColumn id="23" xr3:uid="{8FBB6F20-6AD2-42EE-80DF-F361348431F2}" name="Las Vegas - 18 November" dataDxfId="88">
      <calculatedColumnFormula array="1">IFERROR(_xlfn.XLOOKUP(1,(Table1[[#This Row],[Name]]='Google Forms'!$B:$B)*(Table1[[#Headers],[Las Vegas - 18 November]]='Google Forms'!$C:$C),'Google Forms'!$K:$K,0,0,-1),0)</calculatedColumnFormula>
    </tableColumn>
    <tableColumn id="24" xr3:uid="{81141711-C3D9-448E-A8EA-EBA16B1382AD}" name="Abu Dhabi - 26 November" dataDxfId="87">
      <calculatedColumnFormula array="1">IFERROR(_xlfn.XLOOKUP(1,(Table1[[#This Row],[Name]]='Google Forms'!$B:$B)*(Table1[[#Headers],[Abu Dhabi - 26 November]]='Google Forms'!$C:$C),'Google Forms'!$K:$K,0,0,-1),0)</calculatedColumnFormula>
    </tableColumn>
  </tableColumns>
  <tableStyleInfo name="TableStyleMedium1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DF40CFC-10AF-4B59-A4E3-9DB2F85A58C2}" name="Table19" displayName="Table19" ref="A1:W27" totalsRowShown="0" headerRowDxfId="25" dataDxfId="24">
  <autoFilter ref="A1:W27" xr:uid="{C2B0D7A7-0352-47F9-BB5D-8DC5E0097A96}"/>
  <tableColumns count="23">
    <tableColumn id="2" xr3:uid="{4E5D5AC9-B0E8-465F-99A1-F4535317C3BB}" name="Name" dataDxfId="23"/>
    <tableColumn id="3" xr3:uid="{61B3DB1A-1864-4F8A-9574-1F7205177401}" name="Saudi Arabia" dataDxfId="22"/>
    <tableColumn id="4" xr3:uid="{95323B7A-550B-44B7-8270-CBB1E6FED228}" name="Australia" dataDxfId="21"/>
    <tableColumn id="5" xr3:uid="{FF3686A0-5717-4EE0-A6D8-4E5D05B8D667}" name="Azerbaijan" dataDxfId="20"/>
    <tableColumn id="6" xr3:uid="{895CBF05-5DE8-4EF7-A138-CFA54C520161}" name="Miami" dataDxfId="19"/>
    <tableColumn id="7" xr3:uid="{845F0385-0F98-4218-972E-031FD706727D}" name="Italy" dataDxfId="1"/>
    <tableColumn id="8" xr3:uid="{E7C39D24-8F82-46A0-A519-C1C00B8CE4AB}" name="Monaco" dataDxfId="18"/>
    <tableColumn id="9" xr3:uid="{38F567B6-8D3F-4414-86AD-76B5972A178E}" name="Spain" dataDxfId="17"/>
    <tableColumn id="10" xr3:uid="{7C108197-7BD5-4354-AC98-A451E1A703EA}" name="Canada" dataDxfId="16"/>
    <tableColumn id="11" xr3:uid="{3F022875-CEDB-43A2-A271-C27DE706C8EE}" name="Austria" dataDxfId="15"/>
    <tableColumn id="12" xr3:uid="{939090E8-25F4-45E7-B679-217D5D885DB5}" name="Great Britain" dataDxfId="14"/>
    <tableColumn id="13" xr3:uid="{9F994D2F-F2FC-4E47-BEDC-71512DD9F560}" name="Hungary" dataDxfId="13"/>
    <tableColumn id="14" xr3:uid="{1305BD58-981C-4996-892B-6EC4DAC88868}" name="Belgium" dataDxfId="12"/>
    <tableColumn id="15" xr3:uid="{225CADCF-F92D-4B8B-9A72-E3AAA83A38C4}" name="Netherlands" dataDxfId="11"/>
    <tableColumn id="16" xr3:uid="{41212A4A-DBFB-4048-98C9-5CC9E478DBB3}" name="Italy2" dataDxfId="10"/>
    <tableColumn id="17" xr3:uid="{5C2D8844-B89C-450F-9603-3B4CF89C261A}" name="Singapore" dataDxfId="9"/>
    <tableColumn id="18" xr3:uid="{BE67DF25-78C7-41C9-9262-E68EA6C558C2}" name="Japan" dataDxfId="8"/>
    <tableColumn id="19" xr3:uid="{CCA4B09A-5FF2-4956-8435-54A363344132}" name="Qatar" dataDxfId="7"/>
    <tableColumn id="20" xr3:uid="{8BE4942F-9DF9-402F-9794-FF40DAD3A3F1}" name="United States" dataDxfId="6"/>
    <tableColumn id="21" xr3:uid="{57D94669-83A4-4B47-9254-BAB8E9424F01}" name="Mexico" dataDxfId="5"/>
    <tableColumn id="22" xr3:uid="{AC79A810-0480-4CB6-90C4-5D906AE8AEDF}" name="Brazil" dataDxfId="4"/>
    <tableColumn id="23" xr3:uid="{802AF830-79D4-4353-AC76-B17B352EE937}" name="Las Vegas" dataDxfId="3"/>
    <tableColumn id="24" xr3:uid="{28147073-E222-43BA-A6FF-749F6818D278}" name="Abu Dhabi" dataDxfId="2"/>
  </tableColumns>
  <tableStyleInfo name="TableStyleMedium1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8FD72-BEB2-4718-9366-03DC8BCBD9D4}">
  <dimension ref="B4:C11"/>
  <sheetViews>
    <sheetView workbookViewId="0">
      <selection activeCell="C7" sqref="C7"/>
    </sheetView>
  </sheetViews>
  <sheetFormatPr defaultRowHeight="14.4" x14ac:dyDescent="0.3"/>
  <sheetData>
    <row r="4" spans="2:3" x14ac:dyDescent="0.3">
      <c r="B4">
        <v>1</v>
      </c>
      <c r="C4" t="s">
        <v>0</v>
      </c>
    </row>
    <row r="5" spans="2:3" x14ac:dyDescent="0.3">
      <c r="B5">
        <v>2</v>
      </c>
      <c r="C5" t="s">
        <v>1</v>
      </c>
    </row>
    <row r="6" spans="2:3" x14ac:dyDescent="0.3">
      <c r="C6" t="s">
        <v>2</v>
      </c>
    </row>
    <row r="7" spans="2:3" x14ac:dyDescent="0.3">
      <c r="B7">
        <v>3</v>
      </c>
      <c r="C7" t="s">
        <v>3</v>
      </c>
    </row>
    <row r="8" spans="2:3" x14ac:dyDescent="0.3">
      <c r="B8">
        <v>4</v>
      </c>
      <c r="C8" t="s">
        <v>4</v>
      </c>
    </row>
    <row r="10" spans="2:3" x14ac:dyDescent="0.3">
      <c r="C10" t="s">
        <v>5</v>
      </c>
    </row>
    <row r="11" spans="2:3" x14ac:dyDescent="0.3">
      <c r="C11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9FBA-7953-4A08-9322-0F06C6D5E637}">
  <dimension ref="A1:V2"/>
  <sheetViews>
    <sheetView workbookViewId="0">
      <selection activeCell="C10" sqref="C10"/>
    </sheetView>
  </sheetViews>
  <sheetFormatPr defaultRowHeight="14.4" x14ac:dyDescent="0.3"/>
  <sheetData>
    <row r="1" spans="1:22" ht="69.599999999999994" thickBot="1" x14ac:dyDescent="0.35">
      <c r="A1" s="125" t="s">
        <v>29</v>
      </c>
      <c r="B1" s="125" t="s">
        <v>30</v>
      </c>
      <c r="C1" s="125" t="s">
        <v>31</v>
      </c>
      <c r="D1" s="125" t="s">
        <v>32</v>
      </c>
      <c r="E1" s="125" t="s">
        <v>33</v>
      </c>
      <c r="F1" s="125" t="s">
        <v>34</v>
      </c>
      <c r="G1" s="125" t="s">
        <v>35</v>
      </c>
      <c r="H1" s="125" t="s">
        <v>36</v>
      </c>
      <c r="I1" s="125" t="s">
        <v>37</v>
      </c>
      <c r="J1" s="125" t="s">
        <v>38</v>
      </c>
      <c r="K1" s="125" t="s">
        <v>494</v>
      </c>
      <c r="L1" s="125" t="s">
        <v>523</v>
      </c>
      <c r="M1" s="125" t="s">
        <v>548</v>
      </c>
      <c r="N1" s="125" t="s">
        <v>573</v>
      </c>
      <c r="O1" s="125" t="s">
        <v>599</v>
      </c>
      <c r="P1" s="125" t="s">
        <v>625</v>
      </c>
      <c r="Q1" s="125" t="s">
        <v>650</v>
      </c>
      <c r="R1" s="125" t="s">
        <v>676</v>
      </c>
      <c r="S1" s="125" t="s">
        <v>700</v>
      </c>
      <c r="T1" s="125" t="s">
        <v>724</v>
      </c>
      <c r="U1" s="125" t="s">
        <v>750</v>
      </c>
      <c r="V1" s="126" t="s">
        <v>782</v>
      </c>
    </row>
    <row r="2" spans="1:22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38A7-7AFF-4960-B94F-4988066CC26E}">
  <dimension ref="A1:K738"/>
  <sheetViews>
    <sheetView showGridLines="0" zoomScale="70" zoomScaleNormal="70" workbookViewId="0">
      <pane ySplit="3" topLeftCell="A483" activePane="bottomLeft" state="frozen"/>
      <selection activeCell="E1" sqref="E1"/>
      <selection pane="bottomLeft" activeCell="B507" sqref="B507"/>
    </sheetView>
  </sheetViews>
  <sheetFormatPr defaultRowHeight="14.4" x14ac:dyDescent="0.3"/>
  <cols>
    <col min="1" max="1" width="20" bestFit="1" customWidth="1"/>
    <col min="2" max="2" width="16.33203125" bestFit="1" customWidth="1"/>
    <col min="3" max="3" width="24.21875" bestFit="1" customWidth="1"/>
    <col min="4" max="5" width="32" bestFit="1" customWidth="1"/>
    <col min="6" max="6" width="15" bestFit="1" customWidth="1"/>
    <col min="7" max="7" width="23.5546875" bestFit="1" customWidth="1"/>
    <col min="8" max="8" width="80.88671875" bestFit="1" customWidth="1"/>
    <col min="9" max="9" width="17.77734375" bestFit="1" customWidth="1"/>
    <col min="10" max="10" width="2.5546875" customWidth="1"/>
    <col min="11" max="11" width="15" style="5" bestFit="1" customWidth="1"/>
    <col min="12" max="12" width="20.77734375" bestFit="1" customWidth="1"/>
    <col min="13" max="16" width="30" bestFit="1" customWidth="1"/>
  </cols>
  <sheetData>
    <row r="1" spans="1:11" x14ac:dyDescent="0.3">
      <c r="A1" s="15" t="s">
        <v>81</v>
      </c>
    </row>
    <row r="2" spans="1:11" x14ac:dyDescent="0.3">
      <c r="A2" s="15" t="s">
        <v>82</v>
      </c>
    </row>
    <row r="3" spans="1:11" x14ac:dyDescent="0.3">
      <c r="A3" t="s">
        <v>83</v>
      </c>
      <c r="B3" t="s">
        <v>84</v>
      </c>
      <c r="C3" t="s">
        <v>85</v>
      </c>
      <c r="D3" t="s">
        <v>86</v>
      </c>
      <c r="E3" t="s">
        <v>87</v>
      </c>
      <c r="F3" t="s">
        <v>777</v>
      </c>
      <c r="G3" t="s">
        <v>778</v>
      </c>
      <c r="H3" t="s">
        <v>779</v>
      </c>
      <c r="I3" t="s">
        <v>780</v>
      </c>
      <c r="K3" s="13" t="s">
        <v>88</v>
      </c>
    </row>
    <row r="4" spans="1:11" x14ac:dyDescent="0.3">
      <c r="A4" t="s">
        <v>89</v>
      </c>
      <c r="B4" t="s">
        <v>76</v>
      </c>
      <c r="C4" t="s">
        <v>29</v>
      </c>
      <c r="D4" t="s">
        <v>90</v>
      </c>
      <c r="E4" t="s">
        <v>91</v>
      </c>
      <c r="K4" s="83"/>
    </row>
    <row r="5" spans="1:11" x14ac:dyDescent="0.3">
      <c r="A5" t="s">
        <v>92</v>
      </c>
      <c r="B5" t="s">
        <v>93</v>
      </c>
      <c r="C5" t="s">
        <v>29</v>
      </c>
      <c r="D5" t="s">
        <v>90</v>
      </c>
      <c r="E5" t="s">
        <v>91</v>
      </c>
      <c r="K5" s="83"/>
    </row>
    <row r="6" spans="1:11" x14ac:dyDescent="0.3">
      <c r="A6" t="s">
        <v>94</v>
      </c>
      <c r="B6" t="s">
        <v>59</v>
      </c>
      <c r="C6" t="s">
        <v>29</v>
      </c>
      <c r="D6" t="s">
        <v>95</v>
      </c>
      <c r="E6" t="s">
        <v>96</v>
      </c>
      <c r="K6" s="83"/>
    </row>
    <row r="7" spans="1:11" x14ac:dyDescent="0.3">
      <c r="A7" t="s">
        <v>97</v>
      </c>
      <c r="B7" t="s">
        <v>53</v>
      </c>
      <c r="C7" t="s">
        <v>29</v>
      </c>
      <c r="D7" t="s">
        <v>98</v>
      </c>
      <c r="E7" t="s">
        <v>91</v>
      </c>
      <c r="K7" s="83"/>
    </row>
    <row r="8" spans="1:11" x14ac:dyDescent="0.3">
      <c r="A8" t="s">
        <v>99</v>
      </c>
      <c r="B8" t="s">
        <v>74</v>
      </c>
      <c r="C8" t="s">
        <v>29</v>
      </c>
      <c r="D8" t="s">
        <v>100</v>
      </c>
      <c r="E8" t="s">
        <v>91</v>
      </c>
      <c r="K8" s="83"/>
    </row>
    <row r="9" spans="1:11" x14ac:dyDescent="0.3">
      <c r="A9" t="s">
        <v>101</v>
      </c>
      <c r="B9" t="s">
        <v>64</v>
      </c>
      <c r="C9" t="s">
        <v>29</v>
      </c>
      <c r="D9" t="s">
        <v>95</v>
      </c>
      <c r="E9" t="s">
        <v>102</v>
      </c>
      <c r="K9" s="83"/>
    </row>
    <row r="10" spans="1:11" x14ac:dyDescent="0.3">
      <c r="A10" t="s">
        <v>103</v>
      </c>
      <c r="B10" t="s">
        <v>70</v>
      </c>
      <c r="C10" t="s">
        <v>29</v>
      </c>
      <c r="D10" t="s">
        <v>104</v>
      </c>
      <c r="E10" t="s">
        <v>105</v>
      </c>
      <c r="K10" s="83"/>
    </row>
    <row r="11" spans="1:11" x14ac:dyDescent="0.3">
      <c r="A11" t="s">
        <v>106</v>
      </c>
      <c r="B11" t="s">
        <v>65</v>
      </c>
      <c r="C11" t="s">
        <v>29</v>
      </c>
      <c r="D11" t="s">
        <v>100</v>
      </c>
      <c r="E11" t="s">
        <v>107</v>
      </c>
      <c r="K11" s="83"/>
    </row>
    <row r="12" spans="1:11" x14ac:dyDescent="0.3">
      <c r="A12" t="s">
        <v>108</v>
      </c>
      <c r="B12" t="s">
        <v>109</v>
      </c>
      <c r="C12" t="s">
        <v>29</v>
      </c>
      <c r="D12" t="s">
        <v>100</v>
      </c>
      <c r="E12" t="s">
        <v>107</v>
      </c>
      <c r="K12" s="83"/>
    </row>
    <row r="13" spans="1:11" x14ac:dyDescent="0.3">
      <c r="A13" t="s">
        <v>110</v>
      </c>
      <c r="B13" t="s">
        <v>111</v>
      </c>
      <c r="C13" t="s">
        <v>29</v>
      </c>
      <c r="D13" t="s">
        <v>100</v>
      </c>
      <c r="E13" t="s">
        <v>102</v>
      </c>
      <c r="K13" s="83"/>
    </row>
    <row r="14" spans="1:11" x14ac:dyDescent="0.3">
      <c r="A14" t="s">
        <v>112</v>
      </c>
      <c r="B14" t="s">
        <v>71</v>
      </c>
      <c r="C14" t="s">
        <v>29</v>
      </c>
      <c r="D14" t="s">
        <v>91</v>
      </c>
      <c r="E14" t="s">
        <v>113</v>
      </c>
      <c r="K14" s="83"/>
    </row>
    <row r="15" spans="1:11" x14ac:dyDescent="0.3">
      <c r="A15" t="s">
        <v>114</v>
      </c>
      <c r="B15" t="s">
        <v>56</v>
      </c>
      <c r="C15" t="s">
        <v>29</v>
      </c>
      <c r="D15" t="s">
        <v>98</v>
      </c>
      <c r="E15" t="s">
        <v>91</v>
      </c>
      <c r="K15" s="83"/>
    </row>
    <row r="16" spans="1:11" x14ac:dyDescent="0.3">
      <c r="A16" t="s">
        <v>115</v>
      </c>
      <c r="B16" t="s">
        <v>62</v>
      </c>
      <c r="C16" t="s">
        <v>29</v>
      </c>
      <c r="D16" t="s">
        <v>100</v>
      </c>
      <c r="E16" t="s">
        <v>104</v>
      </c>
      <c r="K16" s="83"/>
    </row>
    <row r="17" spans="1:11" x14ac:dyDescent="0.3">
      <c r="A17" t="s">
        <v>116</v>
      </c>
      <c r="B17" t="s">
        <v>117</v>
      </c>
      <c r="C17" t="s">
        <v>29</v>
      </c>
      <c r="D17" t="s">
        <v>91</v>
      </c>
      <c r="E17" t="s">
        <v>118</v>
      </c>
      <c r="K17" s="83"/>
    </row>
    <row r="18" spans="1:11" x14ac:dyDescent="0.3">
      <c r="A18" t="s">
        <v>119</v>
      </c>
      <c r="B18" t="s">
        <v>120</v>
      </c>
      <c r="C18" t="s">
        <v>29</v>
      </c>
      <c r="D18" t="s">
        <v>90</v>
      </c>
      <c r="E18" t="s">
        <v>98</v>
      </c>
      <c r="K18" s="83"/>
    </row>
    <row r="19" spans="1:11" x14ac:dyDescent="0.3">
      <c r="A19" t="s">
        <v>121</v>
      </c>
      <c r="B19" t="s">
        <v>63</v>
      </c>
      <c r="C19" t="s">
        <v>29</v>
      </c>
      <c r="D19" t="s">
        <v>104</v>
      </c>
      <c r="E19" t="s">
        <v>107</v>
      </c>
      <c r="K19" s="83"/>
    </row>
    <row r="20" spans="1:11" x14ac:dyDescent="0.3">
      <c r="A20" t="s">
        <v>122</v>
      </c>
      <c r="B20" t="s">
        <v>51</v>
      </c>
      <c r="C20" t="s">
        <v>29</v>
      </c>
      <c r="D20" t="s">
        <v>98</v>
      </c>
      <c r="E20" t="s">
        <v>107</v>
      </c>
      <c r="K20" s="83"/>
    </row>
    <row r="21" spans="1:11" x14ac:dyDescent="0.3">
      <c r="A21" t="s">
        <v>123</v>
      </c>
      <c r="B21" t="s">
        <v>61</v>
      </c>
      <c r="C21" t="s">
        <v>29</v>
      </c>
      <c r="D21" t="s">
        <v>107</v>
      </c>
      <c r="E21" t="s">
        <v>91</v>
      </c>
      <c r="K21" s="83"/>
    </row>
    <row r="22" spans="1:11" x14ac:dyDescent="0.3">
      <c r="A22" t="s">
        <v>124</v>
      </c>
      <c r="B22" t="s">
        <v>77</v>
      </c>
      <c r="C22" t="s">
        <v>29</v>
      </c>
      <c r="D22" t="s">
        <v>104</v>
      </c>
      <c r="E22" t="s">
        <v>95</v>
      </c>
      <c r="K22" s="83"/>
    </row>
    <row r="23" spans="1:11" x14ac:dyDescent="0.3">
      <c r="A23" t="s">
        <v>125</v>
      </c>
      <c r="B23" t="s">
        <v>57</v>
      </c>
      <c r="C23" t="s">
        <v>29</v>
      </c>
      <c r="D23" t="s">
        <v>91</v>
      </c>
      <c r="E23" t="s">
        <v>107</v>
      </c>
      <c r="K23" s="83"/>
    </row>
    <row r="24" spans="1:11" x14ac:dyDescent="0.3">
      <c r="A24" t="s">
        <v>126</v>
      </c>
      <c r="B24" t="s">
        <v>55</v>
      </c>
      <c r="C24" t="s">
        <v>29</v>
      </c>
      <c r="D24" t="s">
        <v>90</v>
      </c>
      <c r="E24" t="s">
        <v>95</v>
      </c>
      <c r="K24" s="83"/>
    </row>
    <row r="25" spans="1:11" x14ac:dyDescent="0.3">
      <c r="A25" t="s">
        <v>127</v>
      </c>
      <c r="B25" t="s">
        <v>68</v>
      </c>
      <c r="C25" t="s">
        <v>29</v>
      </c>
      <c r="D25" t="s">
        <v>100</v>
      </c>
      <c r="E25" t="s">
        <v>107</v>
      </c>
      <c r="K25" s="83"/>
    </row>
    <row r="26" spans="1:11" x14ac:dyDescent="0.3">
      <c r="A26" t="s">
        <v>128</v>
      </c>
      <c r="B26" t="s">
        <v>52</v>
      </c>
      <c r="C26" t="s">
        <v>29</v>
      </c>
      <c r="D26" t="s">
        <v>107</v>
      </c>
      <c r="E26" t="s">
        <v>129</v>
      </c>
      <c r="K26" s="83"/>
    </row>
    <row r="27" spans="1:11" x14ac:dyDescent="0.3">
      <c r="A27" s="123" t="s">
        <v>130</v>
      </c>
      <c r="B27" s="123" t="s">
        <v>78</v>
      </c>
      <c r="C27" s="123" t="s">
        <v>29</v>
      </c>
      <c r="D27" s="123" t="s">
        <v>91</v>
      </c>
      <c r="E27" s="123" t="s">
        <v>118</v>
      </c>
      <c r="K27" s="83"/>
    </row>
    <row r="28" spans="1:11" x14ac:dyDescent="0.3">
      <c r="A28" t="s">
        <v>131</v>
      </c>
      <c r="B28" t="s">
        <v>51</v>
      </c>
      <c r="C28" t="s">
        <v>30</v>
      </c>
      <c r="D28" t="s">
        <v>118</v>
      </c>
      <c r="E28" t="s">
        <v>98</v>
      </c>
      <c r="K28" s="83"/>
    </row>
    <row r="29" spans="1:11" x14ac:dyDescent="0.3">
      <c r="A29" t="s">
        <v>132</v>
      </c>
      <c r="B29" t="s">
        <v>53</v>
      </c>
      <c r="C29" t="s">
        <v>30</v>
      </c>
      <c r="D29" t="s">
        <v>118</v>
      </c>
      <c r="E29" t="s">
        <v>107</v>
      </c>
      <c r="K29" s="83"/>
    </row>
    <row r="30" spans="1:11" x14ac:dyDescent="0.3">
      <c r="A30" t="s">
        <v>133</v>
      </c>
      <c r="B30" t="s">
        <v>58</v>
      </c>
      <c r="C30" t="s">
        <v>30</v>
      </c>
      <c r="D30" t="s">
        <v>90</v>
      </c>
      <c r="E30" t="s">
        <v>102</v>
      </c>
      <c r="K30" s="83"/>
    </row>
    <row r="31" spans="1:11" x14ac:dyDescent="0.3">
      <c r="A31" t="s">
        <v>134</v>
      </c>
      <c r="B31" t="s">
        <v>135</v>
      </c>
      <c r="C31" t="s">
        <v>30</v>
      </c>
      <c r="D31" t="s">
        <v>107</v>
      </c>
      <c r="E31" t="s">
        <v>118</v>
      </c>
      <c r="K31" s="83"/>
    </row>
    <row r="32" spans="1:11" x14ac:dyDescent="0.3">
      <c r="A32" t="s">
        <v>136</v>
      </c>
      <c r="B32" t="s">
        <v>64</v>
      </c>
      <c r="C32" t="s">
        <v>30</v>
      </c>
      <c r="D32" t="s">
        <v>90</v>
      </c>
      <c r="E32" t="s">
        <v>104</v>
      </c>
      <c r="K32" s="83"/>
    </row>
    <row r="33" spans="1:11" x14ac:dyDescent="0.3">
      <c r="A33" t="s">
        <v>137</v>
      </c>
      <c r="B33" t="s">
        <v>138</v>
      </c>
      <c r="C33" t="s">
        <v>30</v>
      </c>
      <c r="D33" t="s">
        <v>107</v>
      </c>
      <c r="E33" t="s">
        <v>118</v>
      </c>
      <c r="K33" s="83"/>
    </row>
    <row r="34" spans="1:11" x14ac:dyDescent="0.3">
      <c r="A34" t="s">
        <v>139</v>
      </c>
      <c r="B34" t="s">
        <v>70</v>
      </c>
      <c r="C34" t="s">
        <v>30</v>
      </c>
      <c r="D34" t="s">
        <v>140</v>
      </c>
      <c r="E34" t="s">
        <v>107</v>
      </c>
      <c r="K34" s="83"/>
    </row>
    <row r="35" spans="1:11" x14ac:dyDescent="0.3">
      <c r="A35" t="s">
        <v>141</v>
      </c>
      <c r="B35" t="s">
        <v>142</v>
      </c>
      <c r="C35" t="s">
        <v>30</v>
      </c>
      <c r="D35" t="s">
        <v>102</v>
      </c>
      <c r="E35" t="s">
        <v>140</v>
      </c>
      <c r="K35" s="83"/>
    </row>
    <row r="36" spans="1:11" x14ac:dyDescent="0.3">
      <c r="A36" t="s">
        <v>143</v>
      </c>
      <c r="B36" t="s">
        <v>55</v>
      </c>
      <c r="C36" t="s">
        <v>30</v>
      </c>
      <c r="D36" t="s">
        <v>104</v>
      </c>
      <c r="E36" t="s">
        <v>90</v>
      </c>
      <c r="K36" s="83"/>
    </row>
    <row r="37" spans="1:11" x14ac:dyDescent="0.3">
      <c r="A37" t="s">
        <v>144</v>
      </c>
      <c r="B37" t="s">
        <v>60</v>
      </c>
      <c r="C37" t="s">
        <v>30</v>
      </c>
      <c r="D37" t="s">
        <v>104</v>
      </c>
      <c r="E37" t="s">
        <v>90</v>
      </c>
      <c r="K37" s="83"/>
    </row>
    <row r="38" spans="1:11" x14ac:dyDescent="0.3">
      <c r="A38" t="s">
        <v>145</v>
      </c>
      <c r="B38" t="s">
        <v>65</v>
      </c>
      <c r="C38" t="s">
        <v>30</v>
      </c>
      <c r="D38" t="s">
        <v>107</v>
      </c>
      <c r="E38" t="s">
        <v>91</v>
      </c>
      <c r="K38" s="83"/>
    </row>
    <row r="39" spans="1:11" x14ac:dyDescent="0.3">
      <c r="A39" t="s">
        <v>146</v>
      </c>
      <c r="B39" t="s">
        <v>57</v>
      </c>
      <c r="C39" t="s">
        <v>30</v>
      </c>
      <c r="D39" t="s">
        <v>140</v>
      </c>
      <c r="E39" t="s">
        <v>107</v>
      </c>
      <c r="K39" s="83"/>
    </row>
    <row r="40" spans="1:11" x14ac:dyDescent="0.3">
      <c r="A40" t="s">
        <v>147</v>
      </c>
      <c r="B40" t="s">
        <v>52</v>
      </c>
      <c r="C40" t="s">
        <v>30</v>
      </c>
      <c r="D40" t="s">
        <v>118</v>
      </c>
      <c r="E40" t="s">
        <v>107</v>
      </c>
      <c r="K40" s="83"/>
    </row>
    <row r="41" spans="1:11" x14ac:dyDescent="0.3">
      <c r="A41" t="s">
        <v>148</v>
      </c>
      <c r="B41" t="s">
        <v>74</v>
      </c>
      <c r="C41" t="s">
        <v>30</v>
      </c>
      <c r="D41" t="s">
        <v>90</v>
      </c>
      <c r="E41" t="s">
        <v>105</v>
      </c>
      <c r="K41" s="83"/>
    </row>
    <row r="42" spans="1:11" x14ac:dyDescent="0.3">
      <c r="A42" t="s">
        <v>149</v>
      </c>
      <c r="B42" t="s">
        <v>150</v>
      </c>
      <c r="C42" t="s">
        <v>30</v>
      </c>
      <c r="D42" t="s">
        <v>118</v>
      </c>
      <c r="E42" t="s">
        <v>151</v>
      </c>
      <c r="K42" s="83"/>
    </row>
    <row r="43" spans="1:11" x14ac:dyDescent="0.3">
      <c r="A43" t="s">
        <v>152</v>
      </c>
      <c r="B43" t="s">
        <v>63</v>
      </c>
      <c r="C43" t="s">
        <v>30</v>
      </c>
      <c r="D43" t="s">
        <v>104</v>
      </c>
      <c r="E43" t="s">
        <v>107</v>
      </c>
      <c r="K43" s="83"/>
    </row>
    <row r="44" spans="1:11" x14ac:dyDescent="0.3">
      <c r="A44" t="s">
        <v>153</v>
      </c>
      <c r="B44" t="s">
        <v>154</v>
      </c>
      <c r="C44" t="s">
        <v>30</v>
      </c>
      <c r="D44" t="s">
        <v>140</v>
      </c>
      <c r="E44" t="s">
        <v>98</v>
      </c>
      <c r="K44" s="83"/>
    </row>
    <row r="45" spans="1:11" x14ac:dyDescent="0.3">
      <c r="A45" t="s">
        <v>155</v>
      </c>
      <c r="B45" t="s">
        <v>156</v>
      </c>
      <c r="C45" t="s">
        <v>30</v>
      </c>
      <c r="D45" t="s">
        <v>104</v>
      </c>
      <c r="E45" t="s">
        <v>90</v>
      </c>
      <c r="K45" s="83"/>
    </row>
    <row r="46" spans="1:11" x14ac:dyDescent="0.3">
      <c r="A46" t="s">
        <v>157</v>
      </c>
      <c r="B46" t="s">
        <v>77</v>
      </c>
      <c r="C46" t="s">
        <v>30</v>
      </c>
      <c r="D46" t="s">
        <v>90</v>
      </c>
      <c r="E46" t="s">
        <v>107</v>
      </c>
      <c r="K46" s="83"/>
    </row>
    <row r="47" spans="1:11" x14ac:dyDescent="0.3">
      <c r="A47" t="s">
        <v>158</v>
      </c>
      <c r="B47" t="s">
        <v>66</v>
      </c>
      <c r="C47" t="s">
        <v>30</v>
      </c>
      <c r="D47" t="s">
        <v>98</v>
      </c>
      <c r="E47" t="s">
        <v>91</v>
      </c>
      <c r="K47" s="83"/>
    </row>
    <row r="48" spans="1:11" x14ac:dyDescent="0.3">
      <c r="A48" t="s">
        <v>159</v>
      </c>
      <c r="B48" t="s">
        <v>160</v>
      </c>
      <c r="C48" t="s">
        <v>30</v>
      </c>
      <c r="D48" t="s">
        <v>107</v>
      </c>
      <c r="E48" t="s">
        <v>104</v>
      </c>
      <c r="K48" s="83"/>
    </row>
    <row r="49" spans="1:11" x14ac:dyDescent="0.3">
      <c r="A49" t="s">
        <v>161</v>
      </c>
      <c r="B49" t="s">
        <v>120</v>
      </c>
      <c r="C49" t="s">
        <v>30</v>
      </c>
      <c r="D49" t="s">
        <v>90</v>
      </c>
      <c r="E49" t="s">
        <v>118</v>
      </c>
      <c r="K49" s="83"/>
    </row>
    <row r="50" spans="1:11" x14ac:dyDescent="0.3">
      <c r="A50" t="s">
        <v>162</v>
      </c>
      <c r="B50" t="s">
        <v>163</v>
      </c>
      <c r="C50" t="s">
        <v>30</v>
      </c>
      <c r="D50" t="s">
        <v>107</v>
      </c>
      <c r="E50" t="s">
        <v>90</v>
      </c>
      <c r="K50" s="83"/>
    </row>
    <row r="51" spans="1:11" x14ac:dyDescent="0.3">
      <c r="A51" t="s">
        <v>164</v>
      </c>
      <c r="B51" t="s">
        <v>68</v>
      </c>
      <c r="C51" t="s">
        <v>30</v>
      </c>
      <c r="D51" t="s">
        <v>90</v>
      </c>
      <c r="E51" t="s">
        <v>118</v>
      </c>
      <c r="K51" s="83"/>
    </row>
    <row r="52" spans="1:11" x14ac:dyDescent="0.3">
      <c r="A52" s="123" t="s">
        <v>165</v>
      </c>
      <c r="B52" s="123" t="s">
        <v>69</v>
      </c>
      <c r="C52" s="123" t="s">
        <v>30</v>
      </c>
      <c r="D52" s="123" t="s">
        <v>166</v>
      </c>
      <c r="E52" s="123" t="s">
        <v>113</v>
      </c>
      <c r="K52" s="83"/>
    </row>
    <row r="53" spans="1:11" x14ac:dyDescent="0.3">
      <c r="A53" t="s">
        <v>167</v>
      </c>
      <c r="B53" t="s">
        <v>61</v>
      </c>
      <c r="C53" t="s">
        <v>31</v>
      </c>
      <c r="D53" t="s">
        <v>168</v>
      </c>
      <c r="E53" t="s">
        <v>169</v>
      </c>
      <c r="K53" s="83"/>
    </row>
    <row r="54" spans="1:11" x14ac:dyDescent="0.3">
      <c r="A54" t="s">
        <v>170</v>
      </c>
      <c r="B54" t="s">
        <v>75</v>
      </c>
      <c r="C54" t="s">
        <v>31</v>
      </c>
      <c r="D54" t="s">
        <v>171</v>
      </c>
      <c r="E54" t="s">
        <v>172</v>
      </c>
      <c r="K54" s="83"/>
    </row>
    <row r="55" spans="1:11" x14ac:dyDescent="0.3">
      <c r="A55" t="s">
        <v>173</v>
      </c>
      <c r="B55" t="s">
        <v>72</v>
      </c>
      <c r="C55" t="s">
        <v>31</v>
      </c>
      <c r="D55" t="s">
        <v>174</v>
      </c>
      <c r="E55" t="s">
        <v>171</v>
      </c>
      <c r="K55" s="83"/>
    </row>
    <row r="56" spans="1:11" x14ac:dyDescent="0.3">
      <c r="A56" t="s">
        <v>175</v>
      </c>
      <c r="B56" t="s">
        <v>54</v>
      </c>
      <c r="C56" t="s">
        <v>31</v>
      </c>
      <c r="D56" t="s">
        <v>176</v>
      </c>
      <c r="E56" t="s">
        <v>168</v>
      </c>
      <c r="K56" s="83"/>
    </row>
    <row r="57" spans="1:11" x14ac:dyDescent="0.3">
      <c r="A57" t="s">
        <v>177</v>
      </c>
      <c r="B57" t="s">
        <v>51</v>
      </c>
      <c r="C57" t="s">
        <v>31</v>
      </c>
      <c r="D57" t="s">
        <v>171</v>
      </c>
      <c r="E57" t="s">
        <v>168</v>
      </c>
      <c r="K57" s="83"/>
    </row>
    <row r="58" spans="1:11" x14ac:dyDescent="0.3">
      <c r="A58" t="s">
        <v>178</v>
      </c>
      <c r="B58" t="s">
        <v>53</v>
      </c>
      <c r="C58" t="s">
        <v>31</v>
      </c>
      <c r="D58" t="s">
        <v>168</v>
      </c>
      <c r="E58" t="s">
        <v>179</v>
      </c>
      <c r="K58" s="83"/>
    </row>
    <row r="59" spans="1:11" x14ac:dyDescent="0.3">
      <c r="A59" t="s">
        <v>180</v>
      </c>
      <c r="B59" t="s">
        <v>57</v>
      </c>
      <c r="C59" t="s">
        <v>31</v>
      </c>
      <c r="D59" t="s">
        <v>179</v>
      </c>
      <c r="E59" t="s">
        <v>171</v>
      </c>
      <c r="K59" s="83"/>
    </row>
    <row r="60" spans="1:11" x14ac:dyDescent="0.3">
      <c r="A60" t="s">
        <v>181</v>
      </c>
      <c r="B60" t="s">
        <v>65</v>
      </c>
      <c r="C60" t="s">
        <v>31</v>
      </c>
      <c r="D60" t="s">
        <v>171</v>
      </c>
      <c r="E60" t="s">
        <v>172</v>
      </c>
      <c r="K60" s="83"/>
    </row>
    <row r="61" spans="1:11" x14ac:dyDescent="0.3">
      <c r="A61" t="s">
        <v>182</v>
      </c>
      <c r="B61" t="s">
        <v>63</v>
      </c>
      <c r="C61" t="s">
        <v>31</v>
      </c>
      <c r="D61" t="s">
        <v>171</v>
      </c>
      <c r="E61" t="s">
        <v>183</v>
      </c>
      <c r="K61" s="83"/>
    </row>
    <row r="62" spans="1:11" x14ac:dyDescent="0.3">
      <c r="A62" t="s">
        <v>184</v>
      </c>
      <c r="B62" t="s">
        <v>58</v>
      </c>
      <c r="C62" t="s">
        <v>31</v>
      </c>
      <c r="D62" t="s">
        <v>179</v>
      </c>
      <c r="E62" t="s">
        <v>172</v>
      </c>
      <c r="K62" s="83"/>
    </row>
    <row r="63" spans="1:11" x14ac:dyDescent="0.3">
      <c r="A63" t="s">
        <v>185</v>
      </c>
      <c r="B63" t="s">
        <v>62</v>
      </c>
      <c r="C63" t="s">
        <v>31</v>
      </c>
      <c r="D63" t="s">
        <v>179</v>
      </c>
      <c r="E63" t="s">
        <v>171</v>
      </c>
      <c r="K63" s="83"/>
    </row>
    <row r="64" spans="1:11" x14ac:dyDescent="0.3">
      <c r="A64" t="s">
        <v>186</v>
      </c>
      <c r="B64" t="s">
        <v>69</v>
      </c>
      <c r="C64" t="s">
        <v>31</v>
      </c>
      <c r="D64" t="s">
        <v>187</v>
      </c>
      <c r="E64" t="s">
        <v>169</v>
      </c>
      <c r="K64" s="83"/>
    </row>
    <row r="65" spans="1:11" x14ac:dyDescent="0.3">
      <c r="A65" t="s">
        <v>188</v>
      </c>
      <c r="B65" t="s">
        <v>66</v>
      </c>
      <c r="C65" t="s">
        <v>31</v>
      </c>
      <c r="D65" t="s">
        <v>179</v>
      </c>
      <c r="E65" t="s">
        <v>189</v>
      </c>
      <c r="K65" s="83"/>
    </row>
    <row r="66" spans="1:11" x14ac:dyDescent="0.3">
      <c r="A66" t="s">
        <v>190</v>
      </c>
      <c r="B66" t="s">
        <v>55</v>
      </c>
      <c r="C66" t="s">
        <v>31</v>
      </c>
      <c r="D66" t="s">
        <v>172</v>
      </c>
      <c r="E66" t="s">
        <v>171</v>
      </c>
      <c r="K66" s="83"/>
    </row>
    <row r="67" spans="1:11" x14ac:dyDescent="0.3">
      <c r="A67" t="s">
        <v>191</v>
      </c>
      <c r="B67" t="s">
        <v>52</v>
      </c>
      <c r="C67" t="s">
        <v>31</v>
      </c>
      <c r="D67" t="s">
        <v>171</v>
      </c>
      <c r="E67" t="s">
        <v>179</v>
      </c>
      <c r="K67" s="83"/>
    </row>
    <row r="68" spans="1:11" x14ac:dyDescent="0.3">
      <c r="A68" t="s">
        <v>192</v>
      </c>
      <c r="B68" t="s">
        <v>56</v>
      </c>
      <c r="C68" t="s">
        <v>31</v>
      </c>
      <c r="D68" t="s">
        <v>168</v>
      </c>
      <c r="E68" t="s">
        <v>172</v>
      </c>
      <c r="K68" s="83"/>
    </row>
    <row r="69" spans="1:11" x14ac:dyDescent="0.3">
      <c r="A69" t="s">
        <v>193</v>
      </c>
      <c r="B69" t="s">
        <v>71</v>
      </c>
      <c r="C69" t="s">
        <v>31</v>
      </c>
      <c r="D69" t="s">
        <v>179</v>
      </c>
      <c r="E69" t="s">
        <v>183</v>
      </c>
      <c r="K69" s="83"/>
    </row>
    <row r="70" spans="1:11" x14ac:dyDescent="0.3">
      <c r="A70" t="s">
        <v>194</v>
      </c>
      <c r="B70" t="s">
        <v>68</v>
      </c>
      <c r="C70" t="s">
        <v>31</v>
      </c>
      <c r="D70" t="s">
        <v>168</v>
      </c>
      <c r="E70" t="s">
        <v>179</v>
      </c>
      <c r="K70" s="83"/>
    </row>
    <row r="71" spans="1:11" x14ac:dyDescent="0.3">
      <c r="A71" t="s">
        <v>195</v>
      </c>
      <c r="B71" t="s">
        <v>70</v>
      </c>
      <c r="C71" t="s">
        <v>31</v>
      </c>
      <c r="D71" t="s">
        <v>171</v>
      </c>
      <c r="E71" t="s">
        <v>168</v>
      </c>
      <c r="K71" s="83"/>
    </row>
    <row r="72" spans="1:11" x14ac:dyDescent="0.3">
      <c r="A72" t="s">
        <v>196</v>
      </c>
      <c r="B72" t="s">
        <v>74</v>
      </c>
      <c r="C72" t="s">
        <v>31</v>
      </c>
      <c r="D72" t="s">
        <v>179</v>
      </c>
      <c r="E72" t="s">
        <v>197</v>
      </c>
      <c r="K72" s="83"/>
    </row>
    <row r="73" spans="1:11" x14ac:dyDescent="0.3">
      <c r="A73" t="s">
        <v>198</v>
      </c>
      <c r="B73" t="s">
        <v>64</v>
      </c>
      <c r="C73" t="s">
        <v>31</v>
      </c>
      <c r="D73" t="s">
        <v>179</v>
      </c>
      <c r="E73" t="s">
        <v>199</v>
      </c>
      <c r="K73" s="83"/>
    </row>
    <row r="74" spans="1:11" x14ac:dyDescent="0.3">
      <c r="A74" t="s">
        <v>200</v>
      </c>
      <c r="B74" t="s">
        <v>60</v>
      </c>
      <c r="C74" t="s">
        <v>31</v>
      </c>
      <c r="D74" t="s">
        <v>179</v>
      </c>
      <c r="E74" t="s">
        <v>171</v>
      </c>
      <c r="K74" s="83"/>
    </row>
    <row r="75" spans="1:11" x14ac:dyDescent="0.3">
      <c r="A75" t="s">
        <v>201</v>
      </c>
      <c r="B75" t="s">
        <v>76</v>
      </c>
      <c r="C75" t="s">
        <v>31</v>
      </c>
      <c r="D75" t="s">
        <v>176</v>
      </c>
      <c r="E75" t="s">
        <v>202</v>
      </c>
      <c r="K75" s="83"/>
    </row>
    <row r="76" spans="1:11" x14ac:dyDescent="0.3">
      <c r="A76" t="s">
        <v>203</v>
      </c>
      <c r="B76" t="s">
        <v>67</v>
      </c>
      <c r="C76" t="s">
        <v>31</v>
      </c>
      <c r="D76" t="s">
        <v>179</v>
      </c>
      <c r="E76" t="s">
        <v>172</v>
      </c>
      <c r="K76" s="83"/>
    </row>
    <row r="77" spans="1:11" x14ac:dyDescent="0.3">
      <c r="A77" s="123" t="s">
        <v>204</v>
      </c>
      <c r="B77" s="123" t="s">
        <v>59</v>
      </c>
      <c r="C77" s="123" t="s">
        <v>31</v>
      </c>
      <c r="D77" s="123" t="s">
        <v>205</v>
      </c>
      <c r="E77" s="123" t="s">
        <v>171</v>
      </c>
      <c r="K77" s="83"/>
    </row>
    <row r="78" spans="1:11" x14ac:dyDescent="0.3">
      <c r="A78" t="s">
        <v>206</v>
      </c>
      <c r="B78" t="s">
        <v>71</v>
      </c>
      <c r="C78" t="s">
        <v>32</v>
      </c>
      <c r="D78" t="s">
        <v>207</v>
      </c>
      <c r="E78" t="s">
        <v>174</v>
      </c>
      <c r="K78" s="114">
        <v>4</v>
      </c>
    </row>
    <row r="79" spans="1:11" x14ac:dyDescent="0.3">
      <c r="A79" t="s">
        <v>208</v>
      </c>
      <c r="B79" t="s">
        <v>56</v>
      </c>
      <c r="C79" t="s">
        <v>32</v>
      </c>
      <c r="D79" t="s">
        <v>168</v>
      </c>
      <c r="E79" t="s">
        <v>174</v>
      </c>
      <c r="K79" s="114">
        <v>2</v>
      </c>
    </row>
    <row r="80" spans="1:11" x14ac:dyDescent="0.3">
      <c r="A80" t="s">
        <v>209</v>
      </c>
      <c r="B80" t="s">
        <v>75</v>
      </c>
      <c r="C80" t="s">
        <v>32</v>
      </c>
      <c r="D80" t="s">
        <v>174</v>
      </c>
      <c r="E80" t="s">
        <v>176</v>
      </c>
      <c r="K80" s="114">
        <v>3</v>
      </c>
    </row>
    <row r="81" spans="1:11" x14ac:dyDescent="0.3">
      <c r="A81" t="s">
        <v>210</v>
      </c>
      <c r="B81" t="s">
        <v>66</v>
      </c>
      <c r="C81" t="s">
        <v>32</v>
      </c>
      <c r="D81" t="s">
        <v>197</v>
      </c>
      <c r="E81" t="s">
        <v>171</v>
      </c>
      <c r="K81" s="114">
        <v>12</v>
      </c>
    </row>
    <row r="82" spans="1:11" x14ac:dyDescent="0.3">
      <c r="A82" t="s">
        <v>211</v>
      </c>
      <c r="B82" t="s">
        <v>58</v>
      </c>
      <c r="C82" t="s">
        <v>32</v>
      </c>
      <c r="D82" t="s">
        <v>171</v>
      </c>
      <c r="E82" t="s">
        <v>174</v>
      </c>
      <c r="K82" s="114">
        <v>18</v>
      </c>
    </row>
    <row r="83" spans="1:11" x14ac:dyDescent="0.3">
      <c r="A83" t="s">
        <v>212</v>
      </c>
      <c r="B83" t="s">
        <v>70</v>
      </c>
      <c r="C83" t="s">
        <v>32</v>
      </c>
      <c r="D83" t="s">
        <v>171</v>
      </c>
      <c r="E83" t="s">
        <v>197</v>
      </c>
      <c r="K83" s="114">
        <v>18</v>
      </c>
    </row>
    <row r="84" spans="1:11" x14ac:dyDescent="0.3">
      <c r="A84" t="s">
        <v>213</v>
      </c>
      <c r="B84" t="s">
        <v>57</v>
      </c>
      <c r="C84" t="s">
        <v>32</v>
      </c>
      <c r="D84" t="s">
        <v>174</v>
      </c>
      <c r="E84" t="s">
        <v>171</v>
      </c>
      <c r="K84" s="114">
        <v>9</v>
      </c>
    </row>
    <row r="85" spans="1:11" x14ac:dyDescent="0.3">
      <c r="A85" t="s">
        <v>214</v>
      </c>
      <c r="B85" t="s">
        <v>64</v>
      </c>
      <c r="C85" t="s">
        <v>32</v>
      </c>
      <c r="D85" t="s">
        <v>171</v>
      </c>
      <c r="E85" t="s">
        <v>197</v>
      </c>
      <c r="K85" s="114">
        <v>18</v>
      </c>
    </row>
    <row r="86" spans="1:11" x14ac:dyDescent="0.3">
      <c r="A86" t="s">
        <v>215</v>
      </c>
      <c r="B86" t="s">
        <v>74</v>
      </c>
      <c r="C86" t="s">
        <v>32</v>
      </c>
      <c r="D86" t="s">
        <v>168</v>
      </c>
      <c r="E86" t="s">
        <v>171</v>
      </c>
      <c r="K86" s="114">
        <v>9</v>
      </c>
    </row>
    <row r="87" spans="1:11" x14ac:dyDescent="0.3">
      <c r="A87" t="s">
        <v>216</v>
      </c>
      <c r="B87" t="s">
        <v>53</v>
      </c>
      <c r="C87" t="s">
        <v>32</v>
      </c>
      <c r="D87" t="s">
        <v>174</v>
      </c>
      <c r="E87" t="s">
        <v>168</v>
      </c>
      <c r="K87" s="114">
        <v>1</v>
      </c>
    </row>
    <row r="88" spans="1:11" x14ac:dyDescent="0.3">
      <c r="A88" t="s">
        <v>217</v>
      </c>
      <c r="B88" t="s">
        <v>59</v>
      </c>
      <c r="C88" t="s">
        <v>32</v>
      </c>
      <c r="D88" t="s">
        <v>197</v>
      </c>
      <c r="E88" t="s">
        <v>189</v>
      </c>
      <c r="K88" s="114">
        <v>12</v>
      </c>
    </row>
    <row r="89" spans="1:11" x14ac:dyDescent="0.3">
      <c r="A89" t="s">
        <v>218</v>
      </c>
      <c r="B89" t="s">
        <v>55</v>
      </c>
      <c r="C89" t="s">
        <v>32</v>
      </c>
      <c r="D89" t="s">
        <v>219</v>
      </c>
      <c r="E89" t="s">
        <v>171</v>
      </c>
      <c r="K89" s="114">
        <v>25</v>
      </c>
    </row>
    <row r="90" spans="1:11" x14ac:dyDescent="0.3">
      <c r="A90" t="s">
        <v>220</v>
      </c>
      <c r="B90" t="s">
        <v>61</v>
      </c>
      <c r="C90" t="s">
        <v>32</v>
      </c>
      <c r="D90" t="s">
        <v>199</v>
      </c>
      <c r="E90" t="s">
        <v>219</v>
      </c>
      <c r="K90" s="114">
        <v>12.5</v>
      </c>
    </row>
    <row r="91" spans="1:11" x14ac:dyDescent="0.3">
      <c r="A91" t="s">
        <v>221</v>
      </c>
      <c r="B91" t="s">
        <v>63</v>
      </c>
      <c r="C91" t="s">
        <v>32</v>
      </c>
      <c r="D91" t="s">
        <v>219</v>
      </c>
      <c r="E91" t="s">
        <v>171</v>
      </c>
      <c r="K91" s="114">
        <v>25</v>
      </c>
    </row>
    <row r="92" spans="1:11" x14ac:dyDescent="0.3">
      <c r="A92" t="s">
        <v>222</v>
      </c>
      <c r="B92" t="s">
        <v>69</v>
      </c>
      <c r="C92" t="s">
        <v>32</v>
      </c>
      <c r="D92" t="s">
        <v>189</v>
      </c>
      <c r="E92" t="s">
        <v>183</v>
      </c>
      <c r="K92" s="114">
        <v>5</v>
      </c>
    </row>
    <row r="93" spans="1:11" x14ac:dyDescent="0.3">
      <c r="A93" t="s">
        <v>223</v>
      </c>
      <c r="B93" t="s">
        <v>62</v>
      </c>
      <c r="C93" t="s">
        <v>32</v>
      </c>
      <c r="D93" t="s">
        <v>174</v>
      </c>
      <c r="E93" t="s">
        <v>171</v>
      </c>
      <c r="K93" s="114">
        <v>9</v>
      </c>
    </row>
    <row r="94" spans="1:11" x14ac:dyDescent="0.3">
      <c r="A94" t="s">
        <v>224</v>
      </c>
      <c r="B94" t="s">
        <v>52</v>
      </c>
      <c r="C94" t="s">
        <v>32</v>
      </c>
      <c r="D94" t="s">
        <v>197</v>
      </c>
      <c r="E94" t="s">
        <v>207</v>
      </c>
      <c r="K94" s="114">
        <v>12</v>
      </c>
    </row>
    <row r="95" spans="1:11" x14ac:dyDescent="0.3">
      <c r="A95" t="s">
        <v>225</v>
      </c>
      <c r="B95" t="s">
        <v>65</v>
      </c>
      <c r="C95" t="s">
        <v>32</v>
      </c>
      <c r="D95" t="s">
        <v>176</v>
      </c>
      <c r="E95" t="s">
        <v>171</v>
      </c>
      <c r="K95" s="114">
        <v>9</v>
      </c>
    </row>
    <row r="96" spans="1:11" x14ac:dyDescent="0.3">
      <c r="A96" t="s">
        <v>226</v>
      </c>
      <c r="B96" t="s">
        <v>54</v>
      </c>
      <c r="C96" t="s">
        <v>32</v>
      </c>
      <c r="D96" t="s">
        <v>171</v>
      </c>
      <c r="E96" t="s">
        <v>219</v>
      </c>
      <c r="K96" s="114">
        <v>18</v>
      </c>
    </row>
    <row r="97" spans="1:11" x14ac:dyDescent="0.3">
      <c r="A97" t="s">
        <v>227</v>
      </c>
      <c r="B97" t="s">
        <v>72</v>
      </c>
      <c r="C97" t="s">
        <v>32</v>
      </c>
      <c r="D97" t="s">
        <v>174</v>
      </c>
      <c r="E97" t="s">
        <v>197</v>
      </c>
      <c r="K97" s="114">
        <v>6</v>
      </c>
    </row>
    <row r="98" spans="1:11" x14ac:dyDescent="0.3">
      <c r="A98" t="s">
        <v>228</v>
      </c>
      <c r="B98" t="s">
        <v>76</v>
      </c>
      <c r="C98" t="s">
        <v>32</v>
      </c>
      <c r="D98" t="s">
        <v>176</v>
      </c>
      <c r="E98" t="s">
        <v>207</v>
      </c>
      <c r="K98" s="114">
        <v>6</v>
      </c>
    </row>
    <row r="99" spans="1:11" x14ac:dyDescent="0.3">
      <c r="A99" t="s">
        <v>229</v>
      </c>
      <c r="B99" t="s">
        <v>51</v>
      </c>
      <c r="C99" t="s">
        <v>32</v>
      </c>
      <c r="D99" t="s">
        <v>168</v>
      </c>
      <c r="E99" t="s">
        <v>189</v>
      </c>
      <c r="K99" s="114">
        <v>2</v>
      </c>
    </row>
    <row r="100" spans="1:11" x14ac:dyDescent="0.3">
      <c r="A100" t="s">
        <v>230</v>
      </c>
      <c r="B100" t="s">
        <v>60</v>
      </c>
      <c r="C100" t="s">
        <v>32</v>
      </c>
      <c r="D100" t="s">
        <v>171</v>
      </c>
      <c r="E100" t="s">
        <v>197</v>
      </c>
      <c r="K100" s="114">
        <v>18</v>
      </c>
    </row>
    <row r="101" spans="1:11" x14ac:dyDescent="0.3">
      <c r="A101" t="s">
        <v>231</v>
      </c>
      <c r="B101" t="s">
        <v>68</v>
      </c>
      <c r="C101" t="s">
        <v>32</v>
      </c>
      <c r="D101" t="s">
        <v>174</v>
      </c>
      <c r="E101" t="s">
        <v>183</v>
      </c>
      <c r="K101" s="114">
        <v>5</v>
      </c>
    </row>
    <row r="102" spans="1:11" x14ac:dyDescent="0.3">
      <c r="A102" s="123" t="s">
        <v>232</v>
      </c>
      <c r="B102" s="123" t="s">
        <v>67</v>
      </c>
      <c r="C102" s="123" t="s">
        <v>32</v>
      </c>
      <c r="D102" s="123" t="s">
        <v>176</v>
      </c>
      <c r="E102" s="123" t="s">
        <v>171</v>
      </c>
      <c r="K102" s="114">
        <v>9</v>
      </c>
    </row>
    <row r="103" spans="1:11" x14ac:dyDescent="0.3">
      <c r="A103" t="s">
        <v>233</v>
      </c>
      <c r="B103" t="s">
        <v>62</v>
      </c>
      <c r="C103" t="s">
        <v>34</v>
      </c>
      <c r="D103" t="s">
        <v>199</v>
      </c>
      <c r="E103" t="s">
        <v>234</v>
      </c>
      <c r="K103" s="114">
        <v>18</v>
      </c>
    </row>
    <row r="104" spans="1:11" x14ac:dyDescent="0.3">
      <c r="A104" t="s">
        <v>235</v>
      </c>
      <c r="B104" t="s">
        <v>53</v>
      </c>
      <c r="C104" t="s">
        <v>34</v>
      </c>
      <c r="D104" t="s">
        <v>179</v>
      </c>
      <c r="E104" t="s">
        <v>168</v>
      </c>
      <c r="K104" s="114">
        <v>1</v>
      </c>
    </row>
    <row r="105" spans="1:11" x14ac:dyDescent="0.3">
      <c r="A105" t="s">
        <v>236</v>
      </c>
      <c r="B105" t="s">
        <v>59</v>
      </c>
      <c r="C105" t="s">
        <v>34</v>
      </c>
      <c r="D105" t="s">
        <v>179</v>
      </c>
      <c r="E105" t="s">
        <v>183</v>
      </c>
      <c r="K105" s="114">
        <v>0.5</v>
      </c>
    </row>
    <row r="106" spans="1:11" x14ac:dyDescent="0.3">
      <c r="A106" t="s">
        <v>237</v>
      </c>
      <c r="B106" t="s">
        <v>55</v>
      </c>
      <c r="C106" t="s">
        <v>34</v>
      </c>
      <c r="D106" t="s">
        <v>234</v>
      </c>
      <c r="E106" t="s">
        <v>172</v>
      </c>
      <c r="K106" s="114">
        <v>12.5</v>
      </c>
    </row>
    <row r="107" spans="1:11" x14ac:dyDescent="0.3">
      <c r="A107" t="s">
        <v>238</v>
      </c>
      <c r="B107" t="s">
        <v>52</v>
      </c>
      <c r="C107" t="s">
        <v>34</v>
      </c>
      <c r="D107" t="s">
        <v>234</v>
      </c>
      <c r="E107" t="s">
        <v>199</v>
      </c>
      <c r="K107" s="114">
        <v>9</v>
      </c>
    </row>
    <row r="108" spans="1:11" x14ac:dyDescent="0.3">
      <c r="A108" t="s">
        <v>239</v>
      </c>
      <c r="B108" t="s">
        <v>58</v>
      </c>
      <c r="C108" t="s">
        <v>34</v>
      </c>
      <c r="D108" t="s">
        <v>199</v>
      </c>
      <c r="E108" t="s">
        <v>179</v>
      </c>
      <c r="K108" s="114">
        <v>18</v>
      </c>
    </row>
    <row r="109" spans="1:11" x14ac:dyDescent="0.3">
      <c r="A109" t="s">
        <v>240</v>
      </c>
      <c r="B109" t="s">
        <v>56</v>
      </c>
      <c r="C109" t="s">
        <v>34</v>
      </c>
      <c r="D109" t="s">
        <v>179</v>
      </c>
      <c r="E109" t="s">
        <v>172</v>
      </c>
      <c r="K109" s="114">
        <v>12.5</v>
      </c>
    </row>
    <row r="110" spans="1:11" x14ac:dyDescent="0.3">
      <c r="A110" t="s">
        <v>241</v>
      </c>
      <c r="B110" t="s">
        <v>71</v>
      </c>
      <c r="C110" t="s">
        <v>34</v>
      </c>
      <c r="D110" t="s">
        <v>179</v>
      </c>
      <c r="E110" t="s">
        <v>168</v>
      </c>
      <c r="K110" s="114">
        <v>1</v>
      </c>
    </row>
    <row r="111" spans="1:11" x14ac:dyDescent="0.3">
      <c r="A111" t="s">
        <v>242</v>
      </c>
      <c r="B111" t="s">
        <v>75</v>
      </c>
      <c r="C111" t="s">
        <v>34</v>
      </c>
      <c r="D111" t="s">
        <v>199</v>
      </c>
      <c r="E111" t="s">
        <v>234</v>
      </c>
      <c r="K111" s="114">
        <v>18</v>
      </c>
    </row>
    <row r="112" spans="1:11" x14ac:dyDescent="0.3">
      <c r="A112" t="s">
        <v>243</v>
      </c>
      <c r="B112" t="s">
        <v>66</v>
      </c>
      <c r="C112" t="s">
        <v>34</v>
      </c>
      <c r="D112" t="s">
        <v>179</v>
      </c>
      <c r="E112" t="s">
        <v>234</v>
      </c>
      <c r="K112" s="114">
        <v>0.5</v>
      </c>
    </row>
    <row r="113" spans="1:11" x14ac:dyDescent="0.3">
      <c r="A113" t="s">
        <v>244</v>
      </c>
      <c r="B113" t="s">
        <v>57</v>
      </c>
      <c r="C113" t="s">
        <v>34</v>
      </c>
      <c r="D113" t="s">
        <v>245</v>
      </c>
      <c r="E113" t="s">
        <v>219</v>
      </c>
      <c r="K113" s="114">
        <v>10</v>
      </c>
    </row>
    <row r="114" spans="1:11" x14ac:dyDescent="0.3">
      <c r="A114" t="s">
        <v>246</v>
      </c>
      <c r="B114" t="s">
        <v>70</v>
      </c>
      <c r="C114" t="s">
        <v>34</v>
      </c>
      <c r="D114" t="s">
        <v>174</v>
      </c>
      <c r="E114" t="s">
        <v>168</v>
      </c>
      <c r="K114" s="114">
        <v>1</v>
      </c>
    </row>
    <row r="115" spans="1:11" x14ac:dyDescent="0.3">
      <c r="A115" t="s">
        <v>247</v>
      </c>
      <c r="B115" t="s">
        <v>51</v>
      </c>
      <c r="C115" t="s">
        <v>34</v>
      </c>
      <c r="D115" t="s">
        <v>172</v>
      </c>
      <c r="E115" t="s">
        <v>179</v>
      </c>
      <c r="K115" s="114">
        <v>25</v>
      </c>
    </row>
    <row r="116" spans="1:11" x14ac:dyDescent="0.3">
      <c r="A116" t="s">
        <v>248</v>
      </c>
      <c r="B116" t="s">
        <v>73</v>
      </c>
      <c r="C116" t="s">
        <v>34</v>
      </c>
      <c r="D116" t="s">
        <v>172</v>
      </c>
      <c r="E116" t="s">
        <v>168</v>
      </c>
      <c r="K116" s="114">
        <v>25</v>
      </c>
    </row>
    <row r="117" spans="1:11" x14ac:dyDescent="0.3">
      <c r="A117" t="s">
        <v>249</v>
      </c>
      <c r="B117" t="s">
        <v>61</v>
      </c>
      <c r="C117" t="s">
        <v>34</v>
      </c>
      <c r="D117" t="s">
        <v>179</v>
      </c>
      <c r="E117" t="s">
        <v>197</v>
      </c>
      <c r="K117" s="114">
        <v>4</v>
      </c>
    </row>
    <row r="118" spans="1:11" x14ac:dyDescent="0.3">
      <c r="A118" t="s">
        <v>250</v>
      </c>
      <c r="B118" t="s">
        <v>63</v>
      </c>
      <c r="C118" t="s">
        <v>34</v>
      </c>
      <c r="D118" t="s">
        <v>197</v>
      </c>
      <c r="E118" t="s">
        <v>179</v>
      </c>
      <c r="K118" s="114">
        <v>8</v>
      </c>
    </row>
    <row r="119" spans="1:11" x14ac:dyDescent="0.3">
      <c r="A119" t="s">
        <v>251</v>
      </c>
      <c r="B119" t="s">
        <v>67</v>
      </c>
      <c r="C119" t="s">
        <v>34</v>
      </c>
      <c r="D119" t="s">
        <v>179</v>
      </c>
      <c r="E119" t="s">
        <v>197</v>
      </c>
      <c r="K119" s="114">
        <v>4</v>
      </c>
    </row>
    <row r="120" spans="1:11" x14ac:dyDescent="0.3">
      <c r="A120" t="s">
        <v>252</v>
      </c>
      <c r="B120" t="s">
        <v>76</v>
      </c>
      <c r="C120" t="s">
        <v>34</v>
      </c>
      <c r="D120" t="s">
        <v>179</v>
      </c>
      <c r="E120" t="s">
        <v>176</v>
      </c>
      <c r="K120" s="114">
        <v>7.5</v>
      </c>
    </row>
    <row r="121" spans="1:11" x14ac:dyDescent="0.3">
      <c r="A121" t="s">
        <v>253</v>
      </c>
      <c r="B121" t="s">
        <v>74</v>
      </c>
      <c r="C121" t="s">
        <v>34</v>
      </c>
      <c r="D121" t="s">
        <v>179</v>
      </c>
      <c r="E121" t="s">
        <v>219</v>
      </c>
      <c r="K121" s="114">
        <v>0.5</v>
      </c>
    </row>
    <row r="122" spans="1:11" x14ac:dyDescent="0.3">
      <c r="A122" t="s">
        <v>254</v>
      </c>
      <c r="B122" t="s">
        <v>64</v>
      </c>
      <c r="C122" t="s">
        <v>34</v>
      </c>
      <c r="D122" t="s">
        <v>179</v>
      </c>
      <c r="E122" t="s">
        <v>197</v>
      </c>
      <c r="K122" s="114">
        <v>4</v>
      </c>
    </row>
    <row r="123" spans="1:11" x14ac:dyDescent="0.3">
      <c r="A123" t="s">
        <v>255</v>
      </c>
      <c r="B123" t="s">
        <v>65</v>
      </c>
      <c r="C123" t="s">
        <v>34</v>
      </c>
      <c r="D123" t="s">
        <v>179</v>
      </c>
      <c r="E123" t="s">
        <v>197</v>
      </c>
      <c r="K123" s="114">
        <v>4</v>
      </c>
    </row>
    <row r="124" spans="1:11" x14ac:dyDescent="0.3">
      <c r="A124" t="s">
        <v>256</v>
      </c>
      <c r="B124" t="s">
        <v>68</v>
      </c>
      <c r="C124" t="s">
        <v>34</v>
      </c>
      <c r="D124" t="s">
        <v>179</v>
      </c>
      <c r="E124" t="s">
        <v>234</v>
      </c>
      <c r="K124" s="114">
        <v>0.5</v>
      </c>
    </row>
    <row r="125" spans="1:11" x14ac:dyDescent="0.3">
      <c r="A125" t="s">
        <v>257</v>
      </c>
      <c r="B125" t="s">
        <v>72</v>
      </c>
      <c r="C125" t="s">
        <v>34</v>
      </c>
      <c r="D125" t="s">
        <v>199</v>
      </c>
      <c r="E125" t="s">
        <v>183</v>
      </c>
      <c r="K125" s="114">
        <v>18</v>
      </c>
    </row>
    <row r="126" spans="1:11" x14ac:dyDescent="0.3">
      <c r="A126" t="s">
        <v>258</v>
      </c>
      <c r="B126" t="s">
        <v>54</v>
      </c>
      <c r="C126" t="s">
        <v>34</v>
      </c>
      <c r="D126" t="s">
        <v>183</v>
      </c>
      <c r="E126" t="s">
        <v>199</v>
      </c>
      <c r="K126" s="114">
        <v>9</v>
      </c>
    </row>
    <row r="127" spans="1:11" x14ac:dyDescent="0.3">
      <c r="A127" t="s">
        <v>259</v>
      </c>
      <c r="B127" t="s">
        <v>60</v>
      </c>
      <c r="C127" t="s">
        <v>34</v>
      </c>
      <c r="D127" t="s">
        <v>179</v>
      </c>
      <c r="E127" t="s">
        <v>199</v>
      </c>
      <c r="K127" s="114">
        <v>9</v>
      </c>
    </row>
    <row r="128" spans="1:11" x14ac:dyDescent="0.3">
      <c r="A128" s="123" t="s">
        <v>260</v>
      </c>
      <c r="B128" s="123" t="s">
        <v>69</v>
      </c>
      <c r="C128" s="123" t="s">
        <v>34</v>
      </c>
      <c r="D128" s="123" t="s">
        <v>189</v>
      </c>
      <c r="E128" s="123" t="s">
        <v>176</v>
      </c>
      <c r="K128" s="114">
        <v>7.5</v>
      </c>
    </row>
    <row r="129" spans="1:11" x14ac:dyDescent="0.3">
      <c r="A129" t="s">
        <v>261</v>
      </c>
      <c r="B129" t="s">
        <v>75</v>
      </c>
      <c r="C129" t="s">
        <v>35</v>
      </c>
      <c r="D129" t="s">
        <v>183</v>
      </c>
      <c r="E129" t="s">
        <v>169</v>
      </c>
      <c r="K129" s="114">
        <v>4</v>
      </c>
    </row>
    <row r="130" spans="1:11" x14ac:dyDescent="0.3">
      <c r="A130" t="s">
        <v>262</v>
      </c>
      <c r="B130" t="s">
        <v>72</v>
      </c>
      <c r="C130" t="s">
        <v>35</v>
      </c>
      <c r="D130" t="s">
        <v>171</v>
      </c>
      <c r="E130" t="s">
        <v>197</v>
      </c>
      <c r="K130" s="114">
        <v>12.5</v>
      </c>
    </row>
    <row r="131" spans="1:11" x14ac:dyDescent="0.3">
      <c r="A131" t="s">
        <v>263</v>
      </c>
      <c r="B131" t="s">
        <v>54</v>
      </c>
      <c r="C131" t="s">
        <v>35</v>
      </c>
      <c r="D131" t="s">
        <v>199</v>
      </c>
      <c r="E131" t="s">
        <v>197</v>
      </c>
      <c r="K131" s="114">
        <v>12.5</v>
      </c>
    </row>
    <row r="132" spans="1:11" x14ac:dyDescent="0.3">
      <c r="A132" t="s">
        <v>264</v>
      </c>
      <c r="B132" t="s">
        <v>73</v>
      </c>
      <c r="C132" t="s">
        <v>35</v>
      </c>
      <c r="D132" t="s">
        <v>172</v>
      </c>
      <c r="E132" t="s">
        <v>189</v>
      </c>
      <c r="K132" s="114">
        <v>9</v>
      </c>
    </row>
    <row r="133" spans="1:11" x14ac:dyDescent="0.3">
      <c r="A133" t="s">
        <v>265</v>
      </c>
      <c r="B133" t="s">
        <v>71</v>
      </c>
      <c r="C133" t="s">
        <v>35</v>
      </c>
      <c r="D133" t="s">
        <v>174</v>
      </c>
      <c r="E133" t="s">
        <v>183</v>
      </c>
      <c r="K133" s="114">
        <v>2</v>
      </c>
    </row>
    <row r="134" spans="1:11" x14ac:dyDescent="0.3">
      <c r="A134" t="s">
        <v>266</v>
      </c>
      <c r="B134" t="s">
        <v>70</v>
      </c>
      <c r="C134" t="s">
        <v>35</v>
      </c>
      <c r="D134" t="s">
        <v>172</v>
      </c>
      <c r="E134" t="s">
        <v>179</v>
      </c>
      <c r="K134" s="114">
        <v>6</v>
      </c>
    </row>
    <row r="135" spans="1:11" x14ac:dyDescent="0.3">
      <c r="A135" t="s">
        <v>267</v>
      </c>
      <c r="B135" t="s">
        <v>56</v>
      </c>
      <c r="C135" t="s">
        <v>35</v>
      </c>
      <c r="D135" t="s">
        <v>171</v>
      </c>
      <c r="E135" t="s">
        <v>197</v>
      </c>
      <c r="K135" s="114">
        <v>12.5</v>
      </c>
    </row>
    <row r="136" spans="1:11" x14ac:dyDescent="0.3">
      <c r="A136" t="s">
        <v>268</v>
      </c>
      <c r="B136" t="s">
        <v>57</v>
      </c>
      <c r="C136" t="s">
        <v>35</v>
      </c>
      <c r="D136" t="s">
        <v>171</v>
      </c>
      <c r="E136" t="s">
        <v>189</v>
      </c>
      <c r="K136" s="114">
        <v>12</v>
      </c>
    </row>
    <row r="137" spans="1:11" x14ac:dyDescent="0.3">
      <c r="A137" t="s">
        <v>269</v>
      </c>
      <c r="B137" t="s">
        <v>53</v>
      </c>
      <c r="C137" t="s">
        <v>35</v>
      </c>
      <c r="D137" t="s">
        <v>172</v>
      </c>
      <c r="E137" t="s">
        <v>174</v>
      </c>
      <c r="K137" s="114">
        <v>6</v>
      </c>
    </row>
    <row r="138" spans="1:11" x14ac:dyDescent="0.3">
      <c r="A138" t="s">
        <v>270</v>
      </c>
      <c r="B138" t="s">
        <v>58</v>
      </c>
      <c r="C138" t="s">
        <v>35</v>
      </c>
      <c r="D138" t="s">
        <v>174</v>
      </c>
      <c r="E138" t="s">
        <v>172</v>
      </c>
      <c r="K138" s="114">
        <v>3</v>
      </c>
    </row>
    <row r="139" spans="1:11" x14ac:dyDescent="0.3">
      <c r="A139" t="s">
        <v>271</v>
      </c>
      <c r="B139" t="s">
        <v>60</v>
      </c>
      <c r="C139" t="s">
        <v>35</v>
      </c>
      <c r="D139" t="s">
        <v>174</v>
      </c>
      <c r="E139" t="s">
        <v>169</v>
      </c>
      <c r="K139" s="114">
        <v>0.5</v>
      </c>
    </row>
    <row r="140" spans="1:11" x14ac:dyDescent="0.3">
      <c r="A140" t="s">
        <v>272</v>
      </c>
      <c r="B140" t="s">
        <v>76</v>
      </c>
      <c r="C140" t="s">
        <v>35</v>
      </c>
      <c r="D140" t="s">
        <v>273</v>
      </c>
      <c r="E140" t="s">
        <v>171</v>
      </c>
      <c r="K140" s="114">
        <v>15</v>
      </c>
    </row>
    <row r="141" spans="1:11" x14ac:dyDescent="0.3">
      <c r="A141" t="s">
        <v>274</v>
      </c>
      <c r="B141" t="s">
        <v>66</v>
      </c>
      <c r="C141" t="s">
        <v>35</v>
      </c>
      <c r="D141" t="s">
        <v>171</v>
      </c>
      <c r="E141" t="s">
        <v>199</v>
      </c>
      <c r="K141" s="114">
        <v>12</v>
      </c>
    </row>
    <row r="142" spans="1:11" x14ac:dyDescent="0.3">
      <c r="A142" t="s">
        <v>275</v>
      </c>
      <c r="B142" t="s">
        <v>51</v>
      </c>
      <c r="C142" t="s">
        <v>35</v>
      </c>
      <c r="D142" t="s">
        <v>172</v>
      </c>
      <c r="E142" t="s">
        <v>189</v>
      </c>
      <c r="K142" s="114">
        <v>9</v>
      </c>
    </row>
    <row r="143" spans="1:11" x14ac:dyDescent="0.3">
      <c r="A143" t="s">
        <v>276</v>
      </c>
      <c r="B143" t="s">
        <v>59</v>
      </c>
      <c r="C143" t="s">
        <v>35</v>
      </c>
      <c r="D143" t="s">
        <v>197</v>
      </c>
      <c r="E143" t="s">
        <v>219</v>
      </c>
      <c r="K143" s="114">
        <v>25</v>
      </c>
    </row>
    <row r="144" spans="1:11" x14ac:dyDescent="0.3">
      <c r="A144" t="s">
        <v>277</v>
      </c>
      <c r="B144" t="s">
        <v>69</v>
      </c>
      <c r="C144" t="s">
        <v>35</v>
      </c>
      <c r="D144" t="s">
        <v>197</v>
      </c>
      <c r="E144" t="s">
        <v>207</v>
      </c>
      <c r="K144" s="114">
        <v>25</v>
      </c>
    </row>
    <row r="145" spans="1:11" x14ac:dyDescent="0.3">
      <c r="A145" t="s">
        <v>278</v>
      </c>
      <c r="B145" t="s">
        <v>63</v>
      </c>
      <c r="C145" t="s">
        <v>35</v>
      </c>
      <c r="D145" t="s">
        <v>179</v>
      </c>
      <c r="E145" t="s">
        <v>172</v>
      </c>
      <c r="K145" s="114">
        <v>10</v>
      </c>
    </row>
    <row r="146" spans="1:11" x14ac:dyDescent="0.3">
      <c r="A146" t="s">
        <v>279</v>
      </c>
      <c r="B146" t="s">
        <v>68</v>
      </c>
      <c r="C146" t="s">
        <v>35</v>
      </c>
      <c r="D146" t="s">
        <v>172</v>
      </c>
      <c r="E146" t="s">
        <v>174</v>
      </c>
      <c r="K146" s="114">
        <v>6</v>
      </c>
    </row>
    <row r="147" spans="1:11" x14ac:dyDescent="0.3">
      <c r="A147" t="s">
        <v>280</v>
      </c>
      <c r="B147" t="s">
        <v>61</v>
      </c>
      <c r="C147" t="s">
        <v>35</v>
      </c>
      <c r="D147" t="s">
        <v>172</v>
      </c>
      <c r="E147" t="s">
        <v>174</v>
      </c>
      <c r="K147" s="114">
        <v>6</v>
      </c>
    </row>
    <row r="148" spans="1:11" x14ac:dyDescent="0.3">
      <c r="A148" t="s">
        <v>281</v>
      </c>
      <c r="B148" t="s">
        <v>74</v>
      </c>
      <c r="C148" t="s">
        <v>35</v>
      </c>
      <c r="D148" t="s">
        <v>174</v>
      </c>
      <c r="E148" t="s">
        <v>179</v>
      </c>
      <c r="K148" s="114">
        <v>5</v>
      </c>
    </row>
    <row r="149" spans="1:11" x14ac:dyDescent="0.3">
      <c r="A149" t="s">
        <v>282</v>
      </c>
      <c r="B149" t="s">
        <v>65</v>
      </c>
      <c r="C149" t="s">
        <v>35</v>
      </c>
      <c r="D149" t="s">
        <v>197</v>
      </c>
      <c r="E149" t="s">
        <v>172</v>
      </c>
      <c r="K149" s="114">
        <v>25</v>
      </c>
    </row>
    <row r="150" spans="1:11" x14ac:dyDescent="0.3">
      <c r="A150" t="s">
        <v>283</v>
      </c>
      <c r="B150" t="s">
        <v>52</v>
      </c>
      <c r="C150" t="s">
        <v>35</v>
      </c>
      <c r="D150" t="s">
        <v>179</v>
      </c>
      <c r="E150" t="s">
        <v>172</v>
      </c>
      <c r="K150" s="114">
        <v>10</v>
      </c>
    </row>
    <row r="151" spans="1:11" x14ac:dyDescent="0.3">
      <c r="A151" t="s">
        <v>284</v>
      </c>
      <c r="B151" t="s">
        <v>55</v>
      </c>
      <c r="C151" t="s">
        <v>35</v>
      </c>
      <c r="D151" t="s">
        <v>172</v>
      </c>
      <c r="E151" t="s">
        <v>174</v>
      </c>
      <c r="K151" s="114">
        <v>6</v>
      </c>
    </row>
    <row r="152" spans="1:11" x14ac:dyDescent="0.3">
      <c r="A152" t="s">
        <v>285</v>
      </c>
      <c r="B152" t="s">
        <v>64</v>
      </c>
      <c r="C152" t="s">
        <v>35</v>
      </c>
      <c r="D152" t="s">
        <v>174</v>
      </c>
      <c r="E152" t="s">
        <v>199</v>
      </c>
      <c r="K152" s="114">
        <v>0.5</v>
      </c>
    </row>
    <row r="153" spans="1:11" x14ac:dyDescent="0.3">
      <c r="A153" s="123" t="s">
        <v>286</v>
      </c>
      <c r="B153" s="123" t="s">
        <v>67</v>
      </c>
      <c r="C153" s="123" t="s">
        <v>35</v>
      </c>
      <c r="D153" s="123" t="s">
        <v>172</v>
      </c>
      <c r="E153" s="123" t="s">
        <v>197</v>
      </c>
      <c r="K153" s="114">
        <v>12.5</v>
      </c>
    </row>
    <row r="154" spans="1:11" x14ac:dyDescent="0.3">
      <c r="A154" t="s">
        <v>287</v>
      </c>
      <c r="B154" t="s">
        <v>69</v>
      </c>
      <c r="C154" t="s">
        <v>36</v>
      </c>
      <c r="D154" t="s">
        <v>172</v>
      </c>
      <c r="E154" t="s">
        <v>174</v>
      </c>
      <c r="K154" s="114">
        <v>15</v>
      </c>
    </row>
    <row r="155" spans="1:11" x14ac:dyDescent="0.3">
      <c r="A155" t="s">
        <v>288</v>
      </c>
      <c r="B155" t="s">
        <v>59</v>
      </c>
      <c r="C155" t="s">
        <v>36</v>
      </c>
      <c r="D155" t="s">
        <v>189</v>
      </c>
      <c r="E155" t="s">
        <v>172</v>
      </c>
      <c r="K155" s="114">
        <v>7.5</v>
      </c>
    </row>
    <row r="156" spans="1:11" x14ac:dyDescent="0.3">
      <c r="A156" t="s">
        <v>289</v>
      </c>
      <c r="B156" t="s">
        <v>51</v>
      </c>
      <c r="C156" t="s">
        <v>36</v>
      </c>
      <c r="D156" t="s">
        <v>172</v>
      </c>
      <c r="E156" t="s">
        <v>219</v>
      </c>
      <c r="K156" s="114">
        <v>15</v>
      </c>
    </row>
    <row r="157" spans="1:11" x14ac:dyDescent="0.3">
      <c r="A157" t="s">
        <v>290</v>
      </c>
      <c r="B157" t="s">
        <v>58</v>
      </c>
      <c r="C157" t="s">
        <v>36</v>
      </c>
      <c r="D157" t="s">
        <v>199</v>
      </c>
      <c r="E157" t="s">
        <v>172</v>
      </c>
      <c r="K157" s="114">
        <v>7.5</v>
      </c>
    </row>
    <row r="158" spans="1:11" x14ac:dyDescent="0.3">
      <c r="A158" t="s">
        <v>291</v>
      </c>
      <c r="B158" t="s">
        <v>62</v>
      </c>
      <c r="C158" t="s">
        <v>36</v>
      </c>
      <c r="D158" t="s">
        <v>172</v>
      </c>
      <c r="E158" t="s">
        <v>174</v>
      </c>
      <c r="K158" s="114">
        <v>15</v>
      </c>
    </row>
    <row r="159" spans="1:11" x14ac:dyDescent="0.3">
      <c r="A159" t="s">
        <v>292</v>
      </c>
      <c r="B159" t="s">
        <v>74</v>
      </c>
      <c r="C159" t="s">
        <v>36</v>
      </c>
      <c r="D159" t="s">
        <v>199</v>
      </c>
      <c r="E159" t="s">
        <v>179</v>
      </c>
      <c r="K159" s="114">
        <v>6</v>
      </c>
    </row>
    <row r="160" spans="1:11" x14ac:dyDescent="0.3">
      <c r="A160" t="s">
        <v>293</v>
      </c>
      <c r="B160" t="s">
        <v>64</v>
      </c>
      <c r="C160" t="s">
        <v>36</v>
      </c>
      <c r="D160" t="s">
        <v>171</v>
      </c>
      <c r="E160" t="s">
        <v>199</v>
      </c>
      <c r="K160" s="114">
        <v>12</v>
      </c>
    </row>
    <row r="161" spans="1:11" x14ac:dyDescent="0.3">
      <c r="A161" t="s">
        <v>294</v>
      </c>
      <c r="B161" t="s">
        <v>66</v>
      </c>
      <c r="C161" t="s">
        <v>36</v>
      </c>
      <c r="D161" t="s">
        <v>174</v>
      </c>
      <c r="E161" t="s">
        <v>171</v>
      </c>
      <c r="K161" s="114">
        <v>6</v>
      </c>
    </row>
    <row r="162" spans="1:11" x14ac:dyDescent="0.3">
      <c r="A162" t="s">
        <v>295</v>
      </c>
      <c r="B162" t="s">
        <v>70</v>
      </c>
      <c r="C162" t="s">
        <v>36</v>
      </c>
      <c r="D162" t="s">
        <v>171</v>
      </c>
      <c r="E162" t="s">
        <v>197</v>
      </c>
      <c r="K162" s="114">
        <v>12</v>
      </c>
    </row>
    <row r="163" spans="1:11" x14ac:dyDescent="0.3">
      <c r="A163" t="s">
        <v>296</v>
      </c>
      <c r="B163" t="s">
        <v>53</v>
      </c>
      <c r="C163" t="s">
        <v>36</v>
      </c>
      <c r="D163" t="s">
        <v>172</v>
      </c>
      <c r="E163" t="s">
        <v>183</v>
      </c>
      <c r="K163" s="114">
        <v>15</v>
      </c>
    </row>
    <row r="164" spans="1:11" x14ac:dyDescent="0.3">
      <c r="A164" t="s">
        <v>297</v>
      </c>
      <c r="B164" t="s">
        <v>76</v>
      </c>
      <c r="C164" t="s">
        <v>36</v>
      </c>
      <c r="D164" t="s">
        <v>199</v>
      </c>
      <c r="E164" t="s">
        <v>189</v>
      </c>
      <c r="K164" s="114">
        <v>6</v>
      </c>
    </row>
    <row r="165" spans="1:11" x14ac:dyDescent="0.3">
      <c r="A165" t="s">
        <v>298</v>
      </c>
      <c r="B165" t="s">
        <v>63</v>
      </c>
      <c r="C165" t="s">
        <v>36</v>
      </c>
      <c r="D165" t="s">
        <v>174</v>
      </c>
      <c r="E165" t="s">
        <v>171</v>
      </c>
      <c r="K165" s="114">
        <v>6</v>
      </c>
    </row>
    <row r="166" spans="1:11" x14ac:dyDescent="0.3">
      <c r="A166" t="s">
        <v>299</v>
      </c>
      <c r="B166" t="s">
        <v>75</v>
      </c>
      <c r="C166" t="s">
        <v>36</v>
      </c>
      <c r="D166" t="s">
        <v>202</v>
      </c>
      <c r="E166" t="s">
        <v>174</v>
      </c>
      <c r="K166" s="114">
        <v>1</v>
      </c>
    </row>
    <row r="167" spans="1:11" x14ac:dyDescent="0.3">
      <c r="A167" t="s">
        <v>300</v>
      </c>
      <c r="B167" t="s">
        <v>73</v>
      </c>
      <c r="C167" t="s">
        <v>36</v>
      </c>
      <c r="D167" t="s">
        <v>172</v>
      </c>
      <c r="E167" t="s">
        <v>168</v>
      </c>
      <c r="K167" s="114">
        <v>15</v>
      </c>
    </row>
    <row r="168" spans="1:11" x14ac:dyDescent="0.3">
      <c r="A168" t="s">
        <v>301</v>
      </c>
      <c r="B168" t="s">
        <v>71</v>
      </c>
      <c r="C168" t="s">
        <v>36</v>
      </c>
      <c r="D168" t="s">
        <v>172</v>
      </c>
      <c r="E168" t="s">
        <v>199</v>
      </c>
      <c r="K168" s="114">
        <v>15</v>
      </c>
    </row>
    <row r="169" spans="1:11" x14ac:dyDescent="0.3">
      <c r="A169" t="s">
        <v>302</v>
      </c>
      <c r="B169" t="s">
        <v>65</v>
      </c>
      <c r="C169" t="s">
        <v>36</v>
      </c>
      <c r="D169" t="s">
        <v>179</v>
      </c>
      <c r="E169" t="s">
        <v>219</v>
      </c>
      <c r="K169" s="114">
        <v>2</v>
      </c>
    </row>
    <row r="170" spans="1:11" x14ac:dyDescent="0.3">
      <c r="A170" t="s">
        <v>303</v>
      </c>
      <c r="B170" t="s">
        <v>61</v>
      </c>
      <c r="C170" t="s">
        <v>36</v>
      </c>
      <c r="D170" t="s">
        <v>171</v>
      </c>
      <c r="E170" t="s">
        <v>172</v>
      </c>
      <c r="K170" s="114">
        <v>12</v>
      </c>
    </row>
    <row r="171" spans="1:11" x14ac:dyDescent="0.3">
      <c r="A171" t="s">
        <v>304</v>
      </c>
      <c r="B171" t="s">
        <v>54</v>
      </c>
      <c r="C171" t="s">
        <v>36</v>
      </c>
      <c r="D171" t="s">
        <v>172</v>
      </c>
      <c r="E171" t="s">
        <v>183</v>
      </c>
      <c r="K171" s="114">
        <v>15</v>
      </c>
    </row>
    <row r="172" spans="1:11" x14ac:dyDescent="0.3">
      <c r="A172" t="s">
        <v>305</v>
      </c>
      <c r="B172" t="s">
        <v>56</v>
      </c>
      <c r="C172" t="s">
        <v>36</v>
      </c>
      <c r="D172" t="s">
        <v>183</v>
      </c>
      <c r="E172" t="s">
        <v>172</v>
      </c>
      <c r="K172" s="114">
        <v>18</v>
      </c>
    </row>
    <row r="173" spans="1:11" x14ac:dyDescent="0.3">
      <c r="A173" t="s">
        <v>306</v>
      </c>
      <c r="B173" t="s">
        <v>60</v>
      </c>
      <c r="C173" t="s">
        <v>36</v>
      </c>
      <c r="D173" t="s">
        <v>172</v>
      </c>
      <c r="E173" t="s">
        <v>199</v>
      </c>
      <c r="K173" s="114">
        <v>15</v>
      </c>
    </row>
    <row r="174" spans="1:11" x14ac:dyDescent="0.3">
      <c r="A174" t="s">
        <v>307</v>
      </c>
      <c r="B174" t="s">
        <v>72</v>
      </c>
      <c r="C174" t="s">
        <v>36</v>
      </c>
      <c r="D174" t="s">
        <v>199</v>
      </c>
      <c r="E174" t="s">
        <v>171</v>
      </c>
      <c r="K174" s="114">
        <v>6</v>
      </c>
    </row>
    <row r="175" spans="1:11" x14ac:dyDescent="0.3">
      <c r="A175" t="s">
        <v>308</v>
      </c>
      <c r="B175" t="s">
        <v>67</v>
      </c>
      <c r="C175" t="s">
        <v>36</v>
      </c>
      <c r="D175" t="s">
        <v>199</v>
      </c>
      <c r="E175" t="s">
        <v>168</v>
      </c>
      <c r="K175" s="114">
        <v>6</v>
      </c>
    </row>
    <row r="176" spans="1:11" x14ac:dyDescent="0.3">
      <c r="A176" t="s">
        <v>309</v>
      </c>
      <c r="B176" t="s">
        <v>57</v>
      </c>
      <c r="C176" t="s">
        <v>36</v>
      </c>
      <c r="D176" t="s">
        <v>172</v>
      </c>
      <c r="E176" t="s">
        <v>199</v>
      </c>
      <c r="K176" s="114">
        <v>15</v>
      </c>
    </row>
    <row r="177" spans="1:11" x14ac:dyDescent="0.3">
      <c r="A177" t="s">
        <v>310</v>
      </c>
      <c r="B177" t="s">
        <v>52</v>
      </c>
      <c r="C177" t="s">
        <v>36</v>
      </c>
      <c r="D177" t="s">
        <v>199</v>
      </c>
      <c r="E177" t="s">
        <v>183</v>
      </c>
      <c r="K177" s="114">
        <v>9</v>
      </c>
    </row>
    <row r="178" spans="1:11" x14ac:dyDescent="0.3">
      <c r="A178" t="s">
        <v>311</v>
      </c>
      <c r="B178" t="s">
        <v>55</v>
      </c>
      <c r="C178" t="s">
        <v>36</v>
      </c>
      <c r="D178" t="s">
        <v>172</v>
      </c>
      <c r="E178" t="s">
        <v>183</v>
      </c>
      <c r="K178" s="114">
        <v>15</v>
      </c>
    </row>
    <row r="179" spans="1:11" x14ac:dyDescent="0.3">
      <c r="A179" s="123" t="s">
        <v>312</v>
      </c>
      <c r="B179" s="123" t="s">
        <v>68</v>
      </c>
      <c r="C179" s="123" t="s">
        <v>36</v>
      </c>
      <c r="D179" s="123" t="s">
        <v>172</v>
      </c>
      <c r="E179" s="123" t="s">
        <v>168</v>
      </c>
      <c r="K179" s="114">
        <v>15</v>
      </c>
    </row>
    <row r="180" spans="1:11" x14ac:dyDescent="0.3">
      <c r="A180" t="s">
        <v>428</v>
      </c>
      <c r="B180" t="s">
        <v>57</v>
      </c>
      <c r="C180" t="s">
        <v>37</v>
      </c>
      <c r="D180" t="s">
        <v>171</v>
      </c>
      <c r="E180" t="s">
        <v>197</v>
      </c>
      <c r="K180" s="114">
        <v>12.5</v>
      </c>
    </row>
    <row r="181" spans="1:11" x14ac:dyDescent="0.3">
      <c r="A181" t="s">
        <v>429</v>
      </c>
      <c r="B181" t="s">
        <v>59</v>
      </c>
      <c r="C181" t="s">
        <v>37</v>
      </c>
      <c r="D181" t="s">
        <v>179</v>
      </c>
      <c r="E181" t="s">
        <v>176</v>
      </c>
      <c r="K181" s="114">
        <v>0.25</v>
      </c>
    </row>
    <row r="182" spans="1:11" x14ac:dyDescent="0.3">
      <c r="A182" t="s">
        <v>430</v>
      </c>
      <c r="B182" t="s">
        <v>72</v>
      </c>
      <c r="C182" t="s">
        <v>37</v>
      </c>
      <c r="D182" t="s">
        <v>171</v>
      </c>
      <c r="E182" t="s">
        <v>197</v>
      </c>
      <c r="K182" s="114">
        <v>12.5</v>
      </c>
    </row>
    <row r="183" spans="1:11" x14ac:dyDescent="0.3">
      <c r="A183" t="s">
        <v>431</v>
      </c>
      <c r="B183" t="s">
        <v>76</v>
      </c>
      <c r="C183" t="s">
        <v>37</v>
      </c>
      <c r="D183" t="s">
        <v>171</v>
      </c>
      <c r="E183" t="s">
        <v>172</v>
      </c>
      <c r="K183" s="114">
        <v>2</v>
      </c>
    </row>
    <row r="184" spans="1:11" x14ac:dyDescent="0.3">
      <c r="A184" t="s">
        <v>432</v>
      </c>
      <c r="B184" t="s">
        <v>54</v>
      </c>
      <c r="C184" t="s">
        <v>37</v>
      </c>
      <c r="D184" t="s">
        <v>199</v>
      </c>
      <c r="E184" t="s">
        <v>171</v>
      </c>
      <c r="K184" s="114">
        <v>1</v>
      </c>
    </row>
    <row r="185" spans="1:11" x14ac:dyDescent="0.3">
      <c r="A185" t="s">
        <v>433</v>
      </c>
      <c r="B185" t="s">
        <v>51</v>
      </c>
      <c r="C185" t="s">
        <v>37</v>
      </c>
      <c r="D185" t="s">
        <v>174</v>
      </c>
      <c r="E185" t="s">
        <v>171</v>
      </c>
      <c r="K185" s="114">
        <v>1</v>
      </c>
    </row>
    <row r="186" spans="1:11" x14ac:dyDescent="0.3">
      <c r="A186" t="s">
        <v>434</v>
      </c>
      <c r="B186" t="s">
        <v>62</v>
      </c>
      <c r="C186" t="s">
        <v>37</v>
      </c>
      <c r="D186" t="s">
        <v>171</v>
      </c>
      <c r="E186" t="s">
        <v>176</v>
      </c>
      <c r="K186" s="114">
        <v>2</v>
      </c>
    </row>
    <row r="187" spans="1:11" x14ac:dyDescent="0.3">
      <c r="A187" t="s">
        <v>435</v>
      </c>
      <c r="B187" t="s">
        <v>66</v>
      </c>
      <c r="C187" t="s">
        <v>37</v>
      </c>
      <c r="D187" t="s">
        <v>199</v>
      </c>
      <c r="E187" t="s">
        <v>171</v>
      </c>
      <c r="K187" s="114">
        <v>1</v>
      </c>
    </row>
    <row r="188" spans="1:11" x14ac:dyDescent="0.3">
      <c r="A188" t="s">
        <v>436</v>
      </c>
      <c r="B188" t="s">
        <v>75</v>
      </c>
      <c r="C188" t="s">
        <v>37</v>
      </c>
      <c r="D188" t="s">
        <v>199</v>
      </c>
      <c r="E188" t="s">
        <v>197</v>
      </c>
      <c r="K188" s="114">
        <v>12.5</v>
      </c>
    </row>
    <row r="189" spans="1:11" x14ac:dyDescent="0.3">
      <c r="A189" t="s">
        <v>437</v>
      </c>
      <c r="B189" t="s">
        <v>53</v>
      </c>
      <c r="C189" t="s">
        <v>37</v>
      </c>
      <c r="D189" t="s">
        <v>197</v>
      </c>
      <c r="E189" t="s">
        <v>171</v>
      </c>
      <c r="K189" s="114">
        <v>25</v>
      </c>
    </row>
    <row r="190" spans="1:11" x14ac:dyDescent="0.3">
      <c r="A190" t="s">
        <v>438</v>
      </c>
      <c r="B190" t="s">
        <v>70</v>
      </c>
      <c r="C190" t="s">
        <v>37</v>
      </c>
      <c r="D190" t="s">
        <v>174</v>
      </c>
      <c r="E190" t="s">
        <v>171</v>
      </c>
      <c r="K190" s="114">
        <v>1</v>
      </c>
    </row>
    <row r="191" spans="1:11" x14ac:dyDescent="0.3">
      <c r="A191" t="s">
        <v>439</v>
      </c>
      <c r="B191" t="s">
        <v>73</v>
      </c>
      <c r="C191" t="s">
        <v>37</v>
      </c>
      <c r="D191" t="s">
        <v>171</v>
      </c>
      <c r="E191" t="s">
        <v>172</v>
      </c>
      <c r="K191" s="114">
        <v>2</v>
      </c>
    </row>
    <row r="192" spans="1:11" x14ac:dyDescent="0.3">
      <c r="A192" t="s">
        <v>440</v>
      </c>
      <c r="B192" t="s">
        <v>58</v>
      </c>
      <c r="C192" t="s">
        <v>37</v>
      </c>
      <c r="D192" t="s">
        <v>174</v>
      </c>
      <c r="E192" t="s">
        <v>171</v>
      </c>
      <c r="K192" s="114">
        <v>1</v>
      </c>
    </row>
    <row r="193" spans="1:11" x14ac:dyDescent="0.3">
      <c r="A193" t="s">
        <v>441</v>
      </c>
      <c r="B193" t="s">
        <v>71</v>
      </c>
      <c r="C193" t="s">
        <v>37</v>
      </c>
      <c r="D193" t="s">
        <v>174</v>
      </c>
      <c r="E193" t="s">
        <v>172</v>
      </c>
      <c r="K193" s="114">
        <v>0</v>
      </c>
    </row>
    <row r="194" spans="1:11" x14ac:dyDescent="0.3">
      <c r="A194" t="s">
        <v>442</v>
      </c>
      <c r="B194" t="s">
        <v>56</v>
      </c>
      <c r="C194" t="s">
        <v>37</v>
      </c>
      <c r="D194" t="s">
        <v>172</v>
      </c>
      <c r="E194" t="s">
        <v>168</v>
      </c>
      <c r="K194" s="114">
        <v>7.5</v>
      </c>
    </row>
    <row r="195" spans="1:11" x14ac:dyDescent="0.3">
      <c r="A195" t="s">
        <v>443</v>
      </c>
      <c r="B195" t="s">
        <v>63</v>
      </c>
      <c r="C195" t="s">
        <v>37</v>
      </c>
      <c r="D195" t="s">
        <v>168</v>
      </c>
      <c r="E195" t="s">
        <v>197</v>
      </c>
      <c r="K195" s="114">
        <v>15</v>
      </c>
    </row>
    <row r="196" spans="1:11" x14ac:dyDescent="0.3">
      <c r="A196" t="s">
        <v>444</v>
      </c>
      <c r="B196" t="s">
        <v>60</v>
      </c>
      <c r="C196" t="s">
        <v>37</v>
      </c>
      <c r="D196" t="s">
        <v>197</v>
      </c>
      <c r="E196" t="s">
        <v>172</v>
      </c>
      <c r="K196" s="114">
        <v>25</v>
      </c>
    </row>
    <row r="197" spans="1:11" x14ac:dyDescent="0.3">
      <c r="A197" t="s">
        <v>445</v>
      </c>
      <c r="B197" t="s">
        <v>74</v>
      </c>
      <c r="C197" t="s">
        <v>37</v>
      </c>
      <c r="D197" t="s">
        <v>179</v>
      </c>
      <c r="E197" t="s">
        <v>168</v>
      </c>
      <c r="K197" s="114">
        <v>7.5</v>
      </c>
    </row>
    <row r="198" spans="1:11" x14ac:dyDescent="0.3">
      <c r="A198" t="s">
        <v>446</v>
      </c>
      <c r="B198" t="s">
        <v>64</v>
      </c>
      <c r="C198" t="s">
        <v>37</v>
      </c>
      <c r="D198" t="s">
        <v>197</v>
      </c>
      <c r="E198" t="s">
        <v>199</v>
      </c>
      <c r="K198" s="114">
        <v>25</v>
      </c>
    </row>
    <row r="199" spans="1:11" x14ac:dyDescent="0.3">
      <c r="A199" t="s">
        <v>447</v>
      </c>
      <c r="B199" t="s">
        <v>61</v>
      </c>
      <c r="C199" t="s">
        <v>37</v>
      </c>
      <c r="D199" t="s">
        <v>172</v>
      </c>
      <c r="E199" t="s">
        <v>171</v>
      </c>
      <c r="K199" s="114">
        <v>1</v>
      </c>
    </row>
    <row r="200" spans="1:11" x14ac:dyDescent="0.3">
      <c r="A200" t="s">
        <v>448</v>
      </c>
      <c r="B200" t="s">
        <v>67</v>
      </c>
      <c r="C200" t="s">
        <v>37</v>
      </c>
      <c r="D200" t="s">
        <v>199</v>
      </c>
      <c r="E200" t="s">
        <v>174</v>
      </c>
      <c r="K200" s="114">
        <v>0</v>
      </c>
    </row>
    <row r="201" spans="1:11" x14ac:dyDescent="0.3">
      <c r="A201" t="s">
        <v>449</v>
      </c>
      <c r="B201" t="s">
        <v>68</v>
      </c>
      <c r="C201" t="s">
        <v>37</v>
      </c>
      <c r="D201" t="s">
        <v>171</v>
      </c>
      <c r="E201" t="s">
        <v>172</v>
      </c>
      <c r="K201" s="114">
        <v>2</v>
      </c>
    </row>
    <row r="202" spans="1:11" x14ac:dyDescent="0.3">
      <c r="A202" t="s">
        <v>450</v>
      </c>
      <c r="B202" t="s">
        <v>69</v>
      </c>
      <c r="C202" t="s">
        <v>37</v>
      </c>
      <c r="D202" t="s">
        <v>273</v>
      </c>
      <c r="E202" t="s">
        <v>197</v>
      </c>
      <c r="K202" s="114">
        <v>12.5</v>
      </c>
    </row>
    <row r="203" spans="1:11" x14ac:dyDescent="0.3">
      <c r="A203" t="s">
        <v>451</v>
      </c>
      <c r="B203" t="s">
        <v>52</v>
      </c>
      <c r="C203" t="s">
        <v>37</v>
      </c>
      <c r="D203" t="s">
        <v>174</v>
      </c>
      <c r="E203" t="s">
        <v>197</v>
      </c>
      <c r="K203" s="114">
        <v>12.5</v>
      </c>
    </row>
    <row r="204" spans="1:11" x14ac:dyDescent="0.3">
      <c r="A204" s="123" t="s">
        <v>452</v>
      </c>
      <c r="B204" s="123" t="s">
        <v>55</v>
      </c>
      <c r="C204" s="123" t="s">
        <v>37</v>
      </c>
      <c r="D204" s="123" t="s">
        <v>197</v>
      </c>
      <c r="E204" s="123" t="s">
        <v>168</v>
      </c>
      <c r="K204" s="114">
        <v>25</v>
      </c>
    </row>
    <row r="205" spans="1:11" x14ac:dyDescent="0.3">
      <c r="A205" t="s">
        <v>467</v>
      </c>
      <c r="B205" t="s">
        <v>69</v>
      </c>
      <c r="C205" t="s">
        <v>38</v>
      </c>
      <c r="D205" t="s">
        <v>245</v>
      </c>
      <c r="E205" t="s">
        <v>273</v>
      </c>
      <c r="K205" s="114">
        <v>9</v>
      </c>
    </row>
    <row r="206" spans="1:11" x14ac:dyDescent="0.3">
      <c r="A206" t="s">
        <v>468</v>
      </c>
      <c r="B206" t="s">
        <v>56</v>
      </c>
      <c r="C206" t="s">
        <v>38</v>
      </c>
      <c r="D206" t="s">
        <v>171</v>
      </c>
      <c r="E206" t="s">
        <v>168</v>
      </c>
      <c r="K206" s="114">
        <v>6</v>
      </c>
    </row>
    <row r="207" spans="1:11" x14ac:dyDescent="0.3">
      <c r="A207" t="s">
        <v>469</v>
      </c>
      <c r="B207" t="s">
        <v>71</v>
      </c>
      <c r="C207" t="s">
        <v>38</v>
      </c>
      <c r="D207" t="s">
        <v>168</v>
      </c>
      <c r="E207" t="s">
        <v>174</v>
      </c>
      <c r="K207" s="114">
        <v>12</v>
      </c>
    </row>
    <row r="208" spans="1:11" x14ac:dyDescent="0.3">
      <c r="A208" t="s">
        <v>470</v>
      </c>
      <c r="B208" t="s">
        <v>62</v>
      </c>
      <c r="C208" t="s">
        <v>38</v>
      </c>
      <c r="D208" t="s">
        <v>168</v>
      </c>
      <c r="E208" t="s">
        <v>183</v>
      </c>
      <c r="K208" s="114">
        <v>12</v>
      </c>
    </row>
    <row r="209" spans="1:11" x14ac:dyDescent="0.3">
      <c r="A209" t="s">
        <v>471</v>
      </c>
      <c r="B209" t="s">
        <v>53</v>
      </c>
      <c r="C209" t="s">
        <v>38</v>
      </c>
      <c r="D209" t="s">
        <v>183</v>
      </c>
      <c r="E209" t="s">
        <v>197</v>
      </c>
      <c r="K209" s="114">
        <v>2</v>
      </c>
    </row>
    <row r="210" spans="1:11" x14ac:dyDescent="0.3">
      <c r="A210" t="s">
        <v>472</v>
      </c>
      <c r="B210" t="s">
        <v>54</v>
      </c>
      <c r="C210" t="s">
        <v>38</v>
      </c>
      <c r="D210" t="s">
        <v>168</v>
      </c>
      <c r="E210" t="s">
        <v>183</v>
      </c>
      <c r="K210" s="114">
        <v>12</v>
      </c>
    </row>
    <row r="211" spans="1:11" x14ac:dyDescent="0.3">
      <c r="A211" t="s">
        <v>473</v>
      </c>
      <c r="B211" t="s">
        <v>72</v>
      </c>
      <c r="C211" t="s">
        <v>38</v>
      </c>
      <c r="D211" t="s">
        <v>183</v>
      </c>
      <c r="E211" t="s">
        <v>171</v>
      </c>
      <c r="K211" s="114">
        <v>2</v>
      </c>
    </row>
    <row r="212" spans="1:11" x14ac:dyDescent="0.3">
      <c r="A212" t="s">
        <v>474</v>
      </c>
      <c r="B212" t="s">
        <v>73</v>
      </c>
      <c r="C212" t="s">
        <v>38</v>
      </c>
      <c r="D212" t="s">
        <v>197</v>
      </c>
      <c r="E212" t="s">
        <v>174</v>
      </c>
      <c r="K212" s="114">
        <v>3</v>
      </c>
    </row>
    <row r="213" spans="1:11" x14ac:dyDescent="0.3">
      <c r="A213" t="s">
        <v>475</v>
      </c>
      <c r="B213" t="s">
        <v>57</v>
      </c>
      <c r="C213" t="s">
        <v>38</v>
      </c>
      <c r="D213" t="s">
        <v>168</v>
      </c>
      <c r="E213" t="s">
        <v>183</v>
      </c>
      <c r="K213" s="114">
        <v>12</v>
      </c>
    </row>
    <row r="214" spans="1:11" x14ac:dyDescent="0.3">
      <c r="A214" t="s">
        <v>476</v>
      </c>
      <c r="B214" t="s">
        <v>51</v>
      </c>
      <c r="C214" t="s">
        <v>38</v>
      </c>
      <c r="D214" t="s">
        <v>168</v>
      </c>
      <c r="E214" t="s">
        <v>171</v>
      </c>
      <c r="K214" s="114">
        <v>12</v>
      </c>
    </row>
    <row r="215" spans="1:11" x14ac:dyDescent="0.3">
      <c r="A215" t="s">
        <v>477</v>
      </c>
      <c r="B215" t="s">
        <v>61</v>
      </c>
      <c r="C215" t="s">
        <v>38</v>
      </c>
      <c r="D215" t="s">
        <v>183</v>
      </c>
      <c r="E215" t="s">
        <v>171</v>
      </c>
      <c r="K215" s="114">
        <v>2</v>
      </c>
    </row>
    <row r="216" spans="1:11" x14ac:dyDescent="0.3">
      <c r="A216" t="s">
        <v>478</v>
      </c>
      <c r="B216" t="s">
        <v>70</v>
      </c>
      <c r="C216" t="s">
        <v>38</v>
      </c>
      <c r="D216" t="s">
        <v>171</v>
      </c>
      <c r="E216" t="s">
        <v>179</v>
      </c>
      <c r="K216" s="114">
        <v>0</v>
      </c>
    </row>
    <row r="217" spans="1:11" x14ac:dyDescent="0.3">
      <c r="A217" t="s">
        <v>479</v>
      </c>
      <c r="B217" t="s">
        <v>55</v>
      </c>
      <c r="C217" t="s">
        <v>38</v>
      </c>
      <c r="D217" t="s">
        <v>171</v>
      </c>
      <c r="E217" t="s">
        <v>197</v>
      </c>
      <c r="K217" s="114">
        <v>0</v>
      </c>
    </row>
    <row r="218" spans="1:11" x14ac:dyDescent="0.3">
      <c r="A218" t="s">
        <v>480</v>
      </c>
      <c r="B218" t="s">
        <v>74</v>
      </c>
      <c r="C218" t="s">
        <v>38</v>
      </c>
      <c r="D218" t="s">
        <v>197</v>
      </c>
      <c r="E218" t="s">
        <v>172</v>
      </c>
      <c r="K218" s="114">
        <v>0</v>
      </c>
    </row>
    <row r="219" spans="1:11" x14ac:dyDescent="0.3">
      <c r="A219" t="s">
        <v>481</v>
      </c>
      <c r="B219" t="s">
        <v>59</v>
      </c>
      <c r="C219" t="s">
        <v>38</v>
      </c>
      <c r="D219" t="s">
        <v>183</v>
      </c>
      <c r="E219" t="s">
        <v>171</v>
      </c>
      <c r="K219" s="114">
        <v>2</v>
      </c>
    </row>
    <row r="220" spans="1:11" x14ac:dyDescent="0.3">
      <c r="A220" t="s">
        <v>482</v>
      </c>
      <c r="B220" t="s">
        <v>65</v>
      </c>
      <c r="C220" t="s">
        <v>38</v>
      </c>
      <c r="D220" t="s">
        <v>197</v>
      </c>
      <c r="E220" t="s">
        <v>171</v>
      </c>
      <c r="K220" s="114">
        <v>0</v>
      </c>
    </row>
    <row r="221" spans="1:11" x14ac:dyDescent="0.3">
      <c r="A221" t="s">
        <v>483</v>
      </c>
      <c r="B221" t="s">
        <v>76</v>
      </c>
      <c r="C221" t="s">
        <v>38</v>
      </c>
      <c r="D221" t="s">
        <v>169</v>
      </c>
      <c r="E221" t="s">
        <v>234</v>
      </c>
      <c r="K221" s="114">
        <v>2</v>
      </c>
    </row>
    <row r="222" spans="1:11" x14ac:dyDescent="0.3">
      <c r="A222" t="s">
        <v>484</v>
      </c>
      <c r="B222" t="s">
        <v>63</v>
      </c>
      <c r="C222" t="s">
        <v>38</v>
      </c>
      <c r="D222" t="s">
        <v>172</v>
      </c>
      <c r="E222" t="s">
        <v>197</v>
      </c>
      <c r="K222" s="114">
        <v>0</v>
      </c>
    </row>
    <row r="223" spans="1:11" x14ac:dyDescent="0.3">
      <c r="A223" t="s">
        <v>485</v>
      </c>
      <c r="B223" t="s">
        <v>66</v>
      </c>
      <c r="C223" t="s">
        <v>38</v>
      </c>
      <c r="D223" t="s">
        <v>172</v>
      </c>
      <c r="E223" t="s">
        <v>183</v>
      </c>
      <c r="K223" s="114">
        <v>1</v>
      </c>
    </row>
    <row r="224" spans="1:11" x14ac:dyDescent="0.3">
      <c r="A224" t="s">
        <v>486</v>
      </c>
      <c r="B224" t="s">
        <v>67</v>
      </c>
      <c r="C224" t="s">
        <v>38</v>
      </c>
      <c r="D224" t="s">
        <v>197</v>
      </c>
      <c r="E224" t="s">
        <v>168</v>
      </c>
      <c r="K224" s="114">
        <v>6</v>
      </c>
    </row>
    <row r="225" spans="1:11" x14ac:dyDescent="0.3">
      <c r="A225" t="s">
        <v>487</v>
      </c>
      <c r="B225" t="s">
        <v>60</v>
      </c>
      <c r="C225" t="s">
        <v>38</v>
      </c>
      <c r="D225" t="s">
        <v>197</v>
      </c>
      <c r="E225" t="s">
        <v>172</v>
      </c>
      <c r="K225" s="114">
        <v>0</v>
      </c>
    </row>
    <row r="226" spans="1:11" x14ac:dyDescent="0.3">
      <c r="A226" t="s">
        <v>488</v>
      </c>
      <c r="B226" t="s">
        <v>75</v>
      </c>
      <c r="C226" t="s">
        <v>38</v>
      </c>
      <c r="D226" t="s">
        <v>197</v>
      </c>
      <c r="E226" t="s">
        <v>234</v>
      </c>
      <c r="K226" s="114">
        <v>2</v>
      </c>
    </row>
    <row r="227" spans="1:11" x14ac:dyDescent="0.3">
      <c r="A227" t="s">
        <v>489</v>
      </c>
      <c r="B227" t="s">
        <v>52</v>
      </c>
      <c r="C227" t="s">
        <v>38</v>
      </c>
      <c r="D227" t="s">
        <v>172</v>
      </c>
      <c r="E227" t="s">
        <v>197</v>
      </c>
      <c r="K227" s="114">
        <v>0</v>
      </c>
    </row>
    <row r="228" spans="1:11" x14ac:dyDescent="0.3">
      <c r="A228" t="s">
        <v>490</v>
      </c>
      <c r="B228" t="s">
        <v>58</v>
      </c>
      <c r="C228" t="s">
        <v>38</v>
      </c>
      <c r="D228" t="s">
        <v>197</v>
      </c>
      <c r="E228" t="s">
        <v>168</v>
      </c>
      <c r="K228" s="114">
        <v>6</v>
      </c>
    </row>
    <row r="229" spans="1:11" x14ac:dyDescent="0.3">
      <c r="A229" t="s">
        <v>491</v>
      </c>
      <c r="B229" t="s">
        <v>68</v>
      </c>
      <c r="C229" t="s">
        <v>38</v>
      </c>
      <c r="D229" t="s">
        <v>168</v>
      </c>
      <c r="E229" t="s">
        <v>183</v>
      </c>
      <c r="K229" s="114">
        <v>12</v>
      </c>
    </row>
    <row r="230" spans="1:11" x14ac:dyDescent="0.3">
      <c r="A230" s="123" t="s">
        <v>492</v>
      </c>
      <c r="B230" s="123" t="s">
        <v>64</v>
      </c>
      <c r="C230" s="123" t="s">
        <v>38</v>
      </c>
      <c r="D230" s="123" t="s">
        <v>168</v>
      </c>
      <c r="E230" s="123" t="s">
        <v>197</v>
      </c>
      <c r="K230" s="114">
        <v>12</v>
      </c>
    </row>
    <row r="231" spans="1:11" x14ac:dyDescent="0.3">
      <c r="A231" t="s">
        <v>493</v>
      </c>
      <c r="B231" t="s">
        <v>76</v>
      </c>
      <c r="C231" t="s">
        <v>494</v>
      </c>
      <c r="D231" t="s">
        <v>495</v>
      </c>
      <c r="E231" t="s">
        <v>179</v>
      </c>
      <c r="K231" s="114">
        <v>6</v>
      </c>
    </row>
    <row r="232" spans="1:11" x14ac:dyDescent="0.3">
      <c r="A232" t="s">
        <v>496</v>
      </c>
      <c r="B232" t="s">
        <v>69</v>
      </c>
      <c r="C232" t="s">
        <v>494</v>
      </c>
      <c r="D232" t="s">
        <v>176</v>
      </c>
      <c r="E232" t="s">
        <v>183</v>
      </c>
      <c r="K232" s="114">
        <v>12.5</v>
      </c>
    </row>
    <row r="233" spans="1:11" x14ac:dyDescent="0.3">
      <c r="A233" t="s">
        <v>497</v>
      </c>
      <c r="B233" t="s">
        <v>74</v>
      </c>
      <c r="C233" t="s">
        <v>494</v>
      </c>
      <c r="D233" t="s">
        <v>189</v>
      </c>
      <c r="E233" t="s">
        <v>202</v>
      </c>
      <c r="K233" s="114">
        <v>6</v>
      </c>
    </row>
    <row r="234" spans="1:11" x14ac:dyDescent="0.3">
      <c r="A234" t="s">
        <v>498</v>
      </c>
      <c r="B234" t="s">
        <v>64</v>
      </c>
      <c r="C234" t="s">
        <v>494</v>
      </c>
      <c r="D234" t="s">
        <v>189</v>
      </c>
      <c r="E234" t="s">
        <v>495</v>
      </c>
      <c r="K234" s="114">
        <v>3</v>
      </c>
    </row>
    <row r="235" spans="1:11" x14ac:dyDescent="0.3">
      <c r="A235" t="s">
        <v>499</v>
      </c>
      <c r="B235" t="s">
        <v>62</v>
      </c>
      <c r="C235" t="s">
        <v>494</v>
      </c>
      <c r="D235" t="s">
        <v>176</v>
      </c>
      <c r="E235" t="s">
        <v>495</v>
      </c>
      <c r="K235" s="114">
        <v>10</v>
      </c>
    </row>
    <row r="236" spans="1:11" x14ac:dyDescent="0.3">
      <c r="A236" t="s">
        <v>500</v>
      </c>
      <c r="B236" t="s">
        <v>51</v>
      </c>
      <c r="C236" t="s">
        <v>494</v>
      </c>
      <c r="D236" t="s">
        <v>495</v>
      </c>
      <c r="E236" t="s">
        <v>172</v>
      </c>
      <c r="K236" s="114">
        <v>6</v>
      </c>
    </row>
    <row r="237" spans="1:11" x14ac:dyDescent="0.3">
      <c r="A237" t="s">
        <v>501</v>
      </c>
      <c r="B237" t="s">
        <v>53</v>
      </c>
      <c r="C237" t="s">
        <v>494</v>
      </c>
      <c r="D237" t="s">
        <v>171</v>
      </c>
      <c r="E237" t="s">
        <v>189</v>
      </c>
      <c r="K237" s="114">
        <v>0</v>
      </c>
    </row>
    <row r="238" spans="1:11" x14ac:dyDescent="0.3">
      <c r="A238" t="s">
        <v>502</v>
      </c>
      <c r="B238" t="s">
        <v>58</v>
      </c>
      <c r="C238" t="s">
        <v>494</v>
      </c>
      <c r="D238" t="s">
        <v>202</v>
      </c>
      <c r="E238" t="s">
        <v>495</v>
      </c>
      <c r="K238" s="114">
        <v>12</v>
      </c>
    </row>
    <row r="239" spans="1:11" x14ac:dyDescent="0.3">
      <c r="A239" t="s">
        <v>503</v>
      </c>
      <c r="B239" t="s">
        <v>65</v>
      </c>
      <c r="C239" t="s">
        <v>494</v>
      </c>
      <c r="D239" t="s">
        <v>176</v>
      </c>
      <c r="E239" t="s">
        <v>219</v>
      </c>
      <c r="K239" s="114">
        <v>10</v>
      </c>
    </row>
    <row r="240" spans="1:11" x14ac:dyDescent="0.3">
      <c r="A240" t="s">
        <v>504</v>
      </c>
      <c r="B240" t="s">
        <v>63</v>
      </c>
      <c r="C240" t="s">
        <v>494</v>
      </c>
      <c r="D240" t="s">
        <v>189</v>
      </c>
      <c r="E240" t="s">
        <v>171</v>
      </c>
      <c r="K240" s="114">
        <v>0</v>
      </c>
    </row>
    <row r="241" spans="1:11" x14ac:dyDescent="0.3">
      <c r="A241" t="s">
        <v>505</v>
      </c>
      <c r="B241" t="s">
        <v>70</v>
      </c>
      <c r="C241" t="s">
        <v>494</v>
      </c>
      <c r="D241" t="s">
        <v>171</v>
      </c>
      <c r="E241" t="s">
        <v>168</v>
      </c>
      <c r="K241" s="114">
        <v>7.5</v>
      </c>
    </row>
    <row r="242" spans="1:11" x14ac:dyDescent="0.3">
      <c r="A242" t="s">
        <v>506</v>
      </c>
      <c r="B242" t="s">
        <v>56</v>
      </c>
      <c r="C242" t="s">
        <v>494</v>
      </c>
      <c r="D242" t="s">
        <v>495</v>
      </c>
      <c r="E242" t="s">
        <v>169</v>
      </c>
      <c r="K242" s="114">
        <v>6</v>
      </c>
    </row>
    <row r="243" spans="1:11" x14ac:dyDescent="0.3">
      <c r="A243" t="s">
        <v>507</v>
      </c>
      <c r="B243" t="s">
        <v>71</v>
      </c>
      <c r="C243" t="s">
        <v>494</v>
      </c>
      <c r="D243" t="s">
        <v>189</v>
      </c>
      <c r="E243" t="s">
        <v>176</v>
      </c>
      <c r="K243" s="114">
        <v>5</v>
      </c>
    </row>
    <row r="244" spans="1:11" x14ac:dyDescent="0.3">
      <c r="A244" t="s">
        <v>508</v>
      </c>
      <c r="B244" t="s">
        <v>75</v>
      </c>
      <c r="C244" t="s">
        <v>494</v>
      </c>
      <c r="D244" t="s">
        <v>189</v>
      </c>
      <c r="E244" t="s">
        <v>171</v>
      </c>
      <c r="K244" s="114">
        <v>0</v>
      </c>
    </row>
    <row r="245" spans="1:11" x14ac:dyDescent="0.3">
      <c r="A245" t="s">
        <v>509</v>
      </c>
      <c r="B245" t="s">
        <v>73</v>
      </c>
      <c r="C245" t="s">
        <v>494</v>
      </c>
      <c r="D245" t="s">
        <v>171</v>
      </c>
      <c r="E245" t="s">
        <v>174</v>
      </c>
      <c r="K245" s="114">
        <v>1</v>
      </c>
    </row>
    <row r="246" spans="1:11" x14ac:dyDescent="0.3">
      <c r="A246" t="s">
        <v>510</v>
      </c>
      <c r="B246" t="s">
        <v>72</v>
      </c>
      <c r="C246" t="s">
        <v>494</v>
      </c>
      <c r="D246" t="s">
        <v>183</v>
      </c>
      <c r="E246" t="s">
        <v>172</v>
      </c>
      <c r="K246" s="114">
        <v>25</v>
      </c>
    </row>
    <row r="247" spans="1:11" x14ac:dyDescent="0.3">
      <c r="A247" t="s">
        <v>511</v>
      </c>
      <c r="B247" t="s">
        <v>54</v>
      </c>
      <c r="C247" t="s">
        <v>494</v>
      </c>
      <c r="D247" t="s">
        <v>169</v>
      </c>
      <c r="E247" t="s">
        <v>495</v>
      </c>
      <c r="K247" s="114">
        <v>4</v>
      </c>
    </row>
    <row r="248" spans="1:11" x14ac:dyDescent="0.3">
      <c r="A248" t="s">
        <v>512</v>
      </c>
      <c r="B248" t="s">
        <v>57</v>
      </c>
      <c r="C248" t="s">
        <v>494</v>
      </c>
      <c r="D248" t="s">
        <v>176</v>
      </c>
      <c r="E248" t="s">
        <v>189</v>
      </c>
      <c r="K248" s="114">
        <v>10</v>
      </c>
    </row>
    <row r="249" spans="1:11" x14ac:dyDescent="0.3">
      <c r="A249" t="s">
        <v>513</v>
      </c>
      <c r="B249" t="s">
        <v>68</v>
      </c>
      <c r="C249" t="s">
        <v>494</v>
      </c>
      <c r="D249" t="s">
        <v>171</v>
      </c>
      <c r="E249" t="s">
        <v>176</v>
      </c>
      <c r="K249" s="114">
        <v>5</v>
      </c>
    </row>
    <row r="250" spans="1:11" x14ac:dyDescent="0.3">
      <c r="A250" t="s">
        <v>514</v>
      </c>
      <c r="B250" t="s">
        <v>52</v>
      </c>
      <c r="C250" t="s">
        <v>494</v>
      </c>
      <c r="D250" t="s">
        <v>495</v>
      </c>
      <c r="E250" t="s">
        <v>176</v>
      </c>
      <c r="K250" s="114">
        <v>6</v>
      </c>
    </row>
    <row r="251" spans="1:11" x14ac:dyDescent="0.3">
      <c r="A251" t="s">
        <v>515</v>
      </c>
      <c r="B251" t="s">
        <v>55</v>
      </c>
      <c r="C251" t="s">
        <v>494</v>
      </c>
      <c r="D251" t="s">
        <v>171</v>
      </c>
      <c r="E251" t="s">
        <v>183</v>
      </c>
      <c r="K251" s="114">
        <v>12.5</v>
      </c>
    </row>
    <row r="252" spans="1:11" x14ac:dyDescent="0.3">
      <c r="A252" t="s">
        <v>516</v>
      </c>
      <c r="B252" t="s">
        <v>60</v>
      </c>
      <c r="C252" t="s">
        <v>494</v>
      </c>
      <c r="D252" t="s">
        <v>176</v>
      </c>
      <c r="E252" t="s">
        <v>189</v>
      </c>
      <c r="K252" s="114">
        <v>10</v>
      </c>
    </row>
    <row r="253" spans="1:11" x14ac:dyDescent="0.3">
      <c r="A253" t="s">
        <v>517</v>
      </c>
      <c r="B253" t="s">
        <v>66</v>
      </c>
      <c r="C253" t="s">
        <v>494</v>
      </c>
      <c r="D253" t="s">
        <v>189</v>
      </c>
      <c r="E253" t="s">
        <v>495</v>
      </c>
      <c r="K253" s="114">
        <v>3</v>
      </c>
    </row>
    <row r="254" spans="1:11" x14ac:dyDescent="0.3">
      <c r="A254" t="s">
        <v>518</v>
      </c>
      <c r="B254" t="s">
        <v>61</v>
      </c>
      <c r="C254" t="s">
        <v>494</v>
      </c>
      <c r="D254" t="s">
        <v>171</v>
      </c>
      <c r="E254" t="s">
        <v>176</v>
      </c>
      <c r="K254" s="114">
        <v>5</v>
      </c>
    </row>
    <row r="255" spans="1:11" x14ac:dyDescent="0.3">
      <c r="A255" t="s">
        <v>519</v>
      </c>
      <c r="B255" t="s">
        <v>67</v>
      </c>
      <c r="C255" t="s">
        <v>494</v>
      </c>
      <c r="D255" t="s">
        <v>202</v>
      </c>
      <c r="E255" t="s">
        <v>495</v>
      </c>
      <c r="K255" s="114">
        <v>12</v>
      </c>
    </row>
    <row r="256" spans="1:11" x14ac:dyDescent="0.3">
      <c r="A256" s="124" t="s">
        <v>520</v>
      </c>
      <c r="B256" s="124" t="s">
        <v>59</v>
      </c>
      <c r="C256" s="124" t="s">
        <v>494</v>
      </c>
      <c r="D256" s="124" t="s">
        <v>176</v>
      </c>
      <c r="E256" s="124" t="s">
        <v>183</v>
      </c>
      <c r="K256" s="114">
        <v>12.5</v>
      </c>
    </row>
    <row r="257" spans="1:11" x14ac:dyDescent="0.3">
      <c r="A257" t="s">
        <v>522</v>
      </c>
      <c r="B257" t="s">
        <v>76</v>
      </c>
      <c r="C257" t="s">
        <v>523</v>
      </c>
      <c r="D257" t="s">
        <v>202</v>
      </c>
      <c r="E257" t="s">
        <v>174</v>
      </c>
      <c r="K257" s="81">
        <v>0</v>
      </c>
    </row>
    <row r="258" spans="1:11" x14ac:dyDescent="0.3">
      <c r="A258" t="s">
        <v>524</v>
      </c>
      <c r="B258" t="s">
        <v>57</v>
      </c>
      <c r="C258" t="s">
        <v>523</v>
      </c>
      <c r="D258" t="s">
        <v>197</v>
      </c>
      <c r="E258" t="s">
        <v>179</v>
      </c>
      <c r="K258" s="81">
        <v>15</v>
      </c>
    </row>
    <row r="259" spans="1:11" x14ac:dyDescent="0.3">
      <c r="A259" t="s">
        <v>525</v>
      </c>
      <c r="B259" t="s">
        <v>75</v>
      </c>
      <c r="C259" t="s">
        <v>523</v>
      </c>
      <c r="D259" t="s">
        <v>179</v>
      </c>
      <c r="E259" t="s">
        <v>183</v>
      </c>
      <c r="K259" s="81">
        <v>25</v>
      </c>
    </row>
    <row r="260" spans="1:11" x14ac:dyDescent="0.3">
      <c r="A260" t="s">
        <v>526</v>
      </c>
      <c r="B260" t="s">
        <v>66</v>
      </c>
      <c r="C260" t="s">
        <v>523</v>
      </c>
      <c r="D260" t="s">
        <v>183</v>
      </c>
      <c r="E260" t="s">
        <v>197</v>
      </c>
      <c r="K260" s="81">
        <v>18</v>
      </c>
    </row>
    <row r="261" spans="1:11" x14ac:dyDescent="0.3">
      <c r="A261" t="s">
        <v>527</v>
      </c>
      <c r="B261" t="s">
        <v>70</v>
      </c>
      <c r="C261" t="s">
        <v>523</v>
      </c>
      <c r="D261" t="s">
        <v>197</v>
      </c>
      <c r="E261" t="s">
        <v>495</v>
      </c>
      <c r="K261" s="81">
        <v>15</v>
      </c>
    </row>
    <row r="262" spans="1:11" x14ac:dyDescent="0.3">
      <c r="A262" t="s">
        <v>528</v>
      </c>
      <c r="B262" t="s">
        <v>58</v>
      </c>
      <c r="C262" t="s">
        <v>523</v>
      </c>
      <c r="D262" t="s">
        <v>183</v>
      </c>
      <c r="E262" t="s">
        <v>176</v>
      </c>
      <c r="K262" s="81">
        <v>18</v>
      </c>
    </row>
    <row r="263" spans="1:11" x14ac:dyDescent="0.3">
      <c r="A263" t="s">
        <v>529</v>
      </c>
      <c r="B263" t="s">
        <v>51</v>
      </c>
      <c r="C263" t="s">
        <v>523</v>
      </c>
      <c r="D263" t="s">
        <v>179</v>
      </c>
      <c r="E263" t="s">
        <v>219</v>
      </c>
      <c r="K263" s="81">
        <v>25</v>
      </c>
    </row>
    <row r="264" spans="1:11" x14ac:dyDescent="0.3">
      <c r="A264" t="s">
        <v>530</v>
      </c>
      <c r="B264" t="s">
        <v>56</v>
      </c>
      <c r="C264" t="s">
        <v>523</v>
      </c>
      <c r="D264" t="s">
        <v>176</v>
      </c>
      <c r="E264" t="s">
        <v>179</v>
      </c>
      <c r="K264" s="81">
        <v>12.5</v>
      </c>
    </row>
    <row r="265" spans="1:11" x14ac:dyDescent="0.3">
      <c r="A265" t="s">
        <v>531</v>
      </c>
      <c r="B265" t="s">
        <v>71</v>
      </c>
      <c r="C265" t="s">
        <v>523</v>
      </c>
      <c r="D265" t="s">
        <v>183</v>
      </c>
      <c r="E265" t="s">
        <v>197</v>
      </c>
      <c r="K265" s="81">
        <v>18</v>
      </c>
    </row>
    <row r="266" spans="1:11" x14ac:dyDescent="0.3">
      <c r="A266" t="s">
        <v>532</v>
      </c>
      <c r="B266" t="s">
        <v>53</v>
      </c>
      <c r="C266" t="s">
        <v>523</v>
      </c>
      <c r="D266" t="s">
        <v>183</v>
      </c>
      <c r="E266" t="s">
        <v>179</v>
      </c>
      <c r="K266" s="81">
        <v>18</v>
      </c>
    </row>
    <row r="267" spans="1:11" x14ac:dyDescent="0.3">
      <c r="A267" t="s">
        <v>533</v>
      </c>
      <c r="B267" t="s">
        <v>73</v>
      </c>
      <c r="C267" t="s">
        <v>523</v>
      </c>
      <c r="D267" t="s">
        <v>179</v>
      </c>
      <c r="E267" t="s">
        <v>197</v>
      </c>
      <c r="K267" s="81">
        <v>25</v>
      </c>
    </row>
    <row r="268" spans="1:11" x14ac:dyDescent="0.3">
      <c r="A268" t="s">
        <v>534</v>
      </c>
      <c r="B268" t="s">
        <v>60</v>
      </c>
      <c r="C268" t="s">
        <v>523</v>
      </c>
      <c r="D268" t="s">
        <v>183</v>
      </c>
      <c r="E268" t="s">
        <v>168</v>
      </c>
      <c r="K268" s="81">
        <v>18</v>
      </c>
    </row>
    <row r="269" spans="1:11" x14ac:dyDescent="0.3">
      <c r="A269" t="s">
        <v>535</v>
      </c>
      <c r="B269" t="s">
        <v>69</v>
      </c>
      <c r="C269" t="s">
        <v>523</v>
      </c>
      <c r="D269" t="s">
        <v>197</v>
      </c>
      <c r="E269" t="s">
        <v>172</v>
      </c>
      <c r="K269" s="81">
        <v>15</v>
      </c>
    </row>
    <row r="270" spans="1:11" x14ac:dyDescent="0.3">
      <c r="A270" t="s">
        <v>536</v>
      </c>
      <c r="B270" t="s">
        <v>63</v>
      </c>
      <c r="C270" t="s">
        <v>523</v>
      </c>
      <c r="D270" t="s">
        <v>179</v>
      </c>
      <c r="E270" t="s">
        <v>197</v>
      </c>
      <c r="K270" s="81">
        <v>25</v>
      </c>
    </row>
    <row r="271" spans="1:11" x14ac:dyDescent="0.3">
      <c r="A271" t="s">
        <v>537</v>
      </c>
      <c r="B271" t="s">
        <v>68</v>
      </c>
      <c r="C271" t="s">
        <v>523</v>
      </c>
      <c r="D271" t="s">
        <v>183</v>
      </c>
      <c r="E271" t="s">
        <v>179</v>
      </c>
      <c r="K271" s="81">
        <v>18</v>
      </c>
    </row>
    <row r="272" spans="1:11" x14ac:dyDescent="0.3">
      <c r="A272" t="s">
        <v>538</v>
      </c>
      <c r="B272" t="s">
        <v>72</v>
      </c>
      <c r="C272" t="s">
        <v>523</v>
      </c>
      <c r="D272" t="s">
        <v>183</v>
      </c>
      <c r="E272" t="s">
        <v>495</v>
      </c>
      <c r="K272" s="81">
        <v>18</v>
      </c>
    </row>
    <row r="273" spans="1:11" x14ac:dyDescent="0.3">
      <c r="A273" t="s">
        <v>539</v>
      </c>
      <c r="B273" t="s">
        <v>54</v>
      </c>
      <c r="C273" t="s">
        <v>523</v>
      </c>
      <c r="D273" t="s">
        <v>171</v>
      </c>
      <c r="E273" t="s">
        <v>183</v>
      </c>
      <c r="K273" s="81">
        <v>12</v>
      </c>
    </row>
    <row r="274" spans="1:11" x14ac:dyDescent="0.3">
      <c r="A274" t="s">
        <v>540</v>
      </c>
      <c r="B274" t="s">
        <v>74</v>
      </c>
      <c r="C274" t="s">
        <v>523</v>
      </c>
      <c r="D274" t="s">
        <v>179</v>
      </c>
      <c r="E274" t="s">
        <v>197</v>
      </c>
      <c r="K274" s="81">
        <v>25</v>
      </c>
    </row>
    <row r="275" spans="1:11" x14ac:dyDescent="0.3">
      <c r="A275" t="s">
        <v>541</v>
      </c>
      <c r="B275" t="s">
        <v>64</v>
      </c>
      <c r="C275" t="s">
        <v>523</v>
      </c>
      <c r="D275" t="s">
        <v>197</v>
      </c>
      <c r="E275" t="s">
        <v>171</v>
      </c>
      <c r="K275" s="81">
        <v>15</v>
      </c>
    </row>
    <row r="276" spans="1:11" x14ac:dyDescent="0.3">
      <c r="A276" t="s">
        <v>542</v>
      </c>
      <c r="B276" t="s">
        <v>52</v>
      </c>
      <c r="C276" t="s">
        <v>523</v>
      </c>
      <c r="D276" t="s">
        <v>197</v>
      </c>
      <c r="E276" t="s">
        <v>205</v>
      </c>
      <c r="K276" s="81">
        <v>15</v>
      </c>
    </row>
    <row r="277" spans="1:11" x14ac:dyDescent="0.3">
      <c r="A277" t="s">
        <v>543</v>
      </c>
      <c r="B277" t="s">
        <v>55</v>
      </c>
      <c r="C277" t="s">
        <v>523</v>
      </c>
      <c r="D277" t="s">
        <v>197</v>
      </c>
      <c r="E277" t="s">
        <v>183</v>
      </c>
      <c r="K277" s="81">
        <v>15</v>
      </c>
    </row>
    <row r="278" spans="1:11" x14ac:dyDescent="0.3">
      <c r="A278" t="s">
        <v>544</v>
      </c>
      <c r="B278" t="s">
        <v>62</v>
      </c>
      <c r="C278" t="s">
        <v>523</v>
      </c>
      <c r="D278" t="s">
        <v>183</v>
      </c>
      <c r="E278" t="s">
        <v>179</v>
      </c>
      <c r="K278" s="81">
        <v>18</v>
      </c>
    </row>
    <row r="279" spans="1:11" x14ac:dyDescent="0.3">
      <c r="A279" t="s">
        <v>545</v>
      </c>
      <c r="B279" t="s">
        <v>59</v>
      </c>
      <c r="C279" t="s">
        <v>523</v>
      </c>
      <c r="D279" t="s">
        <v>183</v>
      </c>
      <c r="E279" t="s">
        <v>171</v>
      </c>
      <c r="K279" s="81">
        <v>18</v>
      </c>
    </row>
    <row r="280" spans="1:11" x14ac:dyDescent="0.3">
      <c r="A280" t="s">
        <v>545</v>
      </c>
      <c r="B280" t="s">
        <v>61</v>
      </c>
      <c r="C280" t="s">
        <v>523</v>
      </c>
      <c r="D280" t="s">
        <v>171</v>
      </c>
      <c r="E280" t="s">
        <v>183</v>
      </c>
      <c r="K280" s="81">
        <v>12</v>
      </c>
    </row>
    <row r="281" spans="1:11" x14ac:dyDescent="0.3">
      <c r="A281" s="123" t="s">
        <v>546</v>
      </c>
      <c r="B281" s="123" t="s">
        <v>67</v>
      </c>
      <c r="C281" s="123" t="s">
        <v>523</v>
      </c>
      <c r="D281" s="123" t="s">
        <v>183</v>
      </c>
      <c r="E281" s="123" t="s">
        <v>197</v>
      </c>
      <c r="K281" s="81">
        <v>18</v>
      </c>
    </row>
    <row r="282" spans="1:11" x14ac:dyDescent="0.3">
      <c r="A282" t="s">
        <v>547</v>
      </c>
      <c r="B282" t="s">
        <v>62</v>
      </c>
      <c r="C282" t="s">
        <v>548</v>
      </c>
      <c r="D282" t="s">
        <v>207</v>
      </c>
      <c r="E282" t="s">
        <v>356</v>
      </c>
      <c r="K282" s="81">
        <v>4</v>
      </c>
    </row>
    <row r="283" spans="1:11" x14ac:dyDescent="0.3">
      <c r="A283" t="s">
        <v>549</v>
      </c>
      <c r="B283" t="s">
        <v>58</v>
      </c>
      <c r="C283" t="s">
        <v>548</v>
      </c>
      <c r="D283" t="s">
        <v>183</v>
      </c>
      <c r="E283" t="s">
        <v>197</v>
      </c>
      <c r="K283" s="81">
        <v>15</v>
      </c>
    </row>
    <row r="284" spans="1:11" x14ac:dyDescent="0.3">
      <c r="A284" t="s">
        <v>550</v>
      </c>
      <c r="B284" t="s">
        <v>57</v>
      </c>
      <c r="C284" t="s">
        <v>548</v>
      </c>
      <c r="D284" t="s">
        <v>172</v>
      </c>
      <c r="E284" t="s">
        <v>197</v>
      </c>
      <c r="K284" s="81">
        <v>18</v>
      </c>
    </row>
    <row r="285" spans="1:11" x14ac:dyDescent="0.3">
      <c r="A285" t="s">
        <v>551</v>
      </c>
      <c r="B285" t="s">
        <v>60</v>
      </c>
      <c r="C285" t="s">
        <v>548</v>
      </c>
      <c r="D285" t="s">
        <v>172</v>
      </c>
      <c r="E285" t="s">
        <v>183</v>
      </c>
      <c r="K285" s="81">
        <v>18</v>
      </c>
    </row>
    <row r="286" spans="1:11" x14ac:dyDescent="0.3">
      <c r="A286" t="s">
        <v>552</v>
      </c>
      <c r="B286" t="s">
        <v>59</v>
      </c>
      <c r="C286" t="s">
        <v>548</v>
      </c>
      <c r="D286" t="s">
        <v>172</v>
      </c>
      <c r="E286" t="s">
        <v>183</v>
      </c>
      <c r="K286" s="81">
        <v>18</v>
      </c>
    </row>
    <row r="287" spans="1:11" x14ac:dyDescent="0.3">
      <c r="A287" t="s">
        <v>553</v>
      </c>
      <c r="B287" t="s">
        <v>51</v>
      </c>
      <c r="C287" t="s">
        <v>548</v>
      </c>
      <c r="D287" t="s">
        <v>197</v>
      </c>
      <c r="E287" t="s">
        <v>179</v>
      </c>
      <c r="K287" s="81">
        <v>0</v>
      </c>
    </row>
    <row r="288" spans="1:11" x14ac:dyDescent="0.3">
      <c r="A288" t="s">
        <v>554</v>
      </c>
      <c r="B288" t="s">
        <v>76</v>
      </c>
      <c r="C288" t="s">
        <v>548</v>
      </c>
      <c r="D288" t="s">
        <v>168</v>
      </c>
      <c r="E288" t="s">
        <v>172</v>
      </c>
      <c r="K288" s="81">
        <v>12</v>
      </c>
    </row>
    <row r="289" spans="1:11" x14ac:dyDescent="0.3">
      <c r="A289" t="s">
        <v>555</v>
      </c>
      <c r="B289" t="s">
        <v>54</v>
      </c>
      <c r="C289" t="s">
        <v>548</v>
      </c>
      <c r="D289" t="s">
        <v>168</v>
      </c>
      <c r="E289" t="s">
        <v>172</v>
      </c>
      <c r="K289" s="81">
        <v>12</v>
      </c>
    </row>
    <row r="290" spans="1:11" x14ac:dyDescent="0.3">
      <c r="A290" t="s">
        <v>556</v>
      </c>
      <c r="B290" t="s">
        <v>72</v>
      </c>
      <c r="C290" t="s">
        <v>548</v>
      </c>
      <c r="D290" t="s">
        <v>183</v>
      </c>
      <c r="E290" t="s">
        <v>172</v>
      </c>
      <c r="K290" s="81">
        <v>15</v>
      </c>
    </row>
    <row r="291" spans="1:11" x14ac:dyDescent="0.3">
      <c r="A291" t="s">
        <v>557</v>
      </c>
      <c r="B291" t="s">
        <v>52</v>
      </c>
      <c r="C291" t="s">
        <v>548</v>
      </c>
      <c r="D291" t="s">
        <v>207</v>
      </c>
      <c r="E291" t="s">
        <v>183</v>
      </c>
      <c r="K291" s="81">
        <v>7.5</v>
      </c>
    </row>
    <row r="292" spans="1:11" x14ac:dyDescent="0.3">
      <c r="A292" t="s">
        <v>558</v>
      </c>
      <c r="B292" t="s">
        <v>55</v>
      </c>
      <c r="C292" t="s">
        <v>548</v>
      </c>
      <c r="D292" t="s">
        <v>183</v>
      </c>
      <c r="E292" t="s">
        <v>168</v>
      </c>
      <c r="K292" s="81">
        <v>15</v>
      </c>
    </row>
    <row r="293" spans="1:11" x14ac:dyDescent="0.3">
      <c r="A293" t="s">
        <v>559</v>
      </c>
      <c r="B293" t="s">
        <v>63</v>
      </c>
      <c r="C293" t="s">
        <v>548</v>
      </c>
      <c r="D293" t="s">
        <v>168</v>
      </c>
      <c r="E293" t="s">
        <v>179</v>
      </c>
      <c r="K293" s="81">
        <v>12</v>
      </c>
    </row>
    <row r="294" spans="1:11" x14ac:dyDescent="0.3">
      <c r="A294" t="s">
        <v>560</v>
      </c>
      <c r="B294" t="s">
        <v>67</v>
      </c>
      <c r="C294" t="s">
        <v>548</v>
      </c>
      <c r="D294" t="s">
        <v>197</v>
      </c>
      <c r="E294" t="s">
        <v>168</v>
      </c>
      <c r="K294" s="81">
        <v>6</v>
      </c>
    </row>
    <row r="295" spans="1:11" x14ac:dyDescent="0.3">
      <c r="A295" t="s">
        <v>561</v>
      </c>
      <c r="B295" t="s">
        <v>71</v>
      </c>
      <c r="C295" t="s">
        <v>548</v>
      </c>
      <c r="D295" t="s">
        <v>207</v>
      </c>
      <c r="E295" t="s">
        <v>356</v>
      </c>
      <c r="K295" s="81">
        <v>4</v>
      </c>
    </row>
    <row r="296" spans="1:11" x14ac:dyDescent="0.3">
      <c r="A296" t="s">
        <v>562</v>
      </c>
      <c r="B296" t="s">
        <v>61</v>
      </c>
      <c r="C296" t="s">
        <v>548</v>
      </c>
      <c r="D296" t="s">
        <v>183</v>
      </c>
      <c r="E296" t="s">
        <v>197</v>
      </c>
      <c r="K296" s="81">
        <v>15</v>
      </c>
    </row>
    <row r="297" spans="1:11" x14ac:dyDescent="0.3">
      <c r="A297" t="s">
        <v>563</v>
      </c>
      <c r="B297" t="s">
        <v>66</v>
      </c>
      <c r="C297" t="s">
        <v>548</v>
      </c>
      <c r="D297" t="s">
        <v>183</v>
      </c>
      <c r="E297" t="s">
        <v>168</v>
      </c>
      <c r="K297" s="81">
        <v>15</v>
      </c>
    </row>
    <row r="298" spans="1:11" x14ac:dyDescent="0.3">
      <c r="A298" t="s">
        <v>564</v>
      </c>
      <c r="B298" t="s">
        <v>64</v>
      </c>
      <c r="C298" t="s">
        <v>548</v>
      </c>
      <c r="D298" t="s">
        <v>273</v>
      </c>
      <c r="E298" t="s">
        <v>197</v>
      </c>
      <c r="K298" s="81">
        <v>0</v>
      </c>
    </row>
    <row r="299" spans="1:11" x14ac:dyDescent="0.3">
      <c r="A299" t="s">
        <v>565</v>
      </c>
      <c r="B299" t="s">
        <v>74</v>
      </c>
      <c r="C299" t="s">
        <v>548</v>
      </c>
      <c r="D299" t="s">
        <v>172</v>
      </c>
      <c r="E299" t="s">
        <v>197</v>
      </c>
      <c r="K299" s="81">
        <v>18</v>
      </c>
    </row>
    <row r="300" spans="1:11" x14ac:dyDescent="0.3">
      <c r="A300" t="s">
        <v>566</v>
      </c>
      <c r="B300" t="s">
        <v>56</v>
      </c>
      <c r="C300" t="s">
        <v>548</v>
      </c>
      <c r="D300" t="s">
        <v>179</v>
      </c>
      <c r="E300" t="s">
        <v>174</v>
      </c>
      <c r="K300" s="81">
        <v>5</v>
      </c>
    </row>
    <row r="301" spans="1:11" x14ac:dyDescent="0.3">
      <c r="A301" t="s">
        <v>567</v>
      </c>
      <c r="B301" t="s">
        <v>53</v>
      </c>
      <c r="C301" t="s">
        <v>548</v>
      </c>
      <c r="D301" t="s">
        <v>197</v>
      </c>
      <c r="E301" t="s">
        <v>183</v>
      </c>
      <c r="K301" s="81">
        <v>7.5</v>
      </c>
    </row>
    <row r="302" spans="1:11" x14ac:dyDescent="0.3">
      <c r="A302" s="24" t="s">
        <v>568</v>
      </c>
      <c r="B302" s="24" t="s">
        <v>68</v>
      </c>
      <c r="C302" s="24" t="s">
        <v>548</v>
      </c>
      <c r="D302" s="24" t="s">
        <v>183</v>
      </c>
      <c r="E302" s="24" t="s">
        <v>168</v>
      </c>
      <c r="K302" s="81">
        <v>15</v>
      </c>
    </row>
    <row r="303" spans="1:11" x14ac:dyDescent="0.3">
      <c r="A303" s="123" t="s">
        <v>571</v>
      </c>
      <c r="B303" s="123" t="s">
        <v>75</v>
      </c>
      <c r="C303" s="123" t="s">
        <v>548</v>
      </c>
      <c r="D303" s="123" t="s">
        <v>183</v>
      </c>
      <c r="E303" s="123" t="s">
        <v>197</v>
      </c>
      <c r="K303" s="81">
        <v>15</v>
      </c>
    </row>
    <row r="304" spans="1:11" x14ac:dyDescent="0.3">
      <c r="A304" t="s">
        <v>572</v>
      </c>
      <c r="B304" t="s">
        <v>58</v>
      </c>
      <c r="C304" t="s">
        <v>573</v>
      </c>
      <c r="D304" t="s">
        <v>179</v>
      </c>
      <c r="E304" t="s">
        <v>168</v>
      </c>
      <c r="K304" s="81">
        <v>4</v>
      </c>
    </row>
    <row r="305" spans="1:11" x14ac:dyDescent="0.3">
      <c r="A305" t="s">
        <v>574</v>
      </c>
      <c r="B305" t="s">
        <v>62</v>
      </c>
      <c r="C305" t="s">
        <v>573</v>
      </c>
      <c r="D305" t="s">
        <v>179</v>
      </c>
      <c r="E305" t="s">
        <v>205</v>
      </c>
      <c r="K305" s="81">
        <v>9</v>
      </c>
    </row>
    <row r="306" spans="1:11" x14ac:dyDescent="0.3">
      <c r="A306" t="s">
        <v>575</v>
      </c>
      <c r="B306" t="s">
        <v>57</v>
      </c>
      <c r="C306" t="s">
        <v>573</v>
      </c>
      <c r="D306" t="s">
        <v>168</v>
      </c>
      <c r="E306" t="s">
        <v>176</v>
      </c>
      <c r="K306" s="81">
        <v>12.5</v>
      </c>
    </row>
    <row r="307" spans="1:11" x14ac:dyDescent="0.3">
      <c r="A307" t="s">
        <v>576</v>
      </c>
      <c r="B307" t="s">
        <v>71</v>
      </c>
      <c r="C307" t="s">
        <v>573</v>
      </c>
      <c r="D307" t="s">
        <v>179</v>
      </c>
      <c r="E307" t="s">
        <v>172</v>
      </c>
      <c r="K307" s="81">
        <v>5</v>
      </c>
    </row>
    <row r="308" spans="1:11" x14ac:dyDescent="0.3">
      <c r="A308" t="s">
        <v>577</v>
      </c>
      <c r="B308" t="s">
        <v>59</v>
      </c>
      <c r="C308" t="s">
        <v>573</v>
      </c>
      <c r="D308" t="s">
        <v>172</v>
      </c>
      <c r="E308" t="s">
        <v>189</v>
      </c>
      <c r="K308" s="81">
        <v>10</v>
      </c>
    </row>
    <row r="309" spans="1:11" x14ac:dyDescent="0.3">
      <c r="A309" t="s">
        <v>578</v>
      </c>
      <c r="B309" t="s">
        <v>56</v>
      </c>
      <c r="C309" t="s">
        <v>573</v>
      </c>
      <c r="D309" t="s">
        <v>179</v>
      </c>
      <c r="E309" t="s">
        <v>172</v>
      </c>
      <c r="K309" s="81">
        <v>5</v>
      </c>
    </row>
    <row r="310" spans="1:11" x14ac:dyDescent="0.3">
      <c r="A310" t="s">
        <v>579</v>
      </c>
      <c r="B310" t="s">
        <v>72</v>
      </c>
      <c r="C310" t="s">
        <v>573</v>
      </c>
      <c r="D310" t="s">
        <v>197</v>
      </c>
      <c r="E310" t="s">
        <v>172</v>
      </c>
      <c r="K310" s="81">
        <v>5</v>
      </c>
    </row>
    <row r="311" spans="1:11" x14ac:dyDescent="0.3">
      <c r="A311" t="s">
        <v>580</v>
      </c>
      <c r="B311" t="s">
        <v>54</v>
      </c>
      <c r="C311" t="s">
        <v>573</v>
      </c>
      <c r="D311" t="s">
        <v>179</v>
      </c>
      <c r="E311" t="s">
        <v>168</v>
      </c>
      <c r="K311" s="81">
        <v>4</v>
      </c>
    </row>
    <row r="312" spans="1:11" x14ac:dyDescent="0.3">
      <c r="A312" t="s">
        <v>581</v>
      </c>
      <c r="B312" t="s">
        <v>75</v>
      </c>
      <c r="C312" t="s">
        <v>573</v>
      </c>
      <c r="D312" t="s">
        <v>172</v>
      </c>
      <c r="E312" t="s">
        <v>179</v>
      </c>
      <c r="K312" s="81">
        <v>10</v>
      </c>
    </row>
    <row r="313" spans="1:11" x14ac:dyDescent="0.3">
      <c r="A313" t="s">
        <v>582</v>
      </c>
      <c r="B313" t="s">
        <v>66</v>
      </c>
      <c r="C313" t="s">
        <v>573</v>
      </c>
      <c r="D313" t="s">
        <v>179</v>
      </c>
      <c r="E313" t="s">
        <v>168</v>
      </c>
      <c r="K313" s="81">
        <v>4</v>
      </c>
    </row>
    <row r="314" spans="1:11" x14ac:dyDescent="0.3">
      <c r="A314" t="s">
        <v>583</v>
      </c>
      <c r="B314" t="s">
        <v>65</v>
      </c>
      <c r="C314" t="s">
        <v>573</v>
      </c>
      <c r="D314" t="s">
        <v>179</v>
      </c>
      <c r="E314" t="s">
        <v>174</v>
      </c>
      <c r="K314" s="81">
        <v>0</v>
      </c>
    </row>
    <row r="315" spans="1:11" x14ac:dyDescent="0.3">
      <c r="A315" t="s">
        <v>584</v>
      </c>
      <c r="B315" t="s">
        <v>53</v>
      </c>
      <c r="C315" t="s">
        <v>573</v>
      </c>
      <c r="D315" t="s">
        <v>179</v>
      </c>
      <c r="E315" t="s">
        <v>199</v>
      </c>
      <c r="K315" s="81">
        <v>6</v>
      </c>
    </row>
    <row r="316" spans="1:11" x14ac:dyDescent="0.3">
      <c r="A316" t="s">
        <v>585</v>
      </c>
      <c r="B316" t="s">
        <v>61</v>
      </c>
      <c r="C316" t="s">
        <v>573</v>
      </c>
      <c r="D316" t="s">
        <v>179</v>
      </c>
      <c r="E316" t="s">
        <v>197</v>
      </c>
      <c r="K316" s="81">
        <v>0.25</v>
      </c>
    </row>
    <row r="317" spans="1:11" x14ac:dyDescent="0.3">
      <c r="A317" t="s">
        <v>586</v>
      </c>
      <c r="B317" t="s">
        <v>70</v>
      </c>
      <c r="C317" t="s">
        <v>573</v>
      </c>
      <c r="D317" t="s">
        <v>171</v>
      </c>
      <c r="E317" t="s">
        <v>168</v>
      </c>
      <c r="K317" s="81">
        <v>4</v>
      </c>
    </row>
    <row r="318" spans="1:11" x14ac:dyDescent="0.3">
      <c r="A318" t="s">
        <v>587</v>
      </c>
      <c r="B318" t="s">
        <v>63</v>
      </c>
      <c r="C318" t="s">
        <v>573</v>
      </c>
      <c r="D318" t="s">
        <v>179</v>
      </c>
      <c r="E318" t="s">
        <v>168</v>
      </c>
      <c r="K318" s="81">
        <v>4</v>
      </c>
    </row>
    <row r="319" spans="1:11" x14ac:dyDescent="0.3">
      <c r="A319" t="s">
        <v>588</v>
      </c>
      <c r="B319" t="s">
        <v>68</v>
      </c>
      <c r="C319" t="s">
        <v>573</v>
      </c>
      <c r="D319" t="s">
        <v>179</v>
      </c>
      <c r="E319" t="s">
        <v>168</v>
      </c>
      <c r="K319" s="81">
        <v>4</v>
      </c>
    </row>
    <row r="320" spans="1:11" x14ac:dyDescent="0.3">
      <c r="A320" t="s">
        <v>589</v>
      </c>
      <c r="B320" t="s">
        <v>76</v>
      </c>
      <c r="C320" t="s">
        <v>573</v>
      </c>
      <c r="D320" t="s">
        <v>168</v>
      </c>
      <c r="E320" t="s">
        <v>172</v>
      </c>
      <c r="K320" s="81">
        <v>8</v>
      </c>
    </row>
    <row r="321" spans="1:11" x14ac:dyDescent="0.3">
      <c r="A321" t="s">
        <v>590</v>
      </c>
      <c r="B321" t="s">
        <v>51</v>
      </c>
      <c r="C321" t="s">
        <v>573</v>
      </c>
      <c r="D321" t="s">
        <v>172</v>
      </c>
      <c r="E321" t="s">
        <v>179</v>
      </c>
      <c r="K321" s="81">
        <v>10</v>
      </c>
    </row>
    <row r="322" spans="1:11" x14ac:dyDescent="0.3">
      <c r="A322" t="s">
        <v>591</v>
      </c>
      <c r="B322" t="s">
        <v>74</v>
      </c>
      <c r="C322" t="s">
        <v>573</v>
      </c>
      <c r="D322" t="s">
        <v>179</v>
      </c>
      <c r="E322" t="s">
        <v>172</v>
      </c>
      <c r="K322" s="81">
        <v>5</v>
      </c>
    </row>
    <row r="323" spans="1:11" x14ac:dyDescent="0.3">
      <c r="A323" t="s">
        <v>592</v>
      </c>
      <c r="B323" t="s">
        <v>64</v>
      </c>
      <c r="C323" t="s">
        <v>573</v>
      </c>
      <c r="D323" t="s">
        <v>179</v>
      </c>
      <c r="E323" t="s">
        <v>171</v>
      </c>
      <c r="K323" s="81">
        <v>0</v>
      </c>
    </row>
    <row r="324" spans="1:11" x14ac:dyDescent="0.3">
      <c r="A324" t="s">
        <v>593</v>
      </c>
      <c r="B324" t="s">
        <v>60</v>
      </c>
      <c r="C324" t="s">
        <v>573</v>
      </c>
      <c r="D324" t="s">
        <v>168</v>
      </c>
      <c r="E324" t="s">
        <v>199</v>
      </c>
      <c r="K324" s="81">
        <v>8</v>
      </c>
    </row>
    <row r="325" spans="1:11" x14ac:dyDescent="0.3">
      <c r="A325" t="s">
        <v>594</v>
      </c>
      <c r="B325" t="s">
        <v>67</v>
      </c>
      <c r="C325" t="s">
        <v>573</v>
      </c>
      <c r="D325" t="s">
        <v>179</v>
      </c>
      <c r="E325" t="s">
        <v>205</v>
      </c>
      <c r="K325" s="81">
        <v>9</v>
      </c>
    </row>
    <row r="326" spans="1:11" x14ac:dyDescent="0.3">
      <c r="A326" t="s">
        <v>595</v>
      </c>
      <c r="B326" t="s">
        <v>52</v>
      </c>
      <c r="C326" t="s">
        <v>573</v>
      </c>
      <c r="D326" t="s">
        <v>179</v>
      </c>
      <c r="E326" t="s">
        <v>495</v>
      </c>
      <c r="K326" s="81">
        <v>7.5</v>
      </c>
    </row>
    <row r="327" spans="1:11" x14ac:dyDescent="0.3">
      <c r="A327" s="123" t="s">
        <v>596</v>
      </c>
      <c r="B327" s="123" t="s">
        <v>55</v>
      </c>
      <c r="C327" s="123" t="s">
        <v>573</v>
      </c>
      <c r="D327" s="123" t="s">
        <v>172</v>
      </c>
      <c r="E327" s="123" t="s">
        <v>168</v>
      </c>
      <c r="K327" s="81">
        <v>10</v>
      </c>
    </row>
    <row r="328" spans="1:11" x14ac:dyDescent="0.3">
      <c r="A328" t="s">
        <v>598</v>
      </c>
      <c r="B328" t="s">
        <v>66</v>
      </c>
      <c r="C328" t="s">
        <v>599</v>
      </c>
      <c r="D328" t="s">
        <v>171</v>
      </c>
      <c r="E328" t="s">
        <v>197</v>
      </c>
      <c r="K328" s="81">
        <v>2</v>
      </c>
    </row>
    <row r="329" spans="1:11" x14ac:dyDescent="0.3">
      <c r="A329" t="s">
        <v>600</v>
      </c>
      <c r="B329" t="s">
        <v>75</v>
      </c>
      <c r="C329" t="s">
        <v>599</v>
      </c>
      <c r="D329" t="s">
        <v>197</v>
      </c>
      <c r="E329" t="s">
        <v>187</v>
      </c>
      <c r="K329" s="81">
        <v>4</v>
      </c>
    </row>
    <row r="330" spans="1:11" x14ac:dyDescent="0.3">
      <c r="A330" t="s">
        <v>601</v>
      </c>
      <c r="B330" t="s">
        <v>62</v>
      </c>
      <c r="C330" t="s">
        <v>599</v>
      </c>
      <c r="D330" t="s">
        <v>171</v>
      </c>
      <c r="E330" t="s">
        <v>197</v>
      </c>
      <c r="K330" s="81">
        <v>2</v>
      </c>
    </row>
    <row r="331" spans="1:11" x14ac:dyDescent="0.3">
      <c r="A331" t="s">
        <v>602</v>
      </c>
      <c r="B331" t="s">
        <v>57</v>
      </c>
      <c r="C331" t="s">
        <v>599</v>
      </c>
      <c r="D331" t="s">
        <v>174</v>
      </c>
      <c r="E331" t="s">
        <v>219</v>
      </c>
      <c r="K331" s="81">
        <v>12.5</v>
      </c>
    </row>
    <row r="332" spans="1:11" x14ac:dyDescent="0.3">
      <c r="A332" t="s">
        <v>603</v>
      </c>
      <c r="B332" t="s">
        <v>54</v>
      </c>
      <c r="C332" t="s">
        <v>599</v>
      </c>
      <c r="D332" t="s">
        <v>171</v>
      </c>
      <c r="E332" t="s">
        <v>197</v>
      </c>
      <c r="K332" s="81">
        <v>2</v>
      </c>
    </row>
    <row r="333" spans="1:11" x14ac:dyDescent="0.3">
      <c r="A333" t="s">
        <v>604</v>
      </c>
      <c r="B333" t="s">
        <v>72</v>
      </c>
      <c r="C333" t="s">
        <v>599</v>
      </c>
      <c r="D333" t="s">
        <v>197</v>
      </c>
      <c r="E333" t="s">
        <v>171</v>
      </c>
      <c r="K333" s="81">
        <v>4</v>
      </c>
    </row>
    <row r="334" spans="1:11" x14ac:dyDescent="0.3">
      <c r="A334" t="s">
        <v>605</v>
      </c>
      <c r="B334" t="s">
        <v>58</v>
      </c>
      <c r="C334" t="s">
        <v>599</v>
      </c>
      <c r="D334" t="s">
        <v>171</v>
      </c>
      <c r="E334" t="s">
        <v>174</v>
      </c>
      <c r="K334" s="81">
        <v>3</v>
      </c>
    </row>
    <row r="335" spans="1:11" x14ac:dyDescent="0.3">
      <c r="A335" t="s">
        <v>606</v>
      </c>
      <c r="B335" t="s">
        <v>70</v>
      </c>
      <c r="C335" t="s">
        <v>599</v>
      </c>
      <c r="D335" t="s">
        <v>172</v>
      </c>
      <c r="E335" t="s">
        <v>171</v>
      </c>
      <c r="K335" s="81">
        <v>8</v>
      </c>
    </row>
    <row r="336" spans="1:11" x14ac:dyDescent="0.3">
      <c r="A336" t="s">
        <v>607</v>
      </c>
      <c r="B336" t="s">
        <v>59</v>
      </c>
      <c r="C336" t="s">
        <v>599</v>
      </c>
      <c r="D336" t="s">
        <v>168</v>
      </c>
      <c r="E336" t="s">
        <v>495</v>
      </c>
      <c r="K336" s="81">
        <v>15</v>
      </c>
    </row>
    <row r="337" spans="1:11" x14ac:dyDescent="0.3">
      <c r="A337" t="s">
        <v>608</v>
      </c>
      <c r="B337" t="s">
        <v>71</v>
      </c>
      <c r="C337" t="s">
        <v>599</v>
      </c>
      <c r="D337" t="s">
        <v>171</v>
      </c>
      <c r="E337" t="s">
        <v>174</v>
      </c>
      <c r="K337" s="81">
        <v>3</v>
      </c>
    </row>
    <row r="338" spans="1:11" x14ac:dyDescent="0.3">
      <c r="A338" t="s">
        <v>609</v>
      </c>
      <c r="B338" t="s">
        <v>56</v>
      </c>
      <c r="C338" t="s">
        <v>599</v>
      </c>
      <c r="D338" t="s">
        <v>219</v>
      </c>
      <c r="E338" t="s">
        <v>171</v>
      </c>
      <c r="K338" s="81">
        <v>25</v>
      </c>
    </row>
    <row r="339" spans="1:11" x14ac:dyDescent="0.3">
      <c r="A339" t="s">
        <v>610</v>
      </c>
      <c r="B339" t="s">
        <v>76</v>
      </c>
      <c r="C339" t="s">
        <v>599</v>
      </c>
      <c r="D339" t="s">
        <v>171</v>
      </c>
      <c r="E339" t="s">
        <v>168</v>
      </c>
      <c r="K339" s="81">
        <v>7.5</v>
      </c>
    </row>
    <row r="340" spans="1:11" x14ac:dyDescent="0.3">
      <c r="A340" t="s">
        <v>611</v>
      </c>
      <c r="B340" t="s">
        <v>53</v>
      </c>
      <c r="C340" t="s">
        <v>599</v>
      </c>
      <c r="D340" t="s">
        <v>171</v>
      </c>
      <c r="E340" t="s">
        <v>174</v>
      </c>
      <c r="K340" s="81">
        <v>3</v>
      </c>
    </row>
    <row r="341" spans="1:11" x14ac:dyDescent="0.3">
      <c r="A341" t="s">
        <v>612</v>
      </c>
      <c r="B341" t="s">
        <v>51</v>
      </c>
      <c r="C341" t="s">
        <v>599</v>
      </c>
      <c r="D341" t="s">
        <v>174</v>
      </c>
      <c r="E341" t="s">
        <v>168</v>
      </c>
      <c r="K341" s="81">
        <v>7.5</v>
      </c>
    </row>
    <row r="342" spans="1:11" x14ac:dyDescent="0.3">
      <c r="A342" t="s">
        <v>613</v>
      </c>
      <c r="B342" t="s">
        <v>60</v>
      </c>
      <c r="C342" t="s">
        <v>599</v>
      </c>
      <c r="D342" t="s">
        <v>234</v>
      </c>
      <c r="E342" t="s">
        <v>197</v>
      </c>
      <c r="K342" s="81">
        <v>12</v>
      </c>
    </row>
    <row r="343" spans="1:11" x14ac:dyDescent="0.3">
      <c r="A343" t="s">
        <v>614</v>
      </c>
      <c r="B343" t="s">
        <v>52</v>
      </c>
      <c r="C343" t="s">
        <v>599</v>
      </c>
      <c r="D343" t="s">
        <v>219</v>
      </c>
      <c r="E343" t="s">
        <v>495</v>
      </c>
      <c r="K343" s="81">
        <v>25</v>
      </c>
    </row>
    <row r="344" spans="1:11" x14ac:dyDescent="0.3">
      <c r="A344" t="s">
        <v>615</v>
      </c>
      <c r="B344" t="s">
        <v>55</v>
      </c>
      <c r="C344" t="s">
        <v>599</v>
      </c>
      <c r="D344" t="s">
        <v>171</v>
      </c>
      <c r="E344" t="s">
        <v>495</v>
      </c>
      <c r="K344" s="81">
        <f>18/2</f>
        <v>9</v>
      </c>
    </row>
    <row r="345" spans="1:11" x14ac:dyDescent="0.3">
      <c r="A345" t="s">
        <v>616</v>
      </c>
      <c r="B345" t="s">
        <v>61</v>
      </c>
      <c r="C345" t="s">
        <v>599</v>
      </c>
      <c r="D345" t="s">
        <v>197</v>
      </c>
      <c r="E345" t="s">
        <v>171</v>
      </c>
      <c r="K345" s="81">
        <v>4</v>
      </c>
    </row>
    <row r="346" spans="1:11" x14ac:dyDescent="0.3">
      <c r="A346" t="s">
        <v>617</v>
      </c>
      <c r="B346" t="s">
        <v>69</v>
      </c>
      <c r="C346" t="s">
        <v>599</v>
      </c>
      <c r="D346" t="s">
        <v>172</v>
      </c>
      <c r="E346" t="s">
        <v>197</v>
      </c>
      <c r="K346" s="81">
        <v>8</v>
      </c>
    </row>
    <row r="347" spans="1:11" x14ac:dyDescent="0.3">
      <c r="A347" t="s">
        <v>618</v>
      </c>
      <c r="B347" t="s">
        <v>64</v>
      </c>
      <c r="C347" t="s">
        <v>599</v>
      </c>
      <c r="D347" t="s">
        <v>172</v>
      </c>
      <c r="E347" t="s">
        <v>179</v>
      </c>
      <c r="K347" s="81">
        <v>8</v>
      </c>
    </row>
    <row r="348" spans="1:11" x14ac:dyDescent="0.3">
      <c r="A348" t="s">
        <v>619</v>
      </c>
      <c r="B348" t="s">
        <v>74</v>
      </c>
      <c r="C348" t="s">
        <v>599</v>
      </c>
      <c r="D348" t="s">
        <v>197</v>
      </c>
      <c r="E348" t="s">
        <v>179</v>
      </c>
      <c r="K348" s="81">
        <v>4</v>
      </c>
    </row>
    <row r="349" spans="1:11" x14ac:dyDescent="0.3">
      <c r="A349" t="s">
        <v>620</v>
      </c>
      <c r="B349" t="s">
        <v>74</v>
      </c>
      <c r="C349" t="s">
        <v>599</v>
      </c>
      <c r="D349" t="s">
        <v>197</v>
      </c>
      <c r="E349" t="s">
        <v>179</v>
      </c>
      <c r="K349" s="81">
        <v>4</v>
      </c>
    </row>
    <row r="350" spans="1:11" x14ac:dyDescent="0.3">
      <c r="A350" t="s">
        <v>621</v>
      </c>
      <c r="B350" t="s">
        <v>67</v>
      </c>
      <c r="C350" t="s">
        <v>599</v>
      </c>
      <c r="D350" t="s">
        <v>171</v>
      </c>
      <c r="E350" t="s">
        <v>174</v>
      </c>
      <c r="K350" s="81">
        <v>3</v>
      </c>
    </row>
    <row r="351" spans="1:11" x14ac:dyDescent="0.3">
      <c r="A351" t="s">
        <v>622</v>
      </c>
      <c r="B351" t="s">
        <v>68</v>
      </c>
      <c r="C351" t="s">
        <v>599</v>
      </c>
      <c r="D351" t="s">
        <v>168</v>
      </c>
      <c r="E351" t="s">
        <v>197</v>
      </c>
      <c r="K351" s="81">
        <v>15</v>
      </c>
    </row>
    <row r="352" spans="1:11" x14ac:dyDescent="0.3">
      <c r="A352" s="123" t="s">
        <v>623</v>
      </c>
      <c r="B352" s="123" t="s">
        <v>63</v>
      </c>
      <c r="C352" s="123" t="s">
        <v>599</v>
      </c>
      <c r="D352" s="123" t="s">
        <v>179</v>
      </c>
      <c r="E352" s="123" t="s">
        <v>171</v>
      </c>
      <c r="K352" s="81">
        <v>0</v>
      </c>
    </row>
    <row r="353" spans="1:11" x14ac:dyDescent="0.3">
      <c r="A353" t="s">
        <v>624</v>
      </c>
      <c r="B353" t="s">
        <v>59</v>
      </c>
      <c r="C353" t="s">
        <v>625</v>
      </c>
      <c r="D353" t="s">
        <v>570</v>
      </c>
      <c r="E353" t="s">
        <v>189</v>
      </c>
      <c r="K353" s="81">
        <v>15</v>
      </c>
    </row>
    <row r="354" spans="1:11" x14ac:dyDescent="0.3">
      <c r="A354" t="s">
        <v>626</v>
      </c>
      <c r="B354" t="s">
        <v>69</v>
      </c>
      <c r="C354" t="s">
        <v>625</v>
      </c>
      <c r="D354" t="s">
        <v>197</v>
      </c>
      <c r="E354" t="s">
        <v>172</v>
      </c>
      <c r="K354" s="81">
        <v>18</v>
      </c>
    </row>
    <row r="355" spans="1:11" x14ac:dyDescent="0.3">
      <c r="A355" t="s">
        <v>627</v>
      </c>
      <c r="B355" t="s">
        <v>62</v>
      </c>
      <c r="C355" t="s">
        <v>625</v>
      </c>
      <c r="D355" t="s">
        <v>628</v>
      </c>
      <c r="E355" t="s">
        <v>570</v>
      </c>
      <c r="K355" s="81">
        <v>10</v>
      </c>
    </row>
    <row r="356" spans="1:11" x14ac:dyDescent="0.3">
      <c r="A356" t="s">
        <v>629</v>
      </c>
      <c r="B356" t="s">
        <v>66</v>
      </c>
      <c r="C356" t="s">
        <v>625</v>
      </c>
      <c r="D356" t="s">
        <v>197</v>
      </c>
      <c r="E356" t="s">
        <v>628</v>
      </c>
      <c r="K356" s="81">
        <v>18</v>
      </c>
    </row>
    <row r="357" spans="1:11" x14ac:dyDescent="0.3">
      <c r="A357" t="s">
        <v>630</v>
      </c>
      <c r="B357" t="s">
        <v>75</v>
      </c>
      <c r="C357" t="s">
        <v>625</v>
      </c>
      <c r="D357" t="s">
        <v>570</v>
      </c>
      <c r="E357" t="s">
        <v>171</v>
      </c>
      <c r="K357" s="81">
        <v>15</v>
      </c>
    </row>
    <row r="358" spans="1:11" x14ac:dyDescent="0.3">
      <c r="A358" t="s">
        <v>631</v>
      </c>
      <c r="B358" t="s">
        <v>72</v>
      </c>
      <c r="C358" t="s">
        <v>625</v>
      </c>
      <c r="D358" t="s">
        <v>628</v>
      </c>
      <c r="E358" t="s">
        <v>171</v>
      </c>
      <c r="K358" s="81">
        <v>12.5</v>
      </c>
    </row>
    <row r="359" spans="1:11" x14ac:dyDescent="0.3">
      <c r="A359" t="s">
        <v>632</v>
      </c>
      <c r="B359" t="s">
        <v>57</v>
      </c>
      <c r="C359" t="s">
        <v>625</v>
      </c>
      <c r="D359" t="s">
        <v>197</v>
      </c>
      <c r="E359" t="s">
        <v>171</v>
      </c>
      <c r="K359" s="81">
        <v>18</v>
      </c>
    </row>
    <row r="360" spans="1:11" x14ac:dyDescent="0.3">
      <c r="A360" t="s">
        <v>633</v>
      </c>
      <c r="B360" t="s">
        <v>56</v>
      </c>
      <c r="C360" t="s">
        <v>625</v>
      </c>
      <c r="D360" t="s">
        <v>628</v>
      </c>
      <c r="E360" t="s">
        <v>168</v>
      </c>
      <c r="K360" s="81">
        <v>10</v>
      </c>
    </row>
    <row r="361" spans="1:11" x14ac:dyDescent="0.3">
      <c r="A361" t="s">
        <v>634</v>
      </c>
      <c r="B361" t="s">
        <v>71</v>
      </c>
      <c r="C361" t="s">
        <v>625</v>
      </c>
      <c r="D361" t="s">
        <v>197</v>
      </c>
      <c r="E361" t="s">
        <v>168</v>
      </c>
      <c r="K361" s="81">
        <v>18</v>
      </c>
    </row>
    <row r="362" spans="1:11" x14ac:dyDescent="0.3">
      <c r="A362" t="s">
        <v>635</v>
      </c>
      <c r="B362" t="s">
        <v>70</v>
      </c>
      <c r="C362" t="s">
        <v>625</v>
      </c>
      <c r="D362" t="s">
        <v>183</v>
      </c>
      <c r="E362" t="s">
        <v>176</v>
      </c>
      <c r="K362" s="81">
        <v>0</v>
      </c>
    </row>
    <row r="363" spans="1:11" x14ac:dyDescent="0.3">
      <c r="A363" t="s">
        <v>636</v>
      </c>
      <c r="B363" t="s">
        <v>53</v>
      </c>
      <c r="C363" t="s">
        <v>625</v>
      </c>
      <c r="D363" t="s">
        <v>628</v>
      </c>
      <c r="E363" t="s">
        <v>197</v>
      </c>
      <c r="K363" s="81">
        <v>10</v>
      </c>
    </row>
    <row r="364" spans="1:11" x14ac:dyDescent="0.3">
      <c r="A364" t="s">
        <v>637</v>
      </c>
      <c r="B364" t="s">
        <v>76</v>
      </c>
      <c r="C364" t="s">
        <v>625</v>
      </c>
      <c r="D364" t="s">
        <v>197</v>
      </c>
      <c r="E364" t="s">
        <v>169</v>
      </c>
      <c r="K364" s="81">
        <v>18</v>
      </c>
    </row>
    <row r="365" spans="1:11" x14ac:dyDescent="0.3">
      <c r="A365" t="s">
        <v>638</v>
      </c>
      <c r="B365" t="s">
        <v>51</v>
      </c>
      <c r="C365" t="s">
        <v>625</v>
      </c>
      <c r="D365" t="s">
        <v>168</v>
      </c>
      <c r="E365" t="s">
        <v>570</v>
      </c>
      <c r="K365" s="81">
        <v>7.5</v>
      </c>
    </row>
    <row r="366" spans="1:11" x14ac:dyDescent="0.3">
      <c r="A366" t="s">
        <v>639</v>
      </c>
      <c r="B366" t="s">
        <v>61</v>
      </c>
      <c r="C366" t="s">
        <v>625</v>
      </c>
      <c r="D366" t="s">
        <v>628</v>
      </c>
      <c r="E366" t="s">
        <v>171</v>
      </c>
      <c r="K366" s="81">
        <v>12.5</v>
      </c>
    </row>
    <row r="367" spans="1:11" x14ac:dyDescent="0.3">
      <c r="A367" t="s">
        <v>640</v>
      </c>
      <c r="B367" t="s">
        <v>58</v>
      </c>
      <c r="C367" t="s">
        <v>625</v>
      </c>
      <c r="D367" t="s">
        <v>570</v>
      </c>
      <c r="E367" t="s">
        <v>197</v>
      </c>
      <c r="K367" s="81">
        <v>15</v>
      </c>
    </row>
    <row r="368" spans="1:11" x14ac:dyDescent="0.3">
      <c r="A368" t="s">
        <v>641</v>
      </c>
      <c r="B368" t="s">
        <v>74</v>
      </c>
      <c r="C368" t="s">
        <v>625</v>
      </c>
      <c r="D368" t="s">
        <v>628</v>
      </c>
      <c r="E368" t="s">
        <v>570</v>
      </c>
      <c r="K368" s="81">
        <v>10</v>
      </c>
    </row>
    <row r="369" spans="1:11" x14ac:dyDescent="0.3">
      <c r="A369" t="s">
        <v>642</v>
      </c>
      <c r="B369" t="s">
        <v>54</v>
      </c>
      <c r="C369" t="s">
        <v>625</v>
      </c>
      <c r="D369" t="s">
        <v>570</v>
      </c>
      <c r="E369" t="s">
        <v>628</v>
      </c>
      <c r="K369" s="81">
        <v>15</v>
      </c>
    </row>
    <row r="370" spans="1:11" x14ac:dyDescent="0.3">
      <c r="A370" t="s">
        <v>643</v>
      </c>
      <c r="B370" t="s">
        <v>64</v>
      </c>
      <c r="C370" t="s">
        <v>625</v>
      </c>
      <c r="D370" t="s">
        <v>628</v>
      </c>
      <c r="E370" t="s">
        <v>570</v>
      </c>
      <c r="K370" s="81">
        <v>10</v>
      </c>
    </row>
    <row r="371" spans="1:11" x14ac:dyDescent="0.3">
      <c r="A371" t="s">
        <v>644</v>
      </c>
      <c r="B371" t="s">
        <v>73</v>
      </c>
      <c r="C371" t="s">
        <v>625</v>
      </c>
      <c r="D371" t="s">
        <v>197</v>
      </c>
      <c r="E371" t="s">
        <v>628</v>
      </c>
      <c r="K371" s="81">
        <v>18</v>
      </c>
    </row>
    <row r="372" spans="1:11" x14ac:dyDescent="0.3">
      <c r="A372" t="s">
        <v>645</v>
      </c>
      <c r="B372" t="s">
        <v>68</v>
      </c>
      <c r="C372" t="s">
        <v>625</v>
      </c>
      <c r="D372" t="s">
        <v>628</v>
      </c>
      <c r="E372" t="s">
        <v>570</v>
      </c>
      <c r="K372" s="81">
        <v>10</v>
      </c>
    </row>
    <row r="373" spans="1:11" x14ac:dyDescent="0.3">
      <c r="A373" t="s">
        <v>646</v>
      </c>
      <c r="B373" t="s">
        <v>67</v>
      </c>
      <c r="C373" t="s">
        <v>625</v>
      </c>
      <c r="D373" t="s">
        <v>197</v>
      </c>
      <c r="E373" t="s">
        <v>205</v>
      </c>
      <c r="K373" s="81">
        <v>18</v>
      </c>
    </row>
    <row r="374" spans="1:11" x14ac:dyDescent="0.3">
      <c r="A374" t="s">
        <v>647</v>
      </c>
      <c r="B374" t="s">
        <v>52</v>
      </c>
      <c r="C374" t="s">
        <v>625</v>
      </c>
      <c r="D374" t="s">
        <v>570</v>
      </c>
      <c r="E374" t="s">
        <v>197</v>
      </c>
      <c r="K374" s="81">
        <v>15</v>
      </c>
    </row>
    <row r="375" spans="1:11" x14ac:dyDescent="0.3">
      <c r="A375" s="123" t="s">
        <v>648</v>
      </c>
      <c r="B375" s="123" t="s">
        <v>55</v>
      </c>
      <c r="C375" s="123" t="s">
        <v>625</v>
      </c>
      <c r="D375" s="123" t="s">
        <v>197</v>
      </c>
      <c r="E375" s="123" t="s">
        <v>168</v>
      </c>
      <c r="K375" s="81">
        <v>18</v>
      </c>
    </row>
    <row r="376" spans="1:11" x14ac:dyDescent="0.3">
      <c r="A376" t="s">
        <v>649</v>
      </c>
      <c r="B376" t="s">
        <v>57</v>
      </c>
      <c r="C376" t="s">
        <v>650</v>
      </c>
      <c r="D376" t="s">
        <v>176</v>
      </c>
      <c r="E376" t="s">
        <v>171</v>
      </c>
      <c r="K376" s="81">
        <v>12</v>
      </c>
    </row>
    <row r="377" spans="1:11" x14ac:dyDescent="0.3">
      <c r="A377" t="s">
        <v>651</v>
      </c>
      <c r="B377" t="s">
        <v>75</v>
      </c>
      <c r="C377" t="s">
        <v>650</v>
      </c>
      <c r="D377" t="s">
        <v>176</v>
      </c>
      <c r="E377" t="s">
        <v>205</v>
      </c>
      <c r="K377" s="81">
        <v>12</v>
      </c>
    </row>
    <row r="378" spans="1:11" x14ac:dyDescent="0.3">
      <c r="A378" t="s">
        <v>652</v>
      </c>
      <c r="B378" t="s">
        <v>66</v>
      </c>
      <c r="C378" t="s">
        <v>650</v>
      </c>
      <c r="D378" t="s">
        <v>171</v>
      </c>
      <c r="E378" t="s">
        <v>628</v>
      </c>
      <c r="K378" s="81">
        <v>8</v>
      </c>
    </row>
    <row r="379" spans="1:11" x14ac:dyDescent="0.3">
      <c r="A379" t="s">
        <v>653</v>
      </c>
      <c r="B379" t="s">
        <v>56</v>
      </c>
      <c r="C379" t="s">
        <v>650</v>
      </c>
      <c r="D379" t="s">
        <v>176</v>
      </c>
      <c r="E379" t="s">
        <v>628</v>
      </c>
      <c r="K379" s="81">
        <v>12</v>
      </c>
    </row>
    <row r="380" spans="1:11" x14ac:dyDescent="0.3">
      <c r="A380" t="s">
        <v>654</v>
      </c>
      <c r="B380" t="s">
        <v>71</v>
      </c>
      <c r="C380" t="s">
        <v>650</v>
      </c>
      <c r="D380" t="s">
        <v>197</v>
      </c>
      <c r="E380" t="s">
        <v>628</v>
      </c>
      <c r="K380" s="81">
        <v>10</v>
      </c>
    </row>
    <row r="381" spans="1:11" x14ac:dyDescent="0.3">
      <c r="A381" t="s">
        <v>655</v>
      </c>
      <c r="B381" t="s">
        <v>61</v>
      </c>
      <c r="C381" t="s">
        <v>650</v>
      </c>
      <c r="D381" t="s">
        <v>176</v>
      </c>
      <c r="E381" t="s">
        <v>168</v>
      </c>
      <c r="K381" s="81">
        <v>12</v>
      </c>
    </row>
    <row r="382" spans="1:11" x14ac:dyDescent="0.3">
      <c r="A382" t="s">
        <v>656</v>
      </c>
      <c r="B382" t="s">
        <v>76</v>
      </c>
      <c r="C382" t="s">
        <v>650</v>
      </c>
      <c r="D382" t="s">
        <v>168</v>
      </c>
      <c r="E382" t="s">
        <v>183</v>
      </c>
      <c r="K382" s="81">
        <v>7.5</v>
      </c>
    </row>
    <row r="383" spans="1:11" x14ac:dyDescent="0.3">
      <c r="A383" t="s">
        <v>657</v>
      </c>
      <c r="B383" t="s">
        <v>54</v>
      </c>
      <c r="C383" t="s">
        <v>650</v>
      </c>
      <c r="D383" t="s">
        <v>197</v>
      </c>
      <c r="E383" t="s">
        <v>183</v>
      </c>
      <c r="K383" s="81">
        <v>10</v>
      </c>
    </row>
    <row r="384" spans="1:11" x14ac:dyDescent="0.3">
      <c r="A384" t="s">
        <v>658</v>
      </c>
      <c r="B384" t="s">
        <v>72</v>
      </c>
      <c r="C384" t="s">
        <v>650</v>
      </c>
      <c r="D384" t="s">
        <v>197</v>
      </c>
      <c r="E384" t="s">
        <v>171</v>
      </c>
      <c r="K384" s="81">
        <v>10</v>
      </c>
    </row>
    <row r="385" spans="1:11" x14ac:dyDescent="0.3">
      <c r="A385" t="s">
        <v>659</v>
      </c>
      <c r="B385" t="s">
        <v>59</v>
      </c>
      <c r="C385" t="s">
        <v>650</v>
      </c>
      <c r="D385" t="s">
        <v>171</v>
      </c>
      <c r="E385" t="s">
        <v>628</v>
      </c>
      <c r="K385" s="81">
        <v>8</v>
      </c>
    </row>
    <row r="386" spans="1:11" x14ac:dyDescent="0.3">
      <c r="A386" t="s">
        <v>660</v>
      </c>
      <c r="B386" t="s">
        <v>70</v>
      </c>
      <c r="C386" t="s">
        <v>650</v>
      </c>
      <c r="D386" t="s">
        <v>171</v>
      </c>
      <c r="E386" t="s">
        <v>172</v>
      </c>
      <c r="K386" s="81">
        <v>8</v>
      </c>
    </row>
    <row r="387" spans="1:11" x14ac:dyDescent="0.3">
      <c r="A387" t="s">
        <v>661</v>
      </c>
      <c r="B387" t="s">
        <v>69</v>
      </c>
      <c r="C387" t="s">
        <v>650</v>
      </c>
      <c r="D387" t="s">
        <v>183</v>
      </c>
      <c r="E387" t="s">
        <v>197</v>
      </c>
      <c r="K387" s="81">
        <v>15</v>
      </c>
    </row>
    <row r="388" spans="1:11" x14ac:dyDescent="0.3">
      <c r="A388" t="s">
        <v>662</v>
      </c>
      <c r="B388" t="s">
        <v>58</v>
      </c>
      <c r="C388" t="s">
        <v>650</v>
      </c>
      <c r="D388" t="s">
        <v>176</v>
      </c>
      <c r="E388" t="s">
        <v>171</v>
      </c>
      <c r="K388" s="81">
        <v>12</v>
      </c>
    </row>
    <row r="389" spans="1:11" x14ac:dyDescent="0.3">
      <c r="A389" t="s">
        <v>663</v>
      </c>
      <c r="B389" t="s">
        <v>53</v>
      </c>
      <c r="C389" t="s">
        <v>650</v>
      </c>
      <c r="D389" t="s">
        <v>628</v>
      </c>
      <c r="E389" t="s">
        <v>176</v>
      </c>
      <c r="K389" s="81">
        <v>6</v>
      </c>
    </row>
    <row r="390" spans="1:11" x14ac:dyDescent="0.3">
      <c r="A390" t="s">
        <v>664</v>
      </c>
      <c r="B390" t="s">
        <v>63</v>
      </c>
      <c r="C390" t="s">
        <v>650</v>
      </c>
      <c r="D390" t="s">
        <v>197</v>
      </c>
      <c r="E390" t="s">
        <v>171</v>
      </c>
      <c r="K390" s="81">
        <v>10</v>
      </c>
    </row>
    <row r="391" spans="1:11" x14ac:dyDescent="0.3">
      <c r="A391" t="s">
        <v>665</v>
      </c>
      <c r="B391" t="s">
        <v>62</v>
      </c>
      <c r="C391" t="s">
        <v>650</v>
      </c>
      <c r="D391" t="s">
        <v>628</v>
      </c>
      <c r="E391" t="s">
        <v>176</v>
      </c>
      <c r="K391" s="81">
        <v>6</v>
      </c>
    </row>
    <row r="392" spans="1:11" x14ac:dyDescent="0.3">
      <c r="A392" t="s">
        <v>666</v>
      </c>
      <c r="B392" t="s">
        <v>51</v>
      </c>
      <c r="C392" t="s">
        <v>650</v>
      </c>
      <c r="D392" t="s">
        <v>628</v>
      </c>
      <c r="E392" t="s">
        <v>171</v>
      </c>
      <c r="K392" s="81">
        <v>4</v>
      </c>
    </row>
    <row r="393" spans="1:11" x14ac:dyDescent="0.3">
      <c r="A393" t="s">
        <v>667</v>
      </c>
      <c r="B393" t="s">
        <v>60</v>
      </c>
      <c r="C393" t="s">
        <v>650</v>
      </c>
      <c r="D393" t="s">
        <v>176</v>
      </c>
      <c r="E393" t="s">
        <v>171</v>
      </c>
      <c r="K393" s="81">
        <v>12</v>
      </c>
    </row>
    <row r="394" spans="1:11" x14ac:dyDescent="0.3">
      <c r="A394" t="s">
        <v>668</v>
      </c>
      <c r="B394" t="s">
        <v>73</v>
      </c>
      <c r="C394" t="s">
        <v>650</v>
      </c>
      <c r="D394" t="s">
        <v>628</v>
      </c>
      <c r="E394" t="s">
        <v>168</v>
      </c>
      <c r="K394" s="81">
        <v>3</v>
      </c>
    </row>
    <row r="395" spans="1:11" x14ac:dyDescent="0.3">
      <c r="A395" t="s">
        <v>669</v>
      </c>
      <c r="B395" t="s">
        <v>68</v>
      </c>
      <c r="C395" t="s">
        <v>650</v>
      </c>
      <c r="D395" t="s">
        <v>174</v>
      </c>
      <c r="E395" t="s">
        <v>171</v>
      </c>
      <c r="K395" s="81">
        <v>4</v>
      </c>
    </row>
    <row r="396" spans="1:11" x14ac:dyDescent="0.3">
      <c r="A396" t="s">
        <v>670</v>
      </c>
      <c r="B396" t="s">
        <v>74</v>
      </c>
      <c r="C396" t="s">
        <v>650</v>
      </c>
      <c r="D396" t="s">
        <v>628</v>
      </c>
      <c r="E396" t="s">
        <v>171</v>
      </c>
      <c r="K396" s="81">
        <v>4</v>
      </c>
    </row>
    <row r="397" spans="1:11" x14ac:dyDescent="0.3">
      <c r="A397" t="s">
        <v>671</v>
      </c>
      <c r="B397" t="s">
        <v>64</v>
      </c>
      <c r="C397" t="s">
        <v>650</v>
      </c>
      <c r="D397" t="s">
        <v>234</v>
      </c>
      <c r="E397" t="s">
        <v>171</v>
      </c>
      <c r="K397" s="81">
        <v>25</v>
      </c>
    </row>
    <row r="398" spans="1:11" x14ac:dyDescent="0.3">
      <c r="A398" t="s">
        <v>672</v>
      </c>
      <c r="B398" t="s">
        <v>52</v>
      </c>
      <c r="C398" t="s">
        <v>650</v>
      </c>
      <c r="D398" t="s">
        <v>197</v>
      </c>
      <c r="E398" t="s">
        <v>176</v>
      </c>
      <c r="K398" s="81">
        <v>10</v>
      </c>
    </row>
    <row r="399" spans="1:11" x14ac:dyDescent="0.3">
      <c r="A399" t="s">
        <v>673</v>
      </c>
      <c r="B399" t="s">
        <v>67</v>
      </c>
      <c r="C399" t="s">
        <v>650</v>
      </c>
      <c r="D399" t="s">
        <v>171</v>
      </c>
      <c r="E399" t="s">
        <v>197</v>
      </c>
      <c r="K399" s="81">
        <v>8</v>
      </c>
    </row>
    <row r="400" spans="1:11" x14ac:dyDescent="0.3">
      <c r="A400" s="123" t="s">
        <v>674</v>
      </c>
      <c r="B400" s="123" t="s">
        <v>55</v>
      </c>
      <c r="C400" s="123" t="s">
        <v>650</v>
      </c>
      <c r="D400" s="123" t="s">
        <v>171</v>
      </c>
      <c r="E400" s="123" t="s">
        <v>168</v>
      </c>
      <c r="K400" s="81">
        <v>8</v>
      </c>
    </row>
    <row r="401" spans="1:11" x14ac:dyDescent="0.3">
      <c r="A401" t="s">
        <v>675</v>
      </c>
      <c r="B401" t="s">
        <v>57</v>
      </c>
      <c r="C401" t="s">
        <v>676</v>
      </c>
      <c r="D401" t="s">
        <v>176</v>
      </c>
      <c r="E401" t="s">
        <v>628</v>
      </c>
      <c r="K401" s="81">
        <v>10</v>
      </c>
    </row>
    <row r="402" spans="1:11" x14ac:dyDescent="0.3">
      <c r="A402" t="s">
        <v>677</v>
      </c>
      <c r="B402" t="s">
        <v>56</v>
      </c>
      <c r="C402" t="s">
        <v>676</v>
      </c>
      <c r="D402" t="s">
        <v>171</v>
      </c>
      <c r="E402" t="s">
        <v>628</v>
      </c>
      <c r="K402" s="81">
        <v>6</v>
      </c>
    </row>
    <row r="403" spans="1:11" x14ac:dyDescent="0.3">
      <c r="A403" t="s">
        <v>678</v>
      </c>
      <c r="B403" t="s">
        <v>71</v>
      </c>
      <c r="C403" t="s">
        <v>676</v>
      </c>
      <c r="D403" t="s">
        <v>171</v>
      </c>
      <c r="E403" t="s">
        <v>628</v>
      </c>
      <c r="K403" s="81">
        <v>6</v>
      </c>
    </row>
    <row r="404" spans="1:11" x14ac:dyDescent="0.3">
      <c r="A404" t="s">
        <v>679</v>
      </c>
      <c r="B404" t="s">
        <v>63</v>
      </c>
      <c r="C404" t="s">
        <v>676</v>
      </c>
      <c r="D404" t="s">
        <v>628</v>
      </c>
      <c r="E404" t="s">
        <v>197</v>
      </c>
      <c r="K404" s="81">
        <v>12</v>
      </c>
    </row>
    <row r="405" spans="1:11" x14ac:dyDescent="0.3">
      <c r="A405" t="s">
        <v>680</v>
      </c>
      <c r="B405" t="s">
        <v>72</v>
      </c>
      <c r="C405" t="s">
        <v>676</v>
      </c>
      <c r="D405" t="s">
        <v>197</v>
      </c>
      <c r="E405" t="s">
        <v>205</v>
      </c>
      <c r="K405" s="81">
        <v>4</v>
      </c>
    </row>
    <row r="406" spans="1:11" x14ac:dyDescent="0.3">
      <c r="A406" t="s">
        <v>681</v>
      </c>
      <c r="B406" t="s">
        <v>54</v>
      </c>
      <c r="C406" t="s">
        <v>676</v>
      </c>
      <c r="D406" t="s">
        <v>172</v>
      </c>
      <c r="E406" t="s">
        <v>171</v>
      </c>
      <c r="K406" s="81">
        <v>0</v>
      </c>
    </row>
    <row r="407" spans="1:11" x14ac:dyDescent="0.3">
      <c r="A407" t="s">
        <v>682</v>
      </c>
      <c r="B407" t="s">
        <v>76</v>
      </c>
      <c r="C407" t="s">
        <v>676</v>
      </c>
      <c r="D407" t="s">
        <v>176</v>
      </c>
      <c r="E407" t="s">
        <v>169</v>
      </c>
      <c r="K407" s="81">
        <v>10</v>
      </c>
    </row>
    <row r="408" spans="1:11" x14ac:dyDescent="0.3">
      <c r="A408" t="s">
        <v>683</v>
      </c>
      <c r="B408" t="s">
        <v>58</v>
      </c>
      <c r="C408" t="s">
        <v>676</v>
      </c>
      <c r="D408" t="s">
        <v>628</v>
      </c>
      <c r="E408" t="s">
        <v>189</v>
      </c>
      <c r="K408" s="81">
        <v>12</v>
      </c>
    </row>
    <row r="409" spans="1:11" x14ac:dyDescent="0.3">
      <c r="A409" t="s">
        <v>684</v>
      </c>
      <c r="B409" t="s">
        <v>75</v>
      </c>
      <c r="C409" t="s">
        <v>676</v>
      </c>
      <c r="D409" t="s">
        <v>171</v>
      </c>
      <c r="E409" t="s">
        <v>234</v>
      </c>
      <c r="K409" s="81">
        <v>0</v>
      </c>
    </row>
    <row r="410" spans="1:11" x14ac:dyDescent="0.3">
      <c r="A410" t="s">
        <v>685</v>
      </c>
      <c r="B410" t="s">
        <v>66</v>
      </c>
      <c r="C410" t="s">
        <v>676</v>
      </c>
      <c r="D410" t="s">
        <v>197</v>
      </c>
      <c r="E410" t="s">
        <v>234</v>
      </c>
      <c r="K410" s="81">
        <v>4</v>
      </c>
    </row>
    <row r="411" spans="1:11" x14ac:dyDescent="0.3">
      <c r="A411" t="s">
        <v>686</v>
      </c>
      <c r="B411" t="s">
        <v>61</v>
      </c>
      <c r="C411" t="s">
        <v>676</v>
      </c>
      <c r="D411" t="s">
        <v>176</v>
      </c>
      <c r="E411" t="s">
        <v>628</v>
      </c>
      <c r="K411" s="81">
        <v>10</v>
      </c>
    </row>
    <row r="412" spans="1:11" x14ac:dyDescent="0.3">
      <c r="A412" t="s">
        <v>687</v>
      </c>
      <c r="B412" t="s">
        <v>59</v>
      </c>
      <c r="C412" t="s">
        <v>676</v>
      </c>
      <c r="D412" t="s">
        <v>197</v>
      </c>
      <c r="E412" t="s">
        <v>356</v>
      </c>
      <c r="K412" s="81">
        <v>12.5</v>
      </c>
    </row>
    <row r="413" spans="1:11" x14ac:dyDescent="0.3">
      <c r="A413" t="s">
        <v>688</v>
      </c>
      <c r="B413" t="s">
        <v>51</v>
      </c>
      <c r="C413" t="s">
        <v>676</v>
      </c>
      <c r="D413" t="s">
        <v>628</v>
      </c>
      <c r="E413" t="s">
        <v>219</v>
      </c>
      <c r="K413" s="81">
        <v>12</v>
      </c>
    </row>
    <row r="414" spans="1:11" x14ac:dyDescent="0.3">
      <c r="A414" t="s">
        <v>689</v>
      </c>
      <c r="B414" t="s">
        <v>69</v>
      </c>
      <c r="C414" t="s">
        <v>676</v>
      </c>
      <c r="D414" t="s">
        <v>197</v>
      </c>
      <c r="E414" t="s">
        <v>199</v>
      </c>
      <c r="K414" s="81">
        <v>4</v>
      </c>
    </row>
    <row r="415" spans="1:11" x14ac:dyDescent="0.3">
      <c r="A415" t="s">
        <v>690</v>
      </c>
      <c r="B415" t="s">
        <v>70</v>
      </c>
      <c r="C415" t="s">
        <v>676</v>
      </c>
      <c r="D415" t="s">
        <v>168</v>
      </c>
      <c r="E415" t="s">
        <v>172</v>
      </c>
      <c r="K415" s="81">
        <v>18</v>
      </c>
    </row>
    <row r="416" spans="1:11" x14ac:dyDescent="0.3">
      <c r="A416" t="s">
        <v>691</v>
      </c>
      <c r="B416" t="s">
        <v>53</v>
      </c>
      <c r="C416" t="s">
        <v>676</v>
      </c>
      <c r="D416" t="s">
        <v>171</v>
      </c>
      <c r="E416" t="s">
        <v>628</v>
      </c>
      <c r="K416" s="81">
        <v>6</v>
      </c>
    </row>
    <row r="417" spans="1:11" x14ac:dyDescent="0.3">
      <c r="A417" t="s">
        <v>692</v>
      </c>
      <c r="B417" t="s">
        <v>52</v>
      </c>
      <c r="C417" t="s">
        <v>676</v>
      </c>
      <c r="D417" t="s">
        <v>171</v>
      </c>
      <c r="E417" t="s">
        <v>628</v>
      </c>
      <c r="K417" s="81">
        <v>6</v>
      </c>
    </row>
    <row r="418" spans="1:11" x14ac:dyDescent="0.3">
      <c r="A418" t="s">
        <v>693</v>
      </c>
      <c r="B418" t="s">
        <v>55</v>
      </c>
      <c r="C418" t="s">
        <v>676</v>
      </c>
      <c r="D418" t="s">
        <v>172</v>
      </c>
      <c r="E418" t="s">
        <v>171</v>
      </c>
      <c r="K418" s="81">
        <v>0</v>
      </c>
    </row>
    <row r="419" spans="1:11" x14ac:dyDescent="0.3">
      <c r="A419" t="s">
        <v>694</v>
      </c>
      <c r="B419" t="s">
        <v>60</v>
      </c>
      <c r="C419" t="s">
        <v>676</v>
      </c>
      <c r="D419" t="s">
        <v>172</v>
      </c>
      <c r="E419" t="s">
        <v>628</v>
      </c>
      <c r="K419" s="81">
        <v>6</v>
      </c>
    </row>
    <row r="420" spans="1:11" x14ac:dyDescent="0.3">
      <c r="A420" t="s">
        <v>695</v>
      </c>
      <c r="B420" t="s">
        <v>67</v>
      </c>
      <c r="C420" t="s">
        <v>676</v>
      </c>
      <c r="D420" t="s">
        <v>171</v>
      </c>
      <c r="E420" t="s">
        <v>628</v>
      </c>
      <c r="K420" s="81">
        <v>6</v>
      </c>
    </row>
    <row r="421" spans="1:11" x14ac:dyDescent="0.3">
      <c r="A421" t="s">
        <v>696</v>
      </c>
      <c r="B421" t="s">
        <v>74</v>
      </c>
      <c r="C421" t="s">
        <v>676</v>
      </c>
      <c r="D421" t="s">
        <v>171</v>
      </c>
      <c r="E421" t="s">
        <v>172</v>
      </c>
      <c r="K421" s="81">
        <v>0</v>
      </c>
    </row>
    <row r="422" spans="1:11" x14ac:dyDescent="0.3">
      <c r="A422" t="s">
        <v>697</v>
      </c>
      <c r="B422" t="s">
        <v>64</v>
      </c>
      <c r="C422" t="s">
        <v>676</v>
      </c>
      <c r="D422" t="s">
        <v>171</v>
      </c>
      <c r="E422" t="s">
        <v>495</v>
      </c>
      <c r="K422" s="81">
        <v>0.25</v>
      </c>
    </row>
    <row r="423" spans="1:11" x14ac:dyDescent="0.3">
      <c r="A423" s="123" t="s">
        <v>698</v>
      </c>
      <c r="B423" s="123" t="s">
        <v>68</v>
      </c>
      <c r="C423" s="123" t="s">
        <v>676</v>
      </c>
      <c r="D423" s="123" t="s">
        <v>171</v>
      </c>
      <c r="E423" s="123" t="s">
        <v>628</v>
      </c>
      <c r="K423" s="81">
        <v>6</v>
      </c>
    </row>
    <row r="424" spans="1:11" x14ac:dyDescent="0.3">
      <c r="A424" t="s">
        <v>699</v>
      </c>
      <c r="B424" t="s">
        <v>75</v>
      </c>
      <c r="C424" t="s">
        <v>700</v>
      </c>
      <c r="D424" t="s">
        <v>176</v>
      </c>
      <c r="E424" t="s">
        <v>197</v>
      </c>
      <c r="K424" s="81">
        <f>15/2</f>
        <v>7.5</v>
      </c>
    </row>
    <row r="425" spans="1:11" x14ac:dyDescent="0.3">
      <c r="A425" t="s">
        <v>701</v>
      </c>
      <c r="B425" t="s">
        <v>66</v>
      </c>
      <c r="C425" t="s">
        <v>700</v>
      </c>
      <c r="D425" t="s">
        <v>189</v>
      </c>
      <c r="E425" t="s">
        <v>495</v>
      </c>
      <c r="K425" s="81">
        <v>4</v>
      </c>
    </row>
    <row r="426" spans="1:11" x14ac:dyDescent="0.3">
      <c r="A426" t="s">
        <v>702</v>
      </c>
      <c r="B426" t="s">
        <v>63</v>
      </c>
      <c r="C426" t="s">
        <v>700</v>
      </c>
      <c r="D426" t="s">
        <v>628</v>
      </c>
      <c r="E426" t="s">
        <v>197</v>
      </c>
      <c r="K426" s="81">
        <v>10</v>
      </c>
    </row>
    <row r="427" spans="1:11" x14ac:dyDescent="0.3">
      <c r="A427" t="s">
        <v>703</v>
      </c>
      <c r="B427" t="s">
        <v>71</v>
      </c>
      <c r="C427" t="s">
        <v>700</v>
      </c>
      <c r="D427" t="s">
        <v>197</v>
      </c>
      <c r="E427" t="s">
        <v>205</v>
      </c>
      <c r="K427" s="81">
        <v>15</v>
      </c>
    </row>
    <row r="428" spans="1:11" x14ac:dyDescent="0.3">
      <c r="A428" t="s">
        <v>704</v>
      </c>
      <c r="B428" t="s">
        <v>53</v>
      </c>
      <c r="C428" t="s">
        <v>700</v>
      </c>
      <c r="D428" t="s">
        <v>197</v>
      </c>
      <c r="E428" t="s">
        <v>205</v>
      </c>
      <c r="K428" s="81">
        <v>15</v>
      </c>
    </row>
    <row r="429" spans="1:11" x14ac:dyDescent="0.3">
      <c r="A429" t="s">
        <v>705</v>
      </c>
      <c r="B429" t="s">
        <v>56</v>
      </c>
      <c r="C429" t="s">
        <v>700</v>
      </c>
      <c r="D429" t="s">
        <v>176</v>
      </c>
      <c r="E429" t="s">
        <v>174</v>
      </c>
      <c r="K429" s="81">
        <v>3</v>
      </c>
    </row>
    <row r="430" spans="1:11" x14ac:dyDescent="0.3">
      <c r="A430" t="s">
        <v>706</v>
      </c>
      <c r="B430" t="s">
        <v>56</v>
      </c>
      <c r="C430" t="s">
        <v>700</v>
      </c>
      <c r="D430" t="s">
        <v>176</v>
      </c>
      <c r="E430" t="s">
        <v>174</v>
      </c>
      <c r="K430" s="81">
        <v>3</v>
      </c>
    </row>
    <row r="431" spans="1:11" x14ac:dyDescent="0.3">
      <c r="A431" t="s">
        <v>707</v>
      </c>
      <c r="B431" t="s">
        <v>57</v>
      </c>
      <c r="C431" t="s">
        <v>700</v>
      </c>
      <c r="D431" t="s">
        <v>176</v>
      </c>
      <c r="E431" t="s">
        <v>174</v>
      </c>
      <c r="K431" s="81">
        <v>3</v>
      </c>
    </row>
    <row r="432" spans="1:11" x14ac:dyDescent="0.3">
      <c r="A432" t="s">
        <v>708</v>
      </c>
      <c r="B432" t="s">
        <v>76</v>
      </c>
      <c r="C432" t="s">
        <v>700</v>
      </c>
      <c r="D432" t="s">
        <v>176</v>
      </c>
      <c r="E432" t="s">
        <v>168</v>
      </c>
      <c r="K432" s="81">
        <v>9</v>
      </c>
    </row>
    <row r="433" spans="1:11" x14ac:dyDescent="0.3">
      <c r="A433" t="s">
        <v>709</v>
      </c>
      <c r="B433" t="s">
        <v>68</v>
      </c>
      <c r="C433" t="s">
        <v>700</v>
      </c>
      <c r="D433" t="s">
        <v>495</v>
      </c>
      <c r="E433" t="s">
        <v>197</v>
      </c>
      <c r="K433" s="81">
        <v>8</v>
      </c>
    </row>
    <row r="434" spans="1:11" x14ac:dyDescent="0.3">
      <c r="A434" t="s">
        <v>710</v>
      </c>
      <c r="B434" t="s">
        <v>69</v>
      </c>
      <c r="C434" t="s">
        <v>700</v>
      </c>
      <c r="D434" t="s">
        <v>183</v>
      </c>
      <c r="E434" t="s">
        <v>197</v>
      </c>
      <c r="K434" s="81">
        <v>7.5</v>
      </c>
    </row>
    <row r="435" spans="1:11" x14ac:dyDescent="0.3">
      <c r="A435" t="s">
        <v>711</v>
      </c>
      <c r="B435" t="s">
        <v>58</v>
      </c>
      <c r="C435" t="s">
        <v>700</v>
      </c>
      <c r="D435" t="s">
        <v>176</v>
      </c>
      <c r="E435" t="s">
        <v>197</v>
      </c>
      <c r="K435" s="81">
        <v>7.5</v>
      </c>
    </row>
    <row r="436" spans="1:11" x14ac:dyDescent="0.3">
      <c r="A436" t="s">
        <v>712</v>
      </c>
      <c r="B436" t="s">
        <v>54</v>
      </c>
      <c r="C436" t="s">
        <v>700</v>
      </c>
      <c r="D436" t="s">
        <v>197</v>
      </c>
      <c r="E436" t="s">
        <v>205</v>
      </c>
      <c r="K436" s="81">
        <v>15</v>
      </c>
    </row>
    <row r="437" spans="1:11" x14ac:dyDescent="0.3">
      <c r="A437" t="s">
        <v>713</v>
      </c>
      <c r="B437" t="s">
        <v>72</v>
      </c>
      <c r="C437" t="s">
        <v>700</v>
      </c>
      <c r="D437" t="s">
        <v>495</v>
      </c>
      <c r="E437" t="s">
        <v>199</v>
      </c>
      <c r="K437" s="81">
        <v>8</v>
      </c>
    </row>
    <row r="438" spans="1:11" x14ac:dyDescent="0.3">
      <c r="A438" t="s">
        <v>714</v>
      </c>
      <c r="B438" t="s">
        <v>52</v>
      </c>
      <c r="C438" t="s">
        <v>700</v>
      </c>
      <c r="D438" t="s">
        <v>176</v>
      </c>
      <c r="E438" t="s">
        <v>197</v>
      </c>
      <c r="K438" s="81">
        <v>7.5</v>
      </c>
    </row>
    <row r="439" spans="1:11" x14ac:dyDescent="0.3">
      <c r="A439" t="s">
        <v>715</v>
      </c>
      <c r="B439" t="s">
        <v>55</v>
      </c>
      <c r="C439" t="s">
        <v>700</v>
      </c>
      <c r="D439" t="s">
        <v>176</v>
      </c>
      <c r="E439" t="s">
        <v>168</v>
      </c>
      <c r="K439" s="81">
        <v>9</v>
      </c>
    </row>
    <row r="440" spans="1:11" x14ac:dyDescent="0.3">
      <c r="A440" t="s">
        <v>716</v>
      </c>
      <c r="B440" t="s">
        <v>61</v>
      </c>
      <c r="C440" t="s">
        <v>700</v>
      </c>
      <c r="D440" t="s">
        <v>628</v>
      </c>
      <c r="E440" t="s">
        <v>197</v>
      </c>
      <c r="K440" s="81">
        <v>10</v>
      </c>
    </row>
    <row r="441" spans="1:11" x14ac:dyDescent="0.3">
      <c r="A441" t="s">
        <v>717</v>
      </c>
      <c r="B441" t="s">
        <v>51</v>
      </c>
      <c r="C441" t="s">
        <v>700</v>
      </c>
      <c r="D441" t="s">
        <v>172</v>
      </c>
      <c r="E441" t="s">
        <v>174</v>
      </c>
      <c r="K441" s="81">
        <v>12</v>
      </c>
    </row>
    <row r="442" spans="1:11" x14ac:dyDescent="0.3">
      <c r="A442" t="s">
        <v>718</v>
      </c>
      <c r="B442" t="s">
        <v>67</v>
      </c>
      <c r="C442" t="s">
        <v>700</v>
      </c>
      <c r="D442" t="s">
        <v>199</v>
      </c>
      <c r="E442" t="s">
        <v>197</v>
      </c>
      <c r="K442" s="81">
        <v>7.5</v>
      </c>
    </row>
    <row r="443" spans="1:11" x14ac:dyDescent="0.3">
      <c r="A443" t="s">
        <v>719</v>
      </c>
      <c r="B443" t="s">
        <v>70</v>
      </c>
      <c r="C443" t="s">
        <v>700</v>
      </c>
      <c r="D443" t="s">
        <v>570</v>
      </c>
      <c r="E443" t="s">
        <v>189</v>
      </c>
      <c r="K443" s="81">
        <v>8</v>
      </c>
    </row>
    <row r="444" spans="1:11" x14ac:dyDescent="0.3">
      <c r="A444" t="s">
        <v>720</v>
      </c>
      <c r="B444" t="s">
        <v>59</v>
      </c>
      <c r="C444" t="s">
        <v>700</v>
      </c>
      <c r="D444" t="s">
        <v>183</v>
      </c>
      <c r="E444" t="s">
        <v>176</v>
      </c>
      <c r="K444" s="81">
        <v>0.25</v>
      </c>
    </row>
    <row r="445" spans="1:11" x14ac:dyDescent="0.3">
      <c r="A445" t="s">
        <v>721</v>
      </c>
      <c r="B445" t="s">
        <v>74</v>
      </c>
      <c r="C445" t="s">
        <v>700</v>
      </c>
      <c r="D445" t="s">
        <v>197</v>
      </c>
      <c r="E445" t="s">
        <v>495</v>
      </c>
      <c r="K445" s="81">
        <v>15</v>
      </c>
    </row>
    <row r="446" spans="1:11" x14ac:dyDescent="0.3">
      <c r="A446" s="123" t="s">
        <v>722</v>
      </c>
      <c r="B446" s="123" t="s">
        <v>64</v>
      </c>
      <c r="C446" s="123" t="s">
        <v>700</v>
      </c>
      <c r="D446" s="123" t="s">
        <v>495</v>
      </c>
      <c r="E446" s="123" t="s">
        <v>199</v>
      </c>
      <c r="K446" s="81">
        <v>8</v>
      </c>
    </row>
    <row r="447" spans="1:11" x14ac:dyDescent="0.3">
      <c r="A447" t="s">
        <v>723</v>
      </c>
      <c r="B447" t="s">
        <v>59</v>
      </c>
      <c r="C447" t="s">
        <v>724</v>
      </c>
      <c r="D447" t="s">
        <v>171</v>
      </c>
      <c r="E447" t="s">
        <v>219</v>
      </c>
      <c r="K447" s="81">
        <v>25</v>
      </c>
    </row>
    <row r="448" spans="1:11" x14ac:dyDescent="0.3">
      <c r="A448" t="s">
        <v>725</v>
      </c>
      <c r="B448" t="s">
        <v>72</v>
      </c>
      <c r="C448" t="s">
        <v>724</v>
      </c>
      <c r="D448" t="s">
        <v>172</v>
      </c>
      <c r="E448" t="s">
        <v>495</v>
      </c>
      <c r="K448" s="81">
        <v>3</v>
      </c>
    </row>
    <row r="449" spans="1:11" x14ac:dyDescent="0.3">
      <c r="A449" t="s">
        <v>726</v>
      </c>
      <c r="B449" t="s">
        <v>54</v>
      </c>
      <c r="C449" t="s">
        <v>724</v>
      </c>
      <c r="D449" t="s">
        <v>168</v>
      </c>
      <c r="E449" t="s">
        <v>183</v>
      </c>
      <c r="K449" s="81">
        <v>0.5</v>
      </c>
    </row>
    <row r="450" spans="1:11" x14ac:dyDescent="0.3">
      <c r="A450" t="s">
        <v>727</v>
      </c>
      <c r="B450" t="s">
        <v>57</v>
      </c>
      <c r="C450" t="s">
        <v>724</v>
      </c>
      <c r="D450" t="s">
        <v>197</v>
      </c>
      <c r="E450" t="s">
        <v>205</v>
      </c>
      <c r="K450" s="81">
        <v>8</v>
      </c>
    </row>
    <row r="451" spans="1:11" x14ac:dyDescent="0.3">
      <c r="A451" t="s">
        <v>728</v>
      </c>
      <c r="B451" t="s">
        <v>76</v>
      </c>
      <c r="C451" t="s">
        <v>724</v>
      </c>
      <c r="D451" t="s">
        <v>495</v>
      </c>
      <c r="E451" t="s">
        <v>168</v>
      </c>
      <c r="K451" s="81">
        <v>6</v>
      </c>
    </row>
    <row r="452" spans="1:11" x14ac:dyDescent="0.3">
      <c r="A452" t="s">
        <v>729</v>
      </c>
      <c r="B452" t="s">
        <v>58</v>
      </c>
      <c r="C452" t="s">
        <v>724</v>
      </c>
      <c r="D452" t="s">
        <v>172</v>
      </c>
      <c r="E452" t="s">
        <v>205</v>
      </c>
      <c r="K452" s="81">
        <v>2</v>
      </c>
    </row>
    <row r="453" spans="1:11" x14ac:dyDescent="0.3">
      <c r="A453" t="s">
        <v>730</v>
      </c>
      <c r="B453" t="s">
        <v>66</v>
      </c>
      <c r="C453" t="s">
        <v>724</v>
      </c>
      <c r="D453" t="s">
        <v>183</v>
      </c>
      <c r="E453" t="s">
        <v>169</v>
      </c>
      <c r="K453" s="81">
        <v>1</v>
      </c>
    </row>
    <row r="454" spans="1:11" x14ac:dyDescent="0.3">
      <c r="A454" t="s">
        <v>731</v>
      </c>
      <c r="B454" t="s">
        <v>75</v>
      </c>
      <c r="C454" t="s">
        <v>724</v>
      </c>
      <c r="D454" t="s">
        <v>234</v>
      </c>
      <c r="E454" t="s">
        <v>168</v>
      </c>
      <c r="K454" s="81">
        <v>0</v>
      </c>
    </row>
    <row r="455" spans="1:11" x14ac:dyDescent="0.3">
      <c r="A455" t="s">
        <v>732</v>
      </c>
      <c r="B455" t="s">
        <v>56</v>
      </c>
      <c r="C455" t="s">
        <v>724</v>
      </c>
      <c r="D455" t="s">
        <v>219</v>
      </c>
      <c r="E455" t="s">
        <v>168</v>
      </c>
      <c r="K455" s="81">
        <v>0</v>
      </c>
    </row>
    <row r="456" spans="1:11" x14ac:dyDescent="0.3">
      <c r="A456" t="s">
        <v>733</v>
      </c>
      <c r="B456" t="s">
        <v>71</v>
      </c>
      <c r="C456" t="s">
        <v>724</v>
      </c>
      <c r="D456" t="s">
        <v>168</v>
      </c>
      <c r="E456" t="s">
        <v>174</v>
      </c>
      <c r="K456" s="81">
        <v>5</v>
      </c>
    </row>
    <row r="457" spans="1:11" x14ac:dyDescent="0.3">
      <c r="A457" t="s">
        <v>734</v>
      </c>
      <c r="B457" t="s">
        <v>53</v>
      </c>
      <c r="C457" t="s">
        <v>724</v>
      </c>
      <c r="D457" t="s">
        <v>168</v>
      </c>
      <c r="E457" t="s">
        <v>174</v>
      </c>
      <c r="K457" s="81">
        <v>5</v>
      </c>
    </row>
    <row r="458" spans="1:11" x14ac:dyDescent="0.3">
      <c r="A458" t="s">
        <v>735</v>
      </c>
      <c r="B458" t="s">
        <v>62</v>
      </c>
      <c r="C458" t="s">
        <v>700</v>
      </c>
      <c r="D458" t="s">
        <v>168</v>
      </c>
      <c r="E458" t="s">
        <v>171</v>
      </c>
      <c r="K458" s="81">
        <v>12.5</v>
      </c>
    </row>
    <row r="459" spans="1:11" x14ac:dyDescent="0.3">
      <c r="A459" t="s">
        <v>736</v>
      </c>
      <c r="B459" t="s">
        <v>51</v>
      </c>
      <c r="C459" t="s">
        <v>724</v>
      </c>
      <c r="D459" t="s">
        <v>174</v>
      </c>
      <c r="E459" t="s">
        <v>168</v>
      </c>
      <c r="K459" s="81">
        <v>10</v>
      </c>
    </row>
    <row r="460" spans="1:11" x14ac:dyDescent="0.3">
      <c r="A460" t="s">
        <v>737</v>
      </c>
      <c r="B460" t="s">
        <v>70</v>
      </c>
      <c r="C460" t="s">
        <v>724</v>
      </c>
      <c r="D460" t="s">
        <v>183</v>
      </c>
      <c r="E460" t="s">
        <v>176</v>
      </c>
      <c r="K460" s="81">
        <v>1</v>
      </c>
    </row>
    <row r="461" spans="1:11" x14ac:dyDescent="0.3">
      <c r="A461" t="s">
        <v>738</v>
      </c>
      <c r="B461" t="s">
        <v>63</v>
      </c>
      <c r="C461" t="s">
        <v>724</v>
      </c>
      <c r="D461" t="s">
        <v>197</v>
      </c>
      <c r="E461" t="s">
        <v>171</v>
      </c>
      <c r="K461" s="81">
        <v>12.5</v>
      </c>
    </row>
    <row r="462" spans="1:11" x14ac:dyDescent="0.3">
      <c r="A462" t="s">
        <v>739</v>
      </c>
      <c r="B462" t="s">
        <v>61</v>
      </c>
      <c r="C462" t="s">
        <v>724</v>
      </c>
      <c r="D462" t="s">
        <v>219</v>
      </c>
      <c r="E462" t="s">
        <v>172</v>
      </c>
      <c r="K462" s="81">
        <v>1</v>
      </c>
    </row>
    <row r="463" spans="1:11" x14ac:dyDescent="0.3">
      <c r="A463" t="s">
        <v>740</v>
      </c>
      <c r="B463" t="s">
        <v>60</v>
      </c>
      <c r="C463" t="s">
        <v>724</v>
      </c>
      <c r="D463" t="s">
        <v>172</v>
      </c>
      <c r="E463" t="s">
        <v>171</v>
      </c>
      <c r="K463" s="81">
        <v>12.5</v>
      </c>
    </row>
    <row r="464" spans="1:11" x14ac:dyDescent="0.3">
      <c r="A464" t="s">
        <v>741</v>
      </c>
      <c r="B464" t="s">
        <v>68</v>
      </c>
      <c r="C464" t="s">
        <v>724</v>
      </c>
      <c r="D464" t="s">
        <v>628</v>
      </c>
      <c r="E464" t="s">
        <v>495</v>
      </c>
      <c r="K464" s="81">
        <v>18</v>
      </c>
    </row>
    <row r="465" spans="1:11" x14ac:dyDescent="0.3">
      <c r="A465" t="s">
        <v>742</v>
      </c>
      <c r="B465" t="s">
        <v>55</v>
      </c>
      <c r="C465" t="s">
        <v>724</v>
      </c>
      <c r="D465" t="s">
        <v>168</v>
      </c>
      <c r="E465" t="s">
        <v>171</v>
      </c>
      <c r="K465" s="81">
        <v>12.5</v>
      </c>
    </row>
    <row r="466" spans="1:11" x14ac:dyDescent="0.3">
      <c r="A466" t="s">
        <v>743</v>
      </c>
      <c r="B466" t="s">
        <v>52</v>
      </c>
      <c r="C466" t="s">
        <v>724</v>
      </c>
      <c r="D466" t="s">
        <v>183</v>
      </c>
      <c r="E466" t="s">
        <v>168</v>
      </c>
      <c r="K466" s="81">
        <v>1</v>
      </c>
    </row>
    <row r="467" spans="1:11" x14ac:dyDescent="0.3">
      <c r="A467" t="s">
        <v>744</v>
      </c>
      <c r="B467" t="s">
        <v>67</v>
      </c>
      <c r="C467" t="s">
        <v>724</v>
      </c>
      <c r="D467" t="s">
        <v>219</v>
      </c>
      <c r="E467" t="s">
        <v>171</v>
      </c>
      <c r="K467" s="81">
        <v>12.5</v>
      </c>
    </row>
    <row r="468" spans="1:11" x14ac:dyDescent="0.3">
      <c r="A468" t="s">
        <v>745</v>
      </c>
      <c r="B468" t="s">
        <v>74</v>
      </c>
      <c r="C468" t="s">
        <v>724</v>
      </c>
      <c r="D468" t="s">
        <v>172</v>
      </c>
      <c r="E468" t="s">
        <v>197</v>
      </c>
      <c r="K468" s="81">
        <v>4</v>
      </c>
    </row>
    <row r="469" spans="1:11" x14ac:dyDescent="0.3">
      <c r="A469" s="123" t="s">
        <v>746</v>
      </c>
      <c r="B469" s="123" t="s">
        <v>64</v>
      </c>
      <c r="C469" s="123" t="s">
        <v>724</v>
      </c>
      <c r="D469" s="123" t="s">
        <v>168</v>
      </c>
      <c r="E469" s="123" t="s">
        <v>628</v>
      </c>
      <c r="K469" s="81">
        <v>9</v>
      </c>
    </row>
    <row r="470" spans="1:11" x14ac:dyDescent="0.3">
      <c r="A470" t="s">
        <v>749</v>
      </c>
      <c r="B470" t="s">
        <v>57</v>
      </c>
      <c r="C470" t="s">
        <v>750</v>
      </c>
      <c r="D470" t="s">
        <v>219</v>
      </c>
      <c r="E470" t="s">
        <v>495</v>
      </c>
      <c r="K470" s="81">
        <v>6</v>
      </c>
    </row>
    <row r="471" spans="1:11" x14ac:dyDescent="0.3">
      <c r="A471" t="s">
        <v>751</v>
      </c>
      <c r="B471" t="s">
        <v>62</v>
      </c>
      <c r="C471" t="s">
        <v>750</v>
      </c>
      <c r="D471" t="s">
        <v>176</v>
      </c>
      <c r="E471" t="s">
        <v>495</v>
      </c>
      <c r="K471" s="81">
        <v>1</v>
      </c>
    </row>
    <row r="472" spans="1:11" x14ac:dyDescent="0.3">
      <c r="A472" t="s">
        <v>752</v>
      </c>
      <c r="B472" t="s">
        <v>66</v>
      </c>
      <c r="C472" t="s">
        <v>750</v>
      </c>
      <c r="D472" t="s">
        <v>168</v>
      </c>
      <c r="E472" t="s">
        <v>171</v>
      </c>
      <c r="K472" s="81">
        <v>10</v>
      </c>
    </row>
    <row r="473" spans="1:11" x14ac:dyDescent="0.3">
      <c r="A473" t="s">
        <v>753</v>
      </c>
      <c r="B473" t="s">
        <v>75</v>
      </c>
      <c r="C473" t="s">
        <v>750</v>
      </c>
      <c r="D473" t="s">
        <v>219</v>
      </c>
      <c r="E473" t="s">
        <v>199</v>
      </c>
      <c r="K473" s="81">
        <v>6</v>
      </c>
    </row>
    <row r="474" spans="1:11" x14ac:dyDescent="0.3">
      <c r="A474" t="s">
        <v>754</v>
      </c>
      <c r="B474" t="s">
        <v>51</v>
      </c>
      <c r="C474" t="s">
        <v>750</v>
      </c>
      <c r="D474" t="s">
        <v>219</v>
      </c>
      <c r="E474" t="s">
        <v>174</v>
      </c>
      <c r="K474" s="81">
        <v>6</v>
      </c>
    </row>
    <row r="475" spans="1:11" x14ac:dyDescent="0.3">
      <c r="A475" t="s">
        <v>755</v>
      </c>
      <c r="B475" t="s">
        <v>58</v>
      </c>
      <c r="C475" t="s">
        <v>750</v>
      </c>
      <c r="D475" t="s">
        <v>176</v>
      </c>
      <c r="E475" t="s">
        <v>205</v>
      </c>
      <c r="K475" s="81">
        <v>9</v>
      </c>
    </row>
    <row r="476" spans="1:11" x14ac:dyDescent="0.3">
      <c r="A476" t="s">
        <v>756</v>
      </c>
      <c r="B476" t="s">
        <v>63</v>
      </c>
      <c r="C476" t="s">
        <v>750</v>
      </c>
      <c r="D476" t="s">
        <v>197</v>
      </c>
      <c r="E476" t="s">
        <v>168</v>
      </c>
      <c r="K476" s="81">
        <v>15</v>
      </c>
    </row>
    <row r="477" spans="1:11" x14ac:dyDescent="0.3">
      <c r="A477" t="s">
        <v>757</v>
      </c>
      <c r="B477" t="s">
        <v>72</v>
      </c>
      <c r="C477" t="s">
        <v>750</v>
      </c>
      <c r="D477" t="s">
        <v>197</v>
      </c>
      <c r="E477" t="s">
        <v>199</v>
      </c>
      <c r="K477" s="81">
        <v>15</v>
      </c>
    </row>
    <row r="478" spans="1:11" x14ac:dyDescent="0.3">
      <c r="A478" t="s">
        <v>758</v>
      </c>
      <c r="B478" t="s">
        <v>54</v>
      </c>
      <c r="C478" t="s">
        <v>750</v>
      </c>
      <c r="D478" t="s">
        <v>168</v>
      </c>
      <c r="E478" t="s">
        <v>197</v>
      </c>
      <c r="K478" s="81">
        <v>10</v>
      </c>
    </row>
    <row r="479" spans="1:11" x14ac:dyDescent="0.3">
      <c r="A479" t="s">
        <v>759</v>
      </c>
      <c r="B479" t="s">
        <v>70</v>
      </c>
      <c r="C479" t="s">
        <v>750</v>
      </c>
      <c r="D479" t="s">
        <v>189</v>
      </c>
      <c r="E479" t="s">
        <v>197</v>
      </c>
      <c r="K479" s="81">
        <v>7.5</v>
      </c>
    </row>
    <row r="480" spans="1:11" x14ac:dyDescent="0.3">
      <c r="A480" t="s">
        <v>760</v>
      </c>
      <c r="B480" t="s">
        <v>53</v>
      </c>
      <c r="C480" t="s">
        <v>750</v>
      </c>
      <c r="D480" t="s">
        <v>356</v>
      </c>
      <c r="E480" t="s">
        <v>495</v>
      </c>
      <c r="K480" s="81">
        <v>1</v>
      </c>
    </row>
    <row r="481" spans="1:11" x14ac:dyDescent="0.3">
      <c r="A481" t="s">
        <v>761</v>
      </c>
      <c r="B481" t="s">
        <v>71</v>
      </c>
      <c r="C481" t="s">
        <v>750</v>
      </c>
      <c r="D481" t="s">
        <v>168</v>
      </c>
      <c r="E481" t="s">
        <v>197</v>
      </c>
      <c r="K481" s="81">
        <v>10</v>
      </c>
    </row>
    <row r="482" spans="1:11" x14ac:dyDescent="0.3">
      <c r="A482" t="s">
        <v>762</v>
      </c>
      <c r="B482" t="s">
        <v>68</v>
      </c>
      <c r="C482" t="s">
        <v>750</v>
      </c>
      <c r="D482" t="s">
        <v>219</v>
      </c>
      <c r="E482" t="s">
        <v>176</v>
      </c>
      <c r="K482" s="81">
        <v>6</v>
      </c>
    </row>
    <row r="483" spans="1:11" x14ac:dyDescent="0.3">
      <c r="A483" t="s">
        <v>763</v>
      </c>
      <c r="B483" t="s">
        <v>73</v>
      </c>
      <c r="C483" t="s">
        <v>750</v>
      </c>
      <c r="D483" t="s">
        <v>174</v>
      </c>
      <c r="E483" t="s">
        <v>171</v>
      </c>
      <c r="K483" s="81">
        <v>0</v>
      </c>
    </row>
    <row r="484" spans="1:11" x14ac:dyDescent="0.3">
      <c r="A484" t="s">
        <v>764</v>
      </c>
      <c r="B484" t="s">
        <v>69</v>
      </c>
      <c r="C484" t="s">
        <v>750</v>
      </c>
      <c r="D484" t="s">
        <v>176</v>
      </c>
      <c r="E484" t="s">
        <v>189</v>
      </c>
      <c r="K484" s="81">
        <v>0.25</v>
      </c>
    </row>
    <row r="485" spans="1:11" x14ac:dyDescent="0.3">
      <c r="A485" t="s">
        <v>765</v>
      </c>
      <c r="B485" t="s">
        <v>60</v>
      </c>
      <c r="C485" t="s">
        <v>750</v>
      </c>
      <c r="D485" t="s">
        <v>219</v>
      </c>
      <c r="E485" t="s">
        <v>176</v>
      </c>
      <c r="K485" s="81">
        <v>6</v>
      </c>
    </row>
    <row r="486" spans="1:11" x14ac:dyDescent="0.3">
      <c r="A486" t="s">
        <v>766</v>
      </c>
      <c r="B486" t="s">
        <v>56</v>
      </c>
      <c r="C486" t="s">
        <v>750</v>
      </c>
      <c r="D486" t="s">
        <v>199</v>
      </c>
      <c r="E486" t="s">
        <v>197</v>
      </c>
      <c r="K486" s="81">
        <v>7.5</v>
      </c>
    </row>
    <row r="487" spans="1:11" x14ac:dyDescent="0.3">
      <c r="A487" t="s">
        <v>767</v>
      </c>
      <c r="B487" t="s">
        <v>61</v>
      </c>
      <c r="C487" t="s">
        <v>750</v>
      </c>
      <c r="D487" t="s">
        <v>176</v>
      </c>
      <c r="E487" t="s">
        <v>174</v>
      </c>
      <c r="K487" s="81">
        <v>0</v>
      </c>
    </row>
    <row r="488" spans="1:11" x14ac:dyDescent="0.3">
      <c r="A488" t="s">
        <v>768</v>
      </c>
      <c r="B488" t="s">
        <v>59</v>
      </c>
      <c r="C488" t="s">
        <v>750</v>
      </c>
      <c r="D488" t="s">
        <v>628</v>
      </c>
      <c r="E488" t="s">
        <v>183</v>
      </c>
      <c r="K488" s="81">
        <v>0.5</v>
      </c>
    </row>
    <row r="489" spans="1:11" x14ac:dyDescent="0.3">
      <c r="A489" t="s">
        <v>769</v>
      </c>
      <c r="B489" t="s">
        <v>52</v>
      </c>
      <c r="C489" t="s">
        <v>750</v>
      </c>
      <c r="D489" t="s">
        <v>356</v>
      </c>
      <c r="E489" t="s">
        <v>168</v>
      </c>
      <c r="K489" s="81">
        <v>5</v>
      </c>
    </row>
    <row r="490" spans="1:11" x14ac:dyDescent="0.3">
      <c r="A490" t="s">
        <v>770</v>
      </c>
      <c r="B490" t="s">
        <v>55</v>
      </c>
      <c r="C490" t="s">
        <v>750</v>
      </c>
      <c r="D490" t="s">
        <v>168</v>
      </c>
      <c r="E490" t="s">
        <v>176</v>
      </c>
      <c r="K490" s="81">
        <v>10</v>
      </c>
    </row>
    <row r="491" spans="1:11" x14ac:dyDescent="0.3">
      <c r="A491" t="s">
        <v>771</v>
      </c>
      <c r="B491" t="s">
        <v>67</v>
      </c>
      <c r="C491" t="s">
        <v>750</v>
      </c>
      <c r="D491" t="s">
        <v>199</v>
      </c>
      <c r="E491" t="s">
        <v>168</v>
      </c>
      <c r="K491" s="81">
        <v>5</v>
      </c>
    </row>
    <row r="492" spans="1:11" x14ac:dyDescent="0.3">
      <c r="A492" t="s">
        <v>772</v>
      </c>
      <c r="B492" t="s">
        <v>64</v>
      </c>
      <c r="C492" t="s">
        <v>750</v>
      </c>
      <c r="D492" t="s">
        <v>356</v>
      </c>
      <c r="E492" t="s">
        <v>199</v>
      </c>
      <c r="K492" s="81">
        <v>0</v>
      </c>
    </row>
    <row r="493" spans="1:11" x14ac:dyDescent="0.3">
      <c r="A493" s="123" t="s">
        <v>773</v>
      </c>
      <c r="B493" s="123" t="s">
        <v>74</v>
      </c>
      <c r="C493" s="123" t="s">
        <v>750</v>
      </c>
      <c r="D493" s="123" t="s">
        <v>199</v>
      </c>
      <c r="E493" s="123" t="s">
        <v>495</v>
      </c>
      <c r="K493" s="81">
        <v>1</v>
      </c>
    </row>
    <row r="494" spans="1:11" x14ac:dyDescent="0.3">
      <c r="A494" t="s">
        <v>781</v>
      </c>
      <c r="B494" t="s">
        <v>69</v>
      </c>
      <c r="C494" t="s">
        <v>782</v>
      </c>
      <c r="D494" t="s">
        <v>172</v>
      </c>
      <c r="E494" t="s">
        <v>183</v>
      </c>
      <c r="F494" t="s">
        <v>64</v>
      </c>
      <c r="G494" t="s">
        <v>57</v>
      </c>
      <c r="K494" s="81">
        <v>12.5</v>
      </c>
    </row>
    <row r="495" spans="1:11" x14ac:dyDescent="0.3">
      <c r="A495" t="s">
        <v>783</v>
      </c>
      <c r="B495" t="s">
        <v>70</v>
      </c>
      <c r="C495" t="s">
        <v>782</v>
      </c>
      <c r="D495" t="s">
        <v>168</v>
      </c>
      <c r="E495" t="s">
        <v>171</v>
      </c>
      <c r="F495" t="s">
        <v>51</v>
      </c>
      <c r="G495" t="s">
        <v>64</v>
      </c>
      <c r="K495" s="81">
        <v>5</v>
      </c>
    </row>
    <row r="496" spans="1:11" x14ac:dyDescent="0.3">
      <c r="A496" t="s">
        <v>784</v>
      </c>
      <c r="B496" t="s">
        <v>57</v>
      </c>
      <c r="C496" t="s">
        <v>782</v>
      </c>
      <c r="D496" t="s">
        <v>171</v>
      </c>
      <c r="E496" t="s">
        <v>168</v>
      </c>
      <c r="F496" t="s">
        <v>64</v>
      </c>
      <c r="G496" t="s">
        <v>75</v>
      </c>
      <c r="K496" s="81">
        <v>10</v>
      </c>
    </row>
    <row r="497" spans="1:11" x14ac:dyDescent="0.3">
      <c r="A497" t="s">
        <v>785</v>
      </c>
      <c r="B497" t="s">
        <v>76</v>
      </c>
      <c r="C497" t="s">
        <v>782</v>
      </c>
      <c r="D497" t="s">
        <v>197</v>
      </c>
      <c r="E497" t="s">
        <v>219</v>
      </c>
      <c r="F497" t="s">
        <v>75</v>
      </c>
      <c r="G497" t="s">
        <v>59</v>
      </c>
      <c r="K497" s="81">
        <v>6</v>
      </c>
    </row>
    <row r="498" spans="1:11" x14ac:dyDescent="0.3">
      <c r="A498" t="s">
        <v>786</v>
      </c>
      <c r="B498" t="s">
        <v>72</v>
      </c>
      <c r="C498" t="s">
        <v>782</v>
      </c>
      <c r="D498" t="s">
        <v>197</v>
      </c>
      <c r="E498" t="s">
        <v>183</v>
      </c>
      <c r="F498" t="s">
        <v>64</v>
      </c>
      <c r="G498" t="s">
        <v>74</v>
      </c>
      <c r="H498" t="s">
        <v>787</v>
      </c>
      <c r="K498" s="81">
        <v>12.5</v>
      </c>
    </row>
    <row r="499" spans="1:11" x14ac:dyDescent="0.3">
      <c r="A499" t="s">
        <v>788</v>
      </c>
      <c r="B499" t="s">
        <v>58</v>
      </c>
      <c r="C499" t="s">
        <v>782</v>
      </c>
      <c r="D499" t="s">
        <v>197</v>
      </c>
      <c r="E499" t="s">
        <v>171</v>
      </c>
      <c r="F499" t="s">
        <v>75</v>
      </c>
      <c r="G499" t="s">
        <v>75</v>
      </c>
      <c r="K499" s="81">
        <v>6</v>
      </c>
    </row>
    <row r="500" spans="1:11" x14ac:dyDescent="0.3">
      <c r="A500" t="s">
        <v>789</v>
      </c>
      <c r="B500" t="s">
        <v>75</v>
      </c>
      <c r="C500" t="s">
        <v>782</v>
      </c>
      <c r="D500" t="s">
        <v>174</v>
      </c>
      <c r="E500" t="s">
        <v>197</v>
      </c>
      <c r="F500" t="s">
        <v>75</v>
      </c>
      <c r="G500" t="s">
        <v>75</v>
      </c>
      <c r="H500" t="s">
        <v>75</v>
      </c>
      <c r="K500" s="81">
        <v>3</v>
      </c>
    </row>
    <row r="501" spans="1:11" x14ac:dyDescent="0.3">
      <c r="A501" t="s">
        <v>790</v>
      </c>
      <c r="B501" t="s">
        <v>54</v>
      </c>
      <c r="C501" t="s">
        <v>782</v>
      </c>
      <c r="D501" t="s">
        <v>628</v>
      </c>
      <c r="E501" t="s">
        <v>197</v>
      </c>
      <c r="F501" t="s">
        <v>74</v>
      </c>
      <c r="G501" t="s">
        <v>51</v>
      </c>
      <c r="H501" t="s">
        <v>791</v>
      </c>
      <c r="K501" s="81">
        <v>12</v>
      </c>
    </row>
    <row r="502" spans="1:11" x14ac:dyDescent="0.3">
      <c r="A502" t="s">
        <v>792</v>
      </c>
      <c r="B502" t="s">
        <v>66</v>
      </c>
      <c r="C502" t="s">
        <v>782</v>
      </c>
      <c r="D502" t="s">
        <v>183</v>
      </c>
      <c r="E502" t="s">
        <v>628</v>
      </c>
      <c r="F502" t="s">
        <v>74</v>
      </c>
      <c r="G502" t="s">
        <v>75</v>
      </c>
      <c r="K502" s="81">
        <v>25</v>
      </c>
    </row>
    <row r="503" spans="1:11" x14ac:dyDescent="0.3">
      <c r="A503" t="s">
        <v>793</v>
      </c>
      <c r="B503" t="s">
        <v>71</v>
      </c>
      <c r="C503" t="s">
        <v>782</v>
      </c>
      <c r="D503" t="s">
        <v>168</v>
      </c>
      <c r="E503" t="s">
        <v>197</v>
      </c>
      <c r="F503" t="s">
        <v>74</v>
      </c>
      <c r="G503" t="s">
        <v>75</v>
      </c>
      <c r="H503" t="s">
        <v>794</v>
      </c>
      <c r="K503" s="81">
        <v>3</v>
      </c>
    </row>
    <row r="504" spans="1:11" x14ac:dyDescent="0.3">
      <c r="A504" t="s">
        <v>795</v>
      </c>
      <c r="B504" t="s">
        <v>51</v>
      </c>
      <c r="C504" t="s">
        <v>782</v>
      </c>
      <c r="D504" t="s">
        <v>171</v>
      </c>
      <c r="E504" t="s">
        <v>174</v>
      </c>
      <c r="F504" t="s">
        <v>75</v>
      </c>
      <c r="G504" t="s">
        <v>53</v>
      </c>
      <c r="H504" t="s">
        <v>796</v>
      </c>
      <c r="K504" s="81">
        <v>10</v>
      </c>
    </row>
    <row r="505" spans="1:11" x14ac:dyDescent="0.3">
      <c r="A505" t="s">
        <v>797</v>
      </c>
      <c r="B505" t="s">
        <v>61</v>
      </c>
      <c r="C505" t="s">
        <v>782</v>
      </c>
      <c r="D505" t="s">
        <v>183</v>
      </c>
      <c r="E505" t="s">
        <v>171</v>
      </c>
      <c r="F505" t="s">
        <v>51</v>
      </c>
      <c r="G505" t="s">
        <v>74</v>
      </c>
      <c r="K505" s="81">
        <v>25</v>
      </c>
    </row>
    <row r="506" spans="1:11" x14ac:dyDescent="0.3">
      <c r="A506" t="s">
        <v>798</v>
      </c>
      <c r="B506" t="s">
        <v>56</v>
      </c>
      <c r="C506" t="s">
        <v>782</v>
      </c>
      <c r="D506" t="s">
        <v>628</v>
      </c>
      <c r="E506" t="s">
        <v>183</v>
      </c>
      <c r="F506" t="s">
        <v>53</v>
      </c>
      <c r="G506" t="s">
        <v>68</v>
      </c>
      <c r="K506" s="81">
        <v>12.5</v>
      </c>
    </row>
    <row r="507" spans="1:11" x14ac:dyDescent="0.3">
      <c r="A507" t="s">
        <v>799</v>
      </c>
      <c r="B507" t="s">
        <v>73</v>
      </c>
      <c r="C507" t="s">
        <v>782</v>
      </c>
      <c r="D507" t="s">
        <v>171</v>
      </c>
      <c r="E507" t="s">
        <v>174</v>
      </c>
      <c r="F507" t="s">
        <v>74</v>
      </c>
      <c r="G507" t="s">
        <v>74</v>
      </c>
      <c r="H507" t="s">
        <v>800</v>
      </c>
      <c r="K507" s="81">
        <v>10</v>
      </c>
    </row>
    <row r="508" spans="1:11" x14ac:dyDescent="0.3">
      <c r="A508" t="s">
        <v>801</v>
      </c>
      <c r="B508" t="s">
        <v>52</v>
      </c>
      <c r="C508" t="s">
        <v>782</v>
      </c>
      <c r="D508" t="s">
        <v>628</v>
      </c>
      <c r="E508" t="s">
        <v>168</v>
      </c>
      <c r="F508" t="s">
        <v>51</v>
      </c>
      <c r="G508" t="s">
        <v>75</v>
      </c>
      <c r="K508" s="81">
        <v>12</v>
      </c>
    </row>
    <row r="509" spans="1:11" x14ac:dyDescent="0.3">
      <c r="A509" t="s">
        <v>802</v>
      </c>
      <c r="B509" t="s">
        <v>55</v>
      </c>
      <c r="C509" t="s">
        <v>782</v>
      </c>
      <c r="D509" t="s">
        <v>628</v>
      </c>
      <c r="E509" t="s">
        <v>171</v>
      </c>
      <c r="F509" t="s">
        <v>51</v>
      </c>
      <c r="G509" t="s">
        <v>75</v>
      </c>
      <c r="H509" t="s">
        <v>803</v>
      </c>
      <c r="K509" s="81">
        <v>12</v>
      </c>
    </row>
    <row r="510" spans="1:11" x14ac:dyDescent="0.3">
      <c r="A510" t="s">
        <v>804</v>
      </c>
      <c r="B510" t="s">
        <v>67</v>
      </c>
      <c r="C510" t="s">
        <v>782</v>
      </c>
      <c r="D510" t="s">
        <v>628</v>
      </c>
      <c r="E510" t="s">
        <v>197</v>
      </c>
      <c r="F510" t="s">
        <v>75</v>
      </c>
      <c r="G510" t="s">
        <v>75</v>
      </c>
      <c r="H510" t="s">
        <v>805</v>
      </c>
      <c r="K510" s="81">
        <v>12</v>
      </c>
    </row>
    <row r="511" spans="1:11" x14ac:dyDescent="0.3">
      <c r="A511" t="s">
        <v>806</v>
      </c>
      <c r="B511" t="s">
        <v>62</v>
      </c>
      <c r="C511" t="s">
        <v>782</v>
      </c>
      <c r="D511" t="s">
        <v>197</v>
      </c>
      <c r="E511" t="s">
        <v>628</v>
      </c>
      <c r="F511" t="s">
        <v>75</v>
      </c>
      <c r="G511" t="s">
        <v>64</v>
      </c>
      <c r="K511" s="81">
        <v>6</v>
      </c>
    </row>
    <row r="512" spans="1:11" x14ac:dyDescent="0.3">
      <c r="A512" t="s">
        <v>807</v>
      </c>
      <c r="B512" t="s">
        <v>63</v>
      </c>
      <c r="C512" t="s">
        <v>782</v>
      </c>
      <c r="D512" t="s">
        <v>628</v>
      </c>
      <c r="E512" t="s">
        <v>197</v>
      </c>
      <c r="F512" t="s">
        <v>74</v>
      </c>
      <c r="G512" t="s">
        <v>74</v>
      </c>
      <c r="K512" s="81">
        <v>12</v>
      </c>
    </row>
    <row r="513" spans="1:11" x14ac:dyDescent="0.3">
      <c r="A513" t="s">
        <v>808</v>
      </c>
      <c r="B513" t="s">
        <v>74</v>
      </c>
      <c r="C513" t="s">
        <v>782</v>
      </c>
      <c r="D513" t="s">
        <v>628</v>
      </c>
      <c r="E513" t="s">
        <v>197</v>
      </c>
      <c r="F513" t="s">
        <v>51</v>
      </c>
      <c r="G513" t="s">
        <v>75</v>
      </c>
      <c r="K513" s="81">
        <v>12</v>
      </c>
    </row>
    <row r="514" spans="1:11" x14ac:dyDescent="0.3">
      <c r="A514" t="s">
        <v>809</v>
      </c>
      <c r="B514" t="s">
        <v>53</v>
      </c>
      <c r="C514" t="s">
        <v>782</v>
      </c>
      <c r="D514" t="s">
        <v>197</v>
      </c>
      <c r="E514" t="s">
        <v>171</v>
      </c>
      <c r="F514" t="s">
        <v>51</v>
      </c>
      <c r="G514" t="s">
        <v>64</v>
      </c>
      <c r="K514" s="81">
        <v>6</v>
      </c>
    </row>
    <row r="515" spans="1:11" x14ac:dyDescent="0.3">
      <c r="A515" t="s">
        <v>810</v>
      </c>
      <c r="B515" t="s">
        <v>60</v>
      </c>
      <c r="C515" t="s">
        <v>782</v>
      </c>
      <c r="D515" t="s">
        <v>628</v>
      </c>
      <c r="E515" t="s">
        <v>197</v>
      </c>
      <c r="F515" t="s">
        <v>69</v>
      </c>
      <c r="G515" t="s">
        <v>75</v>
      </c>
      <c r="H515" t="s">
        <v>811</v>
      </c>
      <c r="K515" s="81">
        <v>12</v>
      </c>
    </row>
    <row r="516" spans="1:11" x14ac:dyDescent="0.3">
      <c r="A516" s="24" t="s">
        <v>812</v>
      </c>
      <c r="B516" s="24" t="s">
        <v>64</v>
      </c>
      <c r="C516" s="24" t="s">
        <v>782</v>
      </c>
      <c r="D516" s="24" t="s">
        <v>628</v>
      </c>
      <c r="E516" s="24" t="s">
        <v>171</v>
      </c>
      <c r="F516" s="24" t="s">
        <v>74</v>
      </c>
      <c r="G516" s="24" t="s">
        <v>75</v>
      </c>
      <c r="H516" s="24"/>
      <c r="I516" s="24"/>
      <c r="K516" s="81">
        <v>12</v>
      </c>
    </row>
    <row r="517" spans="1:11" x14ac:dyDescent="0.3">
      <c r="A517" s="123" t="s">
        <v>813</v>
      </c>
      <c r="B517" s="123" t="s">
        <v>59</v>
      </c>
      <c r="C517" s="123" t="s">
        <v>782</v>
      </c>
      <c r="D517" s="123" t="s">
        <v>189</v>
      </c>
      <c r="E517" s="123" t="s">
        <v>171</v>
      </c>
      <c r="F517" s="123" t="s">
        <v>75</v>
      </c>
      <c r="G517" s="123" t="s">
        <v>74</v>
      </c>
      <c r="H517" s="123"/>
      <c r="I517" s="123"/>
      <c r="K517" s="81">
        <v>5</v>
      </c>
    </row>
    <row r="518" spans="1:11" x14ac:dyDescent="0.3">
      <c r="F518" t="s">
        <v>51</v>
      </c>
      <c r="G518" t="s">
        <v>75</v>
      </c>
      <c r="K518" s="81" t="e" cm="1">
        <f t="array" ref="K518">MAX(_xlfn.XLOOKUP(D856,Table5[Driver],'Race Results'!$E$3:$E$22),_xlfn.XLOOKUP(E856,Table5[Driver],'Race Results'!$E$3:$E$22)*0.5)</f>
        <v>#N/A</v>
      </c>
    </row>
    <row r="519" spans="1:11" x14ac:dyDescent="0.3">
      <c r="K519" s="81" t="e" cm="1">
        <f t="array" ref="K519">MAX(_xlfn.XLOOKUP(D857,Table5[Driver],'Race Results'!$E$3:$E$22),_xlfn.XLOOKUP(E857,Table5[Driver],'Race Results'!$E$3:$E$22)*0.5)</f>
        <v>#N/A</v>
      </c>
    </row>
    <row r="520" spans="1:11" x14ac:dyDescent="0.3">
      <c r="K520" s="81" t="e" cm="1">
        <f t="array" ref="K520">MAX(_xlfn.XLOOKUP(D858,Table5[Driver],'Race Results'!$E$3:$E$22),_xlfn.XLOOKUP(E858,Table5[Driver],'Race Results'!$E$3:$E$22)*0.5)</f>
        <v>#N/A</v>
      </c>
    </row>
    <row r="521" spans="1:11" x14ac:dyDescent="0.3">
      <c r="K521" s="81" t="e" cm="1">
        <f t="array" ref="K521">MAX(_xlfn.XLOOKUP(D859,Table5[Driver],'Race Results'!$E$3:$E$22),_xlfn.XLOOKUP(E859,Table5[Driver],'Race Results'!$E$3:$E$22)*0.5)</f>
        <v>#N/A</v>
      </c>
    </row>
    <row r="522" spans="1:11" x14ac:dyDescent="0.3">
      <c r="K522" s="81" t="e" cm="1">
        <f t="array" ref="K522">MAX(_xlfn.XLOOKUP(D860,Table5[Driver],'Race Results'!$E$3:$E$22),_xlfn.XLOOKUP(E860,Table5[Driver],'Race Results'!$E$3:$E$22)*0.5)</f>
        <v>#N/A</v>
      </c>
    </row>
    <row r="523" spans="1:11" x14ac:dyDescent="0.3">
      <c r="K523" s="81" t="e" cm="1">
        <f t="array" ref="K523">MAX(_xlfn.XLOOKUP(D861,Table5[Driver],'Race Results'!$E$3:$E$22),_xlfn.XLOOKUP(E861,Table5[Driver],'Race Results'!$E$3:$E$22)*0.5)</f>
        <v>#N/A</v>
      </c>
    </row>
    <row r="524" spans="1:11" x14ac:dyDescent="0.3">
      <c r="K524" s="81" t="e" cm="1">
        <f t="array" ref="K524">MAX(_xlfn.XLOOKUP(D862,Table5[Driver],'Race Results'!$E$3:$E$22),_xlfn.XLOOKUP(E862,Table5[Driver],'Race Results'!$E$3:$E$22)*0.5)</f>
        <v>#N/A</v>
      </c>
    </row>
    <row r="525" spans="1:11" x14ac:dyDescent="0.3">
      <c r="K525" s="81" t="e" cm="1">
        <f t="array" ref="K525">MAX(_xlfn.XLOOKUP(D863,Table5[Driver],'Race Results'!$E$3:$E$22),_xlfn.XLOOKUP(E863,Table5[Driver],'Race Results'!$E$3:$E$22)*0.5)</f>
        <v>#N/A</v>
      </c>
    </row>
    <row r="526" spans="1:11" x14ac:dyDescent="0.3">
      <c r="K526" s="81" t="e" cm="1">
        <f t="array" ref="K526">MAX(_xlfn.XLOOKUP(D864,Table5[Driver],'Race Results'!$E$3:$E$22),_xlfn.XLOOKUP(E864,Table5[Driver],'Race Results'!$E$3:$E$22)*0.5)</f>
        <v>#N/A</v>
      </c>
    </row>
    <row r="527" spans="1:11" x14ac:dyDescent="0.3">
      <c r="K527" s="81" t="e" cm="1">
        <f t="array" ref="K527">MAX(_xlfn.XLOOKUP(D865,Table5[Driver],'Race Results'!$E$3:$E$22),_xlfn.XLOOKUP(E865,Table5[Driver],'Race Results'!$E$3:$E$22)*0.5)</f>
        <v>#N/A</v>
      </c>
    </row>
    <row r="528" spans="1:11" x14ac:dyDescent="0.3">
      <c r="K528" s="81" t="e" cm="1">
        <f t="array" ref="K528">MAX(_xlfn.XLOOKUP(D866,Table5[Driver],'Race Results'!$E$3:$E$22),_xlfn.XLOOKUP(E866,Table5[Driver],'Race Results'!$E$3:$E$22)*0.5)</f>
        <v>#N/A</v>
      </c>
    </row>
    <row r="529" spans="11:11" x14ac:dyDescent="0.3">
      <c r="K529" s="81" t="e" cm="1">
        <f t="array" ref="K529">MAX(_xlfn.XLOOKUP(D867,Table5[Driver],'Race Results'!$E$3:$E$22),_xlfn.XLOOKUP(E867,Table5[Driver],'Race Results'!$E$3:$E$22)*0.5)</f>
        <v>#N/A</v>
      </c>
    </row>
    <row r="530" spans="11:11" x14ac:dyDescent="0.3">
      <c r="K530" s="81" t="e" cm="1">
        <f t="array" ref="K530">MAX(_xlfn.XLOOKUP(D868,Table5[Driver],'Race Results'!$E$3:$E$22),_xlfn.XLOOKUP(E868,Table5[Driver],'Race Results'!$E$3:$E$22)*0.5)</f>
        <v>#N/A</v>
      </c>
    </row>
    <row r="531" spans="11:11" x14ac:dyDescent="0.3">
      <c r="K531" s="81" t="e" cm="1">
        <f t="array" ref="K531">MAX(_xlfn.XLOOKUP(D869,Table5[Driver],'Race Results'!$E$3:$E$22),_xlfn.XLOOKUP(E869,Table5[Driver],'Race Results'!$E$3:$E$22)*0.5)</f>
        <v>#N/A</v>
      </c>
    </row>
    <row r="532" spans="11:11" x14ac:dyDescent="0.3">
      <c r="K532" s="81" t="e" cm="1">
        <f t="array" ref="K532">MAX(_xlfn.XLOOKUP(D870,Table5[Driver],'Race Results'!$E$3:$E$22),_xlfn.XLOOKUP(E870,Table5[Driver],'Race Results'!$E$3:$E$22)*0.5)</f>
        <v>#N/A</v>
      </c>
    </row>
    <row r="533" spans="11:11" x14ac:dyDescent="0.3">
      <c r="K533" s="81" t="e" cm="1">
        <f t="array" ref="K533">MAX(_xlfn.XLOOKUP(D871,Table5[Driver],'Race Results'!$E$3:$E$22),_xlfn.XLOOKUP(E871,Table5[Driver],'Race Results'!$E$3:$E$22)*0.5)</f>
        <v>#N/A</v>
      </c>
    </row>
    <row r="534" spans="11:11" x14ac:dyDescent="0.3">
      <c r="K534" s="81" t="e" cm="1">
        <f t="array" ref="K534">MAX(_xlfn.XLOOKUP(D872,Table5[Driver],'Race Results'!$E$3:$E$22),_xlfn.XLOOKUP(E872,Table5[Driver],'Race Results'!$E$3:$E$22)*0.5)</f>
        <v>#N/A</v>
      </c>
    </row>
    <row r="535" spans="11:11" x14ac:dyDescent="0.3">
      <c r="K535" s="81" t="e" cm="1">
        <f t="array" ref="K535">MAX(_xlfn.XLOOKUP(D873,Table5[Driver],'Race Results'!$E$3:$E$22),_xlfn.XLOOKUP(E873,Table5[Driver],'Race Results'!$E$3:$E$22)*0.5)</f>
        <v>#N/A</v>
      </c>
    </row>
    <row r="536" spans="11:11" x14ac:dyDescent="0.3">
      <c r="K536" s="81" t="e" cm="1">
        <f t="array" ref="K536">MAX(_xlfn.XLOOKUP(D874,Table5[Driver],'Race Results'!$E$3:$E$22),_xlfn.XLOOKUP(E874,Table5[Driver],'Race Results'!$E$3:$E$22)*0.5)</f>
        <v>#N/A</v>
      </c>
    </row>
    <row r="537" spans="11:11" x14ac:dyDescent="0.3">
      <c r="K537" s="81" t="e" cm="1">
        <f t="array" ref="K537">MAX(_xlfn.XLOOKUP(D875,Table5[Driver],'Race Results'!$E$3:$E$22),_xlfn.XLOOKUP(E875,Table5[Driver],'Race Results'!$E$3:$E$22)*0.5)</f>
        <v>#N/A</v>
      </c>
    </row>
    <row r="538" spans="11:11" x14ac:dyDescent="0.3">
      <c r="K538" s="81" t="e" cm="1">
        <f t="array" ref="K538">MAX(_xlfn.XLOOKUP(D876,Table5[Driver],'Race Results'!$E$3:$E$22),_xlfn.XLOOKUP(E876,Table5[Driver],'Race Results'!$E$3:$E$22)*0.5)</f>
        <v>#N/A</v>
      </c>
    </row>
    <row r="539" spans="11:11" x14ac:dyDescent="0.3">
      <c r="K539" s="81" t="e" cm="1">
        <f t="array" ref="K539">MAX(_xlfn.XLOOKUP(D877,Table5[Driver],'Race Results'!$E$3:$E$22),_xlfn.XLOOKUP(E877,Table5[Driver],'Race Results'!$E$3:$E$22)*0.5)</f>
        <v>#N/A</v>
      </c>
    </row>
    <row r="540" spans="11:11" x14ac:dyDescent="0.3">
      <c r="K540" s="81" t="e" cm="1">
        <f t="array" ref="K540">MAX(_xlfn.XLOOKUP(D878,Table5[Driver],'Race Results'!$E$3:$E$22),_xlfn.XLOOKUP(E878,Table5[Driver],'Race Results'!$E$3:$E$22)*0.5)</f>
        <v>#N/A</v>
      </c>
    </row>
    <row r="541" spans="11:11" x14ac:dyDescent="0.3">
      <c r="K541" s="81" t="e" cm="1">
        <f t="array" ref="K541">MAX(_xlfn.XLOOKUP(D879,Table5[Driver],'Race Results'!$E$3:$E$22),_xlfn.XLOOKUP(E879,Table5[Driver],'Race Results'!$E$3:$E$22)*0.5)</f>
        <v>#N/A</v>
      </c>
    </row>
    <row r="542" spans="11:11" x14ac:dyDescent="0.3">
      <c r="K542" s="81" t="e" cm="1">
        <f t="array" ref="K542">MAX(_xlfn.XLOOKUP(D880,Table5[Driver],'Race Results'!$E$3:$E$22),_xlfn.XLOOKUP(E880,Table5[Driver],'Race Results'!$E$3:$E$22)*0.5)</f>
        <v>#N/A</v>
      </c>
    </row>
    <row r="543" spans="11:11" x14ac:dyDescent="0.3">
      <c r="K543" s="81" t="e" cm="1">
        <f t="array" ref="K543">MAX(_xlfn.XLOOKUP(D881,Table5[Driver],'Race Results'!$E$3:$E$22),_xlfn.XLOOKUP(E881,Table5[Driver],'Race Results'!$E$3:$E$22)*0.5)</f>
        <v>#N/A</v>
      </c>
    </row>
    <row r="544" spans="11:11" x14ac:dyDescent="0.3">
      <c r="K544" s="81" t="e" cm="1">
        <f t="array" ref="K544">MAX(_xlfn.XLOOKUP(D882,Table5[Driver],'Race Results'!$E$3:$E$22),_xlfn.XLOOKUP(E882,Table5[Driver],'Race Results'!$E$3:$E$22)*0.5)</f>
        <v>#N/A</v>
      </c>
    </row>
    <row r="545" spans="11:11" x14ac:dyDescent="0.3">
      <c r="K545" s="81" t="e" cm="1">
        <f t="array" ref="K545">MAX(_xlfn.XLOOKUP(D883,Table5[Driver],'Race Results'!$E$3:$E$22),_xlfn.XLOOKUP(E883,Table5[Driver],'Race Results'!$E$3:$E$22)*0.5)</f>
        <v>#N/A</v>
      </c>
    </row>
    <row r="546" spans="11:11" x14ac:dyDescent="0.3">
      <c r="K546" s="81" t="e" cm="1">
        <f t="array" ref="K546">MAX(_xlfn.XLOOKUP(D884,Table5[Driver],'Race Results'!$E$3:$E$22),_xlfn.XLOOKUP(E884,Table5[Driver],'Race Results'!$E$3:$E$22)*0.5)</f>
        <v>#N/A</v>
      </c>
    </row>
    <row r="547" spans="11:11" x14ac:dyDescent="0.3">
      <c r="K547" s="81" t="e" cm="1">
        <f t="array" ref="K547">MAX(_xlfn.XLOOKUP(D885,Table5[Driver],'Race Results'!$E$3:$E$22),_xlfn.XLOOKUP(E885,Table5[Driver],'Race Results'!$E$3:$E$22)*0.5)</f>
        <v>#N/A</v>
      </c>
    </row>
    <row r="548" spans="11:11" x14ac:dyDescent="0.3">
      <c r="K548" s="81" t="e" cm="1">
        <f t="array" ref="K548">MAX(_xlfn.XLOOKUP(D886,Table5[Driver],'Race Results'!$E$3:$E$22),_xlfn.XLOOKUP(E886,Table5[Driver],'Race Results'!$E$3:$E$22)*0.5)</f>
        <v>#N/A</v>
      </c>
    </row>
    <row r="549" spans="11:11" x14ac:dyDescent="0.3">
      <c r="K549" s="81" t="e" cm="1">
        <f t="array" ref="K549">MAX(_xlfn.XLOOKUP(D887,Table5[Driver],'Race Results'!$E$3:$E$22),_xlfn.XLOOKUP(E887,Table5[Driver],'Race Results'!$E$3:$E$22)*0.5)</f>
        <v>#N/A</v>
      </c>
    </row>
    <row r="550" spans="11:11" x14ac:dyDescent="0.3">
      <c r="K550" s="81" t="e" cm="1">
        <f t="array" ref="K550">MAX(_xlfn.XLOOKUP(D888,Table5[Driver],'Race Results'!$E$3:$E$22),_xlfn.XLOOKUP(E888,Table5[Driver],'Race Results'!$E$3:$E$22)*0.5)</f>
        <v>#N/A</v>
      </c>
    </row>
    <row r="551" spans="11:11" x14ac:dyDescent="0.3">
      <c r="K551" s="81" t="e" cm="1">
        <f t="array" ref="K551">MAX(_xlfn.XLOOKUP(D889,Table5[Driver],'Race Results'!$E$3:$E$22),_xlfn.XLOOKUP(E889,Table5[Driver],'Race Results'!$E$3:$E$22)*0.5)</f>
        <v>#N/A</v>
      </c>
    </row>
    <row r="552" spans="11:11" x14ac:dyDescent="0.3">
      <c r="K552" s="81" t="e" cm="1">
        <f t="array" ref="K552">MAX(_xlfn.XLOOKUP(D890,Table5[Driver],'Race Results'!$E$3:$E$22),_xlfn.XLOOKUP(E890,Table5[Driver],'Race Results'!$E$3:$E$22)*0.5)</f>
        <v>#N/A</v>
      </c>
    </row>
    <row r="553" spans="11:11" x14ac:dyDescent="0.3">
      <c r="K553" s="81" t="e" cm="1">
        <f t="array" ref="K553">MAX(_xlfn.XLOOKUP(D891,Table5[Driver],'Race Results'!$E$3:$E$22),_xlfn.XLOOKUP(E891,Table5[Driver],'Race Results'!$E$3:$E$22)*0.5)</f>
        <v>#N/A</v>
      </c>
    </row>
    <row r="554" spans="11:11" x14ac:dyDescent="0.3">
      <c r="K554" s="81" t="e" cm="1">
        <f t="array" ref="K554">MAX(_xlfn.XLOOKUP(D892,Table5[Driver],'Race Results'!$E$3:$E$22),_xlfn.XLOOKUP(E892,Table5[Driver],'Race Results'!$E$3:$E$22)*0.5)</f>
        <v>#N/A</v>
      </c>
    </row>
    <row r="555" spans="11:11" x14ac:dyDescent="0.3">
      <c r="K555" s="81" t="e" cm="1">
        <f t="array" ref="K555">MAX(_xlfn.XLOOKUP(D893,Table5[Driver],'Race Results'!$E$3:$E$22),_xlfn.XLOOKUP(E893,Table5[Driver],'Race Results'!$E$3:$E$22)*0.5)</f>
        <v>#N/A</v>
      </c>
    </row>
    <row r="556" spans="11:11" x14ac:dyDescent="0.3">
      <c r="K556" s="81" t="e" cm="1">
        <f t="array" ref="K556">MAX(_xlfn.XLOOKUP(D894,Table5[Driver],'Race Results'!$E$3:$E$22),_xlfn.XLOOKUP(E894,Table5[Driver],'Race Results'!$E$3:$E$22)*0.5)</f>
        <v>#N/A</v>
      </c>
    </row>
    <row r="557" spans="11:11" x14ac:dyDescent="0.3">
      <c r="K557" s="81" t="e" cm="1">
        <f t="array" ref="K557">MAX(_xlfn.XLOOKUP(D895,Table5[Driver],'Race Results'!$E$3:$E$22),_xlfn.XLOOKUP(E895,Table5[Driver],'Race Results'!$E$3:$E$22)*0.5)</f>
        <v>#N/A</v>
      </c>
    </row>
    <row r="558" spans="11:11" x14ac:dyDescent="0.3">
      <c r="K558" s="81" t="e" cm="1">
        <f t="array" ref="K558">MAX(_xlfn.XLOOKUP(D896,Table5[Driver],'Race Results'!$E$3:$E$22),_xlfn.XLOOKUP(E896,Table5[Driver],'Race Results'!$E$3:$E$22)*0.5)</f>
        <v>#N/A</v>
      </c>
    </row>
    <row r="559" spans="11:11" x14ac:dyDescent="0.3">
      <c r="K559" s="81" t="e" cm="1">
        <f t="array" ref="K559">MAX(_xlfn.XLOOKUP(D897,Table5[Driver],'Race Results'!$E$3:$E$22),_xlfn.XLOOKUP(E897,Table5[Driver],'Race Results'!$E$3:$E$22)*0.5)</f>
        <v>#N/A</v>
      </c>
    </row>
    <row r="560" spans="11:11" x14ac:dyDescent="0.3">
      <c r="K560" s="81" t="e" cm="1">
        <f t="array" ref="K560">MAX(_xlfn.XLOOKUP(D898,Table5[Driver],'Race Results'!$E$3:$E$22),_xlfn.XLOOKUP(E898,Table5[Driver],'Race Results'!$E$3:$E$22)*0.5)</f>
        <v>#N/A</v>
      </c>
    </row>
    <row r="561" spans="11:11" x14ac:dyDescent="0.3">
      <c r="K561" s="81" t="e" cm="1">
        <f t="array" ref="K561">MAX(_xlfn.XLOOKUP(D899,Table5[Driver],'Race Results'!$E$3:$E$22),_xlfn.XLOOKUP(E899,Table5[Driver],'Race Results'!$E$3:$E$22)*0.5)</f>
        <v>#N/A</v>
      </c>
    </row>
    <row r="562" spans="11:11" x14ac:dyDescent="0.3">
      <c r="K562" s="81" t="e" cm="1">
        <f t="array" ref="K562">MAX(_xlfn.XLOOKUP(D900,Table5[Driver],'Race Results'!$E$3:$E$22),_xlfn.XLOOKUP(E900,Table5[Driver],'Race Results'!$E$3:$E$22)*0.5)</f>
        <v>#N/A</v>
      </c>
    </row>
    <row r="563" spans="11:11" x14ac:dyDescent="0.3">
      <c r="K563" s="81" t="e" cm="1">
        <f t="array" ref="K563">MAX(_xlfn.XLOOKUP(D901,Table5[Driver],'Race Results'!$E$3:$E$22),_xlfn.XLOOKUP(E901,Table5[Driver],'Race Results'!$E$3:$E$22)*0.5)</f>
        <v>#N/A</v>
      </c>
    </row>
    <row r="564" spans="11:11" x14ac:dyDescent="0.3">
      <c r="K564" s="81" t="e" cm="1">
        <f t="array" ref="K564">MAX(_xlfn.XLOOKUP(D902,Table5[Driver],'Race Results'!$E$3:$E$22),_xlfn.XLOOKUP(E902,Table5[Driver],'Race Results'!$E$3:$E$22)*0.5)</f>
        <v>#N/A</v>
      </c>
    </row>
    <row r="565" spans="11:11" x14ac:dyDescent="0.3">
      <c r="K565" s="81" t="e" cm="1">
        <f t="array" ref="K565">MAX(_xlfn.XLOOKUP(D903,Table5[Driver],'Race Results'!$E$3:$E$22),_xlfn.XLOOKUP(E903,Table5[Driver],'Race Results'!$E$3:$E$22)*0.5)</f>
        <v>#N/A</v>
      </c>
    </row>
    <row r="566" spans="11:11" x14ac:dyDescent="0.3">
      <c r="K566" s="81" t="e" cm="1">
        <f t="array" ref="K566">MAX(_xlfn.XLOOKUP(D904,Table5[Driver],'Race Results'!$E$3:$E$22),_xlfn.XLOOKUP(E904,Table5[Driver],'Race Results'!$E$3:$E$22)*0.5)</f>
        <v>#N/A</v>
      </c>
    </row>
    <row r="567" spans="11:11" x14ac:dyDescent="0.3">
      <c r="K567" s="81" t="e" cm="1">
        <f t="array" ref="K567">MAX(_xlfn.XLOOKUP(D905,Table5[Driver],'Race Results'!$E$3:$E$22),_xlfn.XLOOKUP(E905,Table5[Driver],'Race Results'!$E$3:$E$22)*0.5)</f>
        <v>#N/A</v>
      </c>
    </row>
    <row r="568" spans="11:11" x14ac:dyDescent="0.3">
      <c r="K568" s="81" t="e" cm="1">
        <f t="array" ref="K568">MAX(_xlfn.XLOOKUP(D906,Table5[Driver],'Race Results'!$E$3:$E$22),_xlfn.XLOOKUP(E906,Table5[Driver],'Race Results'!$E$3:$E$22)*0.5)</f>
        <v>#N/A</v>
      </c>
    </row>
    <row r="569" spans="11:11" x14ac:dyDescent="0.3">
      <c r="K569" s="81" t="e" cm="1">
        <f t="array" ref="K569">MAX(_xlfn.XLOOKUP(D907,Table5[Driver],'Race Results'!$E$3:$E$22),_xlfn.XLOOKUP(E907,Table5[Driver],'Race Results'!$E$3:$E$22)*0.5)</f>
        <v>#N/A</v>
      </c>
    </row>
    <row r="570" spans="11:11" x14ac:dyDescent="0.3">
      <c r="K570" s="81" t="e" cm="1">
        <f t="array" ref="K570">MAX(_xlfn.XLOOKUP(D908,Table5[Driver],'Race Results'!$E$3:$E$22),_xlfn.XLOOKUP(E908,Table5[Driver],'Race Results'!$E$3:$E$22)*0.5)</f>
        <v>#N/A</v>
      </c>
    </row>
    <row r="571" spans="11:11" x14ac:dyDescent="0.3">
      <c r="K571" s="81" t="e" cm="1">
        <f t="array" ref="K571">MAX(_xlfn.XLOOKUP(D909,Table5[Driver],'Race Results'!$E$3:$E$22),_xlfn.XLOOKUP(E909,Table5[Driver],'Race Results'!$E$3:$E$22)*0.5)</f>
        <v>#N/A</v>
      </c>
    </row>
    <row r="572" spans="11:11" x14ac:dyDescent="0.3">
      <c r="K572" s="81" t="e" cm="1">
        <f t="array" ref="K572">MAX(_xlfn.XLOOKUP(D910,Table5[Driver],'Race Results'!$E$3:$E$22),_xlfn.XLOOKUP(E910,Table5[Driver],'Race Results'!$E$3:$E$22)*0.5)</f>
        <v>#N/A</v>
      </c>
    </row>
    <row r="573" spans="11:11" x14ac:dyDescent="0.3">
      <c r="K573" s="81" t="e" cm="1">
        <f t="array" ref="K573">MAX(_xlfn.XLOOKUP(D911,Table5[Driver],'Race Results'!$E$3:$E$22),_xlfn.XLOOKUP(E911,Table5[Driver],'Race Results'!$E$3:$E$22)*0.5)</f>
        <v>#N/A</v>
      </c>
    </row>
    <row r="574" spans="11:11" x14ac:dyDescent="0.3">
      <c r="K574" s="81" t="e" cm="1">
        <f t="array" ref="K574">MAX(_xlfn.XLOOKUP(D912,Table5[Driver],'Race Results'!$E$3:$E$22),_xlfn.XLOOKUP(E912,Table5[Driver],'Race Results'!$E$3:$E$22)*0.5)</f>
        <v>#N/A</v>
      </c>
    </row>
    <row r="575" spans="11:11" x14ac:dyDescent="0.3">
      <c r="K575" s="81" t="e" cm="1">
        <f t="array" ref="K575">MAX(_xlfn.XLOOKUP(D913,Table5[Driver],'Race Results'!$E$3:$E$22),_xlfn.XLOOKUP(E913,Table5[Driver],'Race Results'!$E$3:$E$22)*0.5)</f>
        <v>#N/A</v>
      </c>
    </row>
    <row r="576" spans="11:11" x14ac:dyDescent="0.3">
      <c r="K576" s="81" t="e" cm="1">
        <f t="array" ref="K576">MAX(_xlfn.XLOOKUP(D914,Table5[Driver],'Race Results'!$E$3:$E$22),_xlfn.XLOOKUP(E914,Table5[Driver],'Race Results'!$E$3:$E$22)*0.5)</f>
        <v>#N/A</v>
      </c>
    </row>
    <row r="577" spans="11:11" x14ac:dyDescent="0.3">
      <c r="K577" s="81" t="e" cm="1">
        <f t="array" ref="K577">MAX(_xlfn.XLOOKUP(D915,Table5[Driver],'Race Results'!$E$3:$E$22),_xlfn.XLOOKUP(E915,Table5[Driver],'Race Results'!$E$3:$E$22)*0.5)</f>
        <v>#N/A</v>
      </c>
    </row>
    <row r="578" spans="11:11" x14ac:dyDescent="0.3">
      <c r="K578" s="81" t="e" cm="1">
        <f t="array" ref="K578">MAX(_xlfn.XLOOKUP(D916,Table5[Driver],'Race Results'!$E$3:$E$22),_xlfn.XLOOKUP(E916,Table5[Driver],'Race Results'!$E$3:$E$22)*0.5)</f>
        <v>#N/A</v>
      </c>
    </row>
    <row r="579" spans="11:11" x14ac:dyDescent="0.3">
      <c r="K579" s="81" t="e" cm="1">
        <f t="array" ref="K579">MAX(_xlfn.XLOOKUP(D917,Table5[Driver],'Race Results'!$E$3:$E$22),_xlfn.XLOOKUP(E917,Table5[Driver],'Race Results'!$E$3:$E$22)*0.5)</f>
        <v>#N/A</v>
      </c>
    </row>
    <row r="580" spans="11:11" x14ac:dyDescent="0.3">
      <c r="K580" s="81" t="e" cm="1">
        <f t="array" ref="K580">MAX(_xlfn.XLOOKUP(D918,Table5[Driver],'Race Results'!$E$3:$E$22),_xlfn.XLOOKUP(E918,Table5[Driver],'Race Results'!$E$3:$E$22)*0.5)</f>
        <v>#N/A</v>
      </c>
    </row>
    <row r="581" spans="11:11" x14ac:dyDescent="0.3">
      <c r="K581" s="81" t="e" cm="1">
        <f t="array" ref="K581">MAX(_xlfn.XLOOKUP(D919,Table5[Driver],'Race Results'!$E$3:$E$22),_xlfn.XLOOKUP(E919,Table5[Driver],'Race Results'!$E$3:$E$22)*0.5)</f>
        <v>#N/A</v>
      </c>
    </row>
    <row r="582" spans="11:11" x14ac:dyDescent="0.3">
      <c r="K582" s="81" t="e" cm="1">
        <f t="array" ref="K582">MAX(_xlfn.XLOOKUP(D920,Table5[Driver],'Race Results'!$E$3:$E$22),_xlfn.XLOOKUP(E920,Table5[Driver],'Race Results'!$E$3:$E$22)*0.5)</f>
        <v>#N/A</v>
      </c>
    </row>
    <row r="583" spans="11:11" x14ac:dyDescent="0.3">
      <c r="K583" s="81" t="e" cm="1">
        <f t="array" ref="K583">MAX(_xlfn.XLOOKUP(D921,Table5[Driver],'Race Results'!$E$3:$E$22),_xlfn.XLOOKUP(E921,Table5[Driver],'Race Results'!$E$3:$E$22)*0.5)</f>
        <v>#N/A</v>
      </c>
    </row>
    <row r="584" spans="11:11" x14ac:dyDescent="0.3">
      <c r="K584" s="81" t="e" cm="1">
        <f t="array" ref="K584">MAX(_xlfn.XLOOKUP(D922,Table5[Driver],'Race Results'!$E$3:$E$22),_xlfn.XLOOKUP(E922,Table5[Driver],'Race Results'!$E$3:$E$22)*0.5)</f>
        <v>#N/A</v>
      </c>
    </row>
    <row r="585" spans="11:11" x14ac:dyDescent="0.3">
      <c r="K585" s="81" t="e" cm="1">
        <f t="array" ref="K585">MAX(_xlfn.XLOOKUP(D923,Table5[Driver],'Race Results'!$E$3:$E$22),_xlfn.XLOOKUP(E923,Table5[Driver],'Race Results'!$E$3:$E$22)*0.5)</f>
        <v>#N/A</v>
      </c>
    </row>
    <row r="586" spans="11:11" x14ac:dyDescent="0.3">
      <c r="K586" s="81" t="e" cm="1">
        <f t="array" ref="K586">MAX(_xlfn.XLOOKUP(D924,Table5[Driver],'Race Results'!$E$3:$E$22),_xlfn.XLOOKUP(E924,Table5[Driver],'Race Results'!$E$3:$E$22)*0.5)</f>
        <v>#N/A</v>
      </c>
    </row>
    <row r="587" spans="11:11" x14ac:dyDescent="0.3">
      <c r="K587" s="81" t="e" cm="1">
        <f t="array" ref="K587">MAX(_xlfn.XLOOKUP(D925,Table5[Driver],'Race Results'!$E$3:$E$22),_xlfn.XLOOKUP(E925,Table5[Driver],'Race Results'!$E$3:$E$22)*0.5)</f>
        <v>#N/A</v>
      </c>
    </row>
    <row r="588" spans="11:11" x14ac:dyDescent="0.3">
      <c r="K588" s="81" t="e" cm="1">
        <f t="array" ref="K588">MAX(_xlfn.XLOOKUP(D926,Table5[Driver],'Race Results'!$E$3:$E$22),_xlfn.XLOOKUP(E926,Table5[Driver],'Race Results'!$E$3:$E$22)*0.5)</f>
        <v>#N/A</v>
      </c>
    </row>
    <row r="589" spans="11:11" x14ac:dyDescent="0.3">
      <c r="K589" s="81" t="e" cm="1">
        <f t="array" ref="K589">MAX(_xlfn.XLOOKUP(D927,Table5[Driver],'Race Results'!$E$3:$E$22),_xlfn.XLOOKUP(E927,Table5[Driver],'Race Results'!$E$3:$E$22)*0.5)</f>
        <v>#N/A</v>
      </c>
    </row>
    <row r="590" spans="11:11" x14ac:dyDescent="0.3">
      <c r="K590" s="81" t="e" cm="1">
        <f t="array" ref="K590">MAX(_xlfn.XLOOKUP(D928,Table5[Driver],'Race Results'!$E$3:$E$22),_xlfn.XLOOKUP(E928,Table5[Driver],'Race Results'!$E$3:$E$22)*0.5)</f>
        <v>#N/A</v>
      </c>
    </row>
    <row r="591" spans="11:11" x14ac:dyDescent="0.3">
      <c r="K591" s="81" t="e" cm="1">
        <f t="array" ref="K591">MAX(_xlfn.XLOOKUP(D929,Table5[Driver],'Race Results'!$E$3:$E$22),_xlfn.XLOOKUP(E929,Table5[Driver],'Race Results'!$E$3:$E$22)*0.5)</f>
        <v>#N/A</v>
      </c>
    </row>
    <row r="592" spans="11:11" x14ac:dyDescent="0.3">
      <c r="K592" s="81" t="e" cm="1">
        <f t="array" ref="K592">MAX(_xlfn.XLOOKUP(D930,Table5[Driver],'Race Results'!$E$3:$E$22),_xlfn.XLOOKUP(E930,Table5[Driver],'Race Results'!$E$3:$E$22)*0.5)</f>
        <v>#N/A</v>
      </c>
    </row>
    <row r="593" spans="11:11" x14ac:dyDescent="0.3">
      <c r="K593" s="81" t="e" cm="1">
        <f t="array" ref="K593">MAX(_xlfn.XLOOKUP(D931,Table5[Driver],'Race Results'!$E$3:$E$22),_xlfn.XLOOKUP(E931,Table5[Driver],'Race Results'!$E$3:$E$22)*0.5)</f>
        <v>#N/A</v>
      </c>
    </row>
    <row r="594" spans="11:11" x14ac:dyDescent="0.3">
      <c r="K594" s="81" t="e" cm="1">
        <f t="array" ref="K594">MAX(_xlfn.XLOOKUP(D932,Table5[Driver],'Race Results'!$E$3:$E$22),_xlfn.XLOOKUP(E932,Table5[Driver],'Race Results'!$E$3:$E$22)*0.5)</f>
        <v>#N/A</v>
      </c>
    </row>
    <row r="595" spans="11:11" x14ac:dyDescent="0.3">
      <c r="K595" s="81" t="e" cm="1">
        <f t="array" ref="K595">MAX(_xlfn.XLOOKUP(D933,Table5[Driver],'Race Results'!$E$3:$E$22),_xlfn.XLOOKUP(E933,Table5[Driver],'Race Results'!$E$3:$E$22)*0.5)</f>
        <v>#N/A</v>
      </c>
    </row>
    <row r="596" spans="11:11" x14ac:dyDescent="0.3">
      <c r="K596" s="81" t="e" cm="1">
        <f t="array" ref="K596">MAX(_xlfn.XLOOKUP(D934,Table5[Driver],'Race Results'!$E$3:$E$22),_xlfn.XLOOKUP(E934,Table5[Driver],'Race Results'!$E$3:$E$22)*0.5)</f>
        <v>#N/A</v>
      </c>
    </row>
    <row r="597" spans="11:11" x14ac:dyDescent="0.3">
      <c r="K597" s="81" t="e" cm="1">
        <f t="array" ref="K597">MAX(_xlfn.XLOOKUP(D935,Table5[Driver],'Race Results'!$E$3:$E$22),_xlfn.XLOOKUP(E935,Table5[Driver],'Race Results'!$E$3:$E$22)*0.5)</f>
        <v>#N/A</v>
      </c>
    </row>
    <row r="598" spans="11:11" x14ac:dyDescent="0.3">
      <c r="K598" s="81" t="e" cm="1">
        <f t="array" ref="K598">MAX(_xlfn.XLOOKUP(D936,Table5[Driver],'Race Results'!$E$3:$E$22),_xlfn.XLOOKUP(E936,Table5[Driver],'Race Results'!$E$3:$E$22)*0.5)</f>
        <v>#N/A</v>
      </c>
    </row>
    <row r="599" spans="11:11" x14ac:dyDescent="0.3">
      <c r="K599" s="81" t="e" cm="1">
        <f t="array" ref="K599">MAX(_xlfn.XLOOKUP(D937,Table5[Driver],'Race Results'!$E$3:$E$22),_xlfn.XLOOKUP(E937,Table5[Driver],'Race Results'!$E$3:$E$22)*0.5)</f>
        <v>#N/A</v>
      </c>
    </row>
    <row r="600" spans="11:11" x14ac:dyDescent="0.3">
      <c r="K600" s="81" t="e" cm="1">
        <f t="array" ref="K600">MAX(_xlfn.XLOOKUP(D938,Table5[Driver],'Race Results'!$E$3:$E$22),_xlfn.XLOOKUP(E938,Table5[Driver],'Race Results'!$E$3:$E$22)*0.5)</f>
        <v>#N/A</v>
      </c>
    </row>
    <row r="601" spans="11:11" x14ac:dyDescent="0.3">
      <c r="K601" s="81" t="e" cm="1">
        <f t="array" ref="K601">MAX(_xlfn.XLOOKUP(D939,Table5[Driver],'Race Results'!$E$3:$E$22),_xlfn.XLOOKUP(E939,Table5[Driver],'Race Results'!$E$3:$E$22)*0.5)</f>
        <v>#N/A</v>
      </c>
    </row>
    <row r="602" spans="11:11" x14ac:dyDescent="0.3">
      <c r="K602" s="81" t="e" cm="1">
        <f t="array" ref="K602">MAX(_xlfn.XLOOKUP(D940,Table5[Driver],'Race Results'!$E$3:$E$22),_xlfn.XLOOKUP(E940,Table5[Driver],'Race Results'!$E$3:$E$22)*0.5)</f>
        <v>#N/A</v>
      </c>
    </row>
    <row r="603" spans="11:11" x14ac:dyDescent="0.3">
      <c r="K603" s="81" t="e" cm="1">
        <f t="array" ref="K603">MAX(_xlfn.XLOOKUP(D941,Table5[Driver],'Race Results'!$E$3:$E$22),_xlfn.XLOOKUP(E941,Table5[Driver],'Race Results'!$E$3:$E$22)*0.5)</f>
        <v>#N/A</v>
      </c>
    </row>
    <row r="604" spans="11:11" x14ac:dyDescent="0.3">
      <c r="K604" s="81" t="e" cm="1">
        <f t="array" ref="K604">MAX(_xlfn.XLOOKUP(D942,Table5[Driver],'Race Results'!$E$3:$E$22),_xlfn.XLOOKUP(E942,Table5[Driver],'Race Results'!$E$3:$E$22)*0.5)</f>
        <v>#N/A</v>
      </c>
    </row>
    <row r="605" spans="11:11" x14ac:dyDescent="0.3">
      <c r="K605" s="81" t="e" cm="1">
        <f t="array" ref="K605">MAX(_xlfn.XLOOKUP(D943,Table5[Driver],'Race Results'!$E$3:$E$22),_xlfn.XLOOKUP(E943,Table5[Driver],'Race Results'!$E$3:$E$22)*0.5)</f>
        <v>#N/A</v>
      </c>
    </row>
    <row r="606" spans="11:11" x14ac:dyDescent="0.3">
      <c r="K606" s="81" t="e" cm="1">
        <f t="array" ref="K606">MAX(_xlfn.XLOOKUP(D944,Table5[Driver],'Race Results'!$E$3:$E$22),_xlfn.XLOOKUP(E944,Table5[Driver],'Race Results'!$E$3:$E$22)*0.5)</f>
        <v>#N/A</v>
      </c>
    </row>
    <row r="607" spans="11:11" x14ac:dyDescent="0.3">
      <c r="K607" s="81" t="e" cm="1">
        <f t="array" ref="K607">MAX(_xlfn.XLOOKUP(D945,Table5[Driver],'Race Results'!$E$3:$E$22),_xlfn.XLOOKUP(E945,Table5[Driver],'Race Results'!$E$3:$E$22)*0.5)</f>
        <v>#N/A</v>
      </c>
    </row>
    <row r="608" spans="11:11" x14ac:dyDescent="0.3">
      <c r="K608" s="81" t="e" cm="1">
        <f t="array" ref="K608">MAX(_xlfn.XLOOKUP(D946,Table5[Driver],'Race Results'!$E$3:$E$22),_xlfn.XLOOKUP(E946,Table5[Driver],'Race Results'!$E$3:$E$22)*0.5)</f>
        <v>#N/A</v>
      </c>
    </row>
    <row r="609" spans="11:11" x14ac:dyDescent="0.3">
      <c r="K609" s="81" t="e" cm="1">
        <f t="array" ref="K609">MAX(_xlfn.XLOOKUP(D947,Table5[Driver],'Race Results'!$E$3:$E$22),_xlfn.XLOOKUP(E947,Table5[Driver],'Race Results'!$E$3:$E$22)*0.5)</f>
        <v>#N/A</v>
      </c>
    </row>
    <row r="610" spans="11:11" x14ac:dyDescent="0.3">
      <c r="K610" s="81" t="e" cm="1">
        <f t="array" ref="K610">MAX(_xlfn.XLOOKUP(D948,Table5[Driver],'Race Results'!$E$3:$E$22),_xlfn.XLOOKUP(E948,Table5[Driver],'Race Results'!$E$3:$E$22)*0.5)</f>
        <v>#N/A</v>
      </c>
    </row>
    <row r="611" spans="11:11" x14ac:dyDescent="0.3">
      <c r="K611" s="81" t="e" cm="1">
        <f t="array" ref="K611">MAX(_xlfn.XLOOKUP(D949,Table5[Driver],'Race Results'!$E$3:$E$22),_xlfn.XLOOKUP(E949,Table5[Driver],'Race Results'!$E$3:$E$22)*0.5)</f>
        <v>#N/A</v>
      </c>
    </row>
    <row r="612" spans="11:11" x14ac:dyDescent="0.3">
      <c r="K612" s="81" t="e" cm="1">
        <f t="array" ref="K612">MAX(_xlfn.XLOOKUP(D950,Table5[Driver],'Race Results'!$E$3:$E$22),_xlfn.XLOOKUP(E950,Table5[Driver],'Race Results'!$E$3:$E$22)*0.5)</f>
        <v>#N/A</v>
      </c>
    </row>
    <row r="613" spans="11:11" x14ac:dyDescent="0.3">
      <c r="K613" s="81" t="e" cm="1">
        <f t="array" ref="K613">MAX(_xlfn.XLOOKUP(D951,Table5[Driver],'Race Results'!$E$3:$E$22),_xlfn.XLOOKUP(E951,Table5[Driver],'Race Results'!$E$3:$E$22)*0.5)</f>
        <v>#N/A</v>
      </c>
    </row>
    <row r="614" spans="11:11" x14ac:dyDescent="0.3">
      <c r="K614" s="81" t="e" cm="1">
        <f t="array" ref="K614">MAX(_xlfn.XLOOKUP(D952,Table5[Driver],'Race Results'!$E$3:$E$22),_xlfn.XLOOKUP(E952,Table5[Driver],'Race Results'!$E$3:$E$22)*0.5)</f>
        <v>#N/A</v>
      </c>
    </row>
    <row r="615" spans="11:11" x14ac:dyDescent="0.3">
      <c r="K615" s="81" t="e" cm="1">
        <f t="array" ref="K615">MAX(_xlfn.XLOOKUP(D953,Table5[Driver],'Race Results'!$E$3:$E$22),_xlfn.XLOOKUP(E953,Table5[Driver],'Race Results'!$E$3:$E$22)*0.5)</f>
        <v>#N/A</v>
      </c>
    </row>
    <row r="616" spans="11:11" x14ac:dyDescent="0.3">
      <c r="K616" s="81" t="e" cm="1">
        <f t="array" ref="K616">MAX(_xlfn.XLOOKUP(D954,Table5[Driver],'Race Results'!$E$3:$E$22),_xlfn.XLOOKUP(E954,Table5[Driver],'Race Results'!$E$3:$E$22)*0.5)</f>
        <v>#N/A</v>
      </c>
    </row>
    <row r="617" spans="11:11" x14ac:dyDescent="0.3">
      <c r="K617" s="81" t="e" cm="1">
        <f t="array" ref="K617">MAX(_xlfn.XLOOKUP(D955,Table5[Driver],'Race Results'!$E$3:$E$22),_xlfn.XLOOKUP(E955,Table5[Driver],'Race Results'!$E$3:$E$22)*0.5)</f>
        <v>#N/A</v>
      </c>
    </row>
    <row r="618" spans="11:11" x14ac:dyDescent="0.3">
      <c r="K618" s="81" t="e" cm="1">
        <f t="array" ref="K618">MAX(_xlfn.XLOOKUP(D956,Table5[Driver],'Race Results'!$E$3:$E$22),_xlfn.XLOOKUP(E956,Table5[Driver],'Race Results'!$E$3:$E$22)*0.5)</f>
        <v>#N/A</v>
      </c>
    </row>
    <row r="619" spans="11:11" x14ac:dyDescent="0.3">
      <c r="K619" s="81" t="e" cm="1">
        <f t="array" ref="K619">MAX(_xlfn.XLOOKUP(D957,Table5[Driver],'Race Results'!$E$3:$E$22),_xlfn.XLOOKUP(E957,Table5[Driver],'Race Results'!$E$3:$E$22)*0.5)</f>
        <v>#N/A</v>
      </c>
    </row>
    <row r="620" spans="11:11" x14ac:dyDescent="0.3">
      <c r="K620" s="81" t="e" cm="1">
        <f t="array" ref="K620">MAX(_xlfn.XLOOKUP(D958,Table5[Driver],'Race Results'!$E$3:$E$22),_xlfn.XLOOKUP(E958,Table5[Driver],'Race Results'!$E$3:$E$22)*0.5)</f>
        <v>#N/A</v>
      </c>
    </row>
    <row r="621" spans="11:11" x14ac:dyDescent="0.3">
      <c r="K621" s="81" t="e" cm="1">
        <f t="array" ref="K621">MAX(_xlfn.XLOOKUP(D959,Table5[Driver],'Race Results'!$E$3:$E$22),_xlfn.XLOOKUP(E959,Table5[Driver],'Race Results'!$E$3:$E$22)*0.5)</f>
        <v>#N/A</v>
      </c>
    </row>
    <row r="622" spans="11:11" x14ac:dyDescent="0.3">
      <c r="K622" s="81" t="e" cm="1">
        <f t="array" ref="K622">MAX(_xlfn.XLOOKUP(D960,Table5[Driver],'Race Results'!$E$3:$E$22),_xlfn.XLOOKUP(E960,Table5[Driver],'Race Results'!$E$3:$E$22)*0.5)</f>
        <v>#N/A</v>
      </c>
    </row>
    <row r="623" spans="11:11" x14ac:dyDescent="0.3">
      <c r="K623" s="81" t="e" cm="1">
        <f t="array" ref="K623">MAX(_xlfn.XLOOKUP(D961,Table5[Driver],'Race Results'!$E$3:$E$22),_xlfn.XLOOKUP(E961,Table5[Driver],'Race Results'!$E$3:$E$22)*0.5)</f>
        <v>#N/A</v>
      </c>
    </row>
    <row r="624" spans="11:11" x14ac:dyDescent="0.3">
      <c r="K624" s="81" t="e" cm="1">
        <f t="array" ref="K624">MAX(_xlfn.XLOOKUP(D962,Table5[Driver],'Race Results'!$E$3:$E$22),_xlfn.XLOOKUP(E962,Table5[Driver],'Race Results'!$E$3:$E$22)*0.5)</f>
        <v>#N/A</v>
      </c>
    </row>
    <row r="625" spans="11:11" x14ac:dyDescent="0.3">
      <c r="K625" s="81" t="e" cm="1">
        <f t="array" ref="K625">MAX(_xlfn.XLOOKUP(D963,Table5[Driver],'Race Results'!$E$3:$E$22),_xlfn.XLOOKUP(E963,Table5[Driver],'Race Results'!$E$3:$E$22)*0.5)</f>
        <v>#N/A</v>
      </c>
    </row>
    <row r="626" spans="11:11" x14ac:dyDescent="0.3">
      <c r="K626" s="81" t="e" cm="1">
        <f t="array" ref="K626">MAX(_xlfn.XLOOKUP(D964,Table5[Driver],'Race Results'!$E$3:$E$22),_xlfn.XLOOKUP(E964,Table5[Driver],'Race Results'!$E$3:$E$22)*0.5)</f>
        <v>#N/A</v>
      </c>
    </row>
    <row r="627" spans="11:11" x14ac:dyDescent="0.3">
      <c r="K627" s="81" t="e" cm="1">
        <f t="array" ref="K627">MAX(_xlfn.XLOOKUP(D965,Table5[Driver],'Race Results'!$E$3:$E$22),_xlfn.XLOOKUP(E965,Table5[Driver],'Race Results'!$E$3:$E$22)*0.5)</f>
        <v>#N/A</v>
      </c>
    </row>
    <row r="628" spans="11:11" x14ac:dyDescent="0.3">
      <c r="K628" s="81" t="e" cm="1">
        <f t="array" ref="K628">MAX(_xlfn.XLOOKUP(D966,Table5[Driver],'Race Results'!$E$3:$E$22),_xlfn.XLOOKUP(E966,Table5[Driver],'Race Results'!$E$3:$E$22)*0.5)</f>
        <v>#N/A</v>
      </c>
    </row>
    <row r="629" spans="11:11" x14ac:dyDescent="0.3">
      <c r="K629" s="81" t="e" cm="1">
        <f t="array" ref="K629">MAX(_xlfn.XLOOKUP(D967,Table5[Driver],'Race Results'!$E$3:$E$22),_xlfn.XLOOKUP(E967,Table5[Driver],'Race Results'!$E$3:$E$22)*0.5)</f>
        <v>#N/A</v>
      </c>
    </row>
    <row r="630" spans="11:11" x14ac:dyDescent="0.3">
      <c r="K630" s="81" t="e" cm="1">
        <f t="array" ref="K630">MAX(_xlfn.XLOOKUP(D968,Table5[Driver],'Race Results'!$E$3:$E$22),_xlfn.XLOOKUP(E968,Table5[Driver],'Race Results'!$E$3:$E$22)*0.5)</f>
        <v>#N/A</v>
      </c>
    </row>
    <row r="631" spans="11:11" x14ac:dyDescent="0.3">
      <c r="K631" s="81" t="e" cm="1">
        <f t="array" ref="K631">MAX(_xlfn.XLOOKUP(D969,Table5[Driver],'Race Results'!$E$3:$E$22),_xlfn.XLOOKUP(E969,Table5[Driver],'Race Results'!$E$3:$E$22)*0.5)</f>
        <v>#N/A</v>
      </c>
    </row>
    <row r="632" spans="11:11" x14ac:dyDescent="0.3">
      <c r="K632" s="81" t="e" cm="1">
        <f t="array" ref="K632">MAX(_xlfn.XLOOKUP(D970,Table5[Driver],'Race Results'!$E$3:$E$22),_xlfn.XLOOKUP(E970,Table5[Driver],'Race Results'!$E$3:$E$22)*0.5)</f>
        <v>#N/A</v>
      </c>
    </row>
    <row r="633" spans="11:11" x14ac:dyDescent="0.3">
      <c r="K633" s="81" t="e" cm="1">
        <f t="array" ref="K633">MAX(_xlfn.XLOOKUP(D971,Table5[Driver],'Race Results'!$E$3:$E$22),_xlfn.XLOOKUP(E971,Table5[Driver],'Race Results'!$E$3:$E$22)*0.5)</f>
        <v>#N/A</v>
      </c>
    </row>
    <row r="634" spans="11:11" x14ac:dyDescent="0.3">
      <c r="K634" s="81" t="e" cm="1">
        <f t="array" ref="K634">MAX(_xlfn.XLOOKUP(D972,Table5[Driver],'Race Results'!$E$3:$E$22),_xlfn.XLOOKUP(E972,Table5[Driver],'Race Results'!$E$3:$E$22)*0.5)</f>
        <v>#N/A</v>
      </c>
    </row>
    <row r="635" spans="11:11" x14ac:dyDescent="0.3">
      <c r="K635" s="81" t="e" cm="1">
        <f t="array" ref="K635">MAX(_xlfn.XLOOKUP(D973,Table5[Driver],'Race Results'!$E$3:$E$22),_xlfn.XLOOKUP(E973,Table5[Driver],'Race Results'!$E$3:$E$22)*0.5)</f>
        <v>#N/A</v>
      </c>
    </row>
    <row r="636" spans="11:11" x14ac:dyDescent="0.3">
      <c r="K636" s="81" t="e" cm="1">
        <f t="array" ref="K636">MAX(_xlfn.XLOOKUP(D974,Table5[Driver],'Race Results'!$E$3:$E$22),_xlfn.XLOOKUP(E974,Table5[Driver],'Race Results'!$E$3:$E$22)*0.5)</f>
        <v>#N/A</v>
      </c>
    </row>
    <row r="637" spans="11:11" x14ac:dyDescent="0.3">
      <c r="K637" s="81" t="e" cm="1">
        <f t="array" ref="K637">MAX(_xlfn.XLOOKUP(D975,Table5[Driver],'Race Results'!$E$3:$E$22),_xlfn.XLOOKUP(E975,Table5[Driver],'Race Results'!$E$3:$E$22)*0.5)</f>
        <v>#N/A</v>
      </c>
    </row>
    <row r="638" spans="11:11" x14ac:dyDescent="0.3">
      <c r="K638" s="81" t="e" cm="1">
        <f t="array" ref="K638">MAX(_xlfn.XLOOKUP(D976,Table5[Driver],'Race Results'!$E$3:$E$22),_xlfn.XLOOKUP(E976,Table5[Driver],'Race Results'!$E$3:$E$22)*0.5)</f>
        <v>#N/A</v>
      </c>
    </row>
    <row r="639" spans="11:11" x14ac:dyDescent="0.3">
      <c r="K639" s="81" t="e" cm="1">
        <f t="array" ref="K639">MAX(_xlfn.XLOOKUP(D977,Table5[Driver],'Race Results'!$E$3:$E$22),_xlfn.XLOOKUP(E977,Table5[Driver],'Race Results'!$E$3:$E$22)*0.5)</f>
        <v>#N/A</v>
      </c>
    </row>
    <row r="640" spans="11:11" x14ac:dyDescent="0.3">
      <c r="K640" s="81" t="e" cm="1">
        <f t="array" ref="K640">MAX(_xlfn.XLOOKUP(D978,Table5[Driver],'Race Results'!$E$3:$E$22),_xlfn.XLOOKUP(E978,Table5[Driver],'Race Results'!$E$3:$E$22)*0.5)</f>
        <v>#N/A</v>
      </c>
    </row>
    <row r="641" spans="11:11" x14ac:dyDescent="0.3">
      <c r="K641" s="81" t="e" cm="1">
        <f t="array" ref="K641">MAX(_xlfn.XLOOKUP(D979,Table5[Driver],'Race Results'!$E$3:$E$22),_xlfn.XLOOKUP(E979,Table5[Driver],'Race Results'!$E$3:$E$22)*0.5)</f>
        <v>#N/A</v>
      </c>
    </row>
    <row r="642" spans="11:11" x14ac:dyDescent="0.3">
      <c r="K642" s="81" t="e" cm="1">
        <f t="array" ref="K642">MAX(_xlfn.XLOOKUP(D980,Table5[Driver],'Race Results'!$E$3:$E$22),_xlfn.XLOOKUP(E980,Table5[Driver],'Race Results'!$E$3:$E$22)*0.5)</f>
        <v>#N/A</v>
      </c>
    </row>
    <row r="643" spans="11:11" x14ac:dyDescent="0.3">
      <c r="K643" s="81" t="e" cm="1">
        <f t="array" ref="K643">MAX(_xlfn.XLOOKUP(D981,Table5[Driver],'Race Results'!$E$3:$E$22),_xlfn.XLOOKUP(E981,Table5[Driver],'Race Results'!$E$3:$E$22)*0.5)</f>
        <v>#N/A</v>
      </c>
    </row>
    <row r="644" spans="11:11" x14ac:dyDescent="0.3">
      <c r="K644" s="81" t="e" cm="1">
        <f t="array" ref="K644">MAX(_xlfn.XLOOKUP(D982,Table5[Driver],'Race Results'!$E$3:$E$22),_xlfn.XLOOKUP(E982,Table5[Driver],'Race Results'!$E$3:$E$22)*0.5)</f>
        <v>#N/A</v>
      </c>
    </row>
    <row r="645" spans="11:11" x14ac:dyDescent="0.3">
      <c r="K645" s="81" t="e" cm="1">
        <f t="array" ref="K645">MAX(_xlfn.XLOOKUP(D983,Table5[Driver],'Race Results'!$E$3:$E$22),_xlfn.XLOOKUP(E983,Table5[Driver],'Race Results'!$E$3:$E$22)*0.5)</f>
        <v>#N/A</v>
      </c>
    </row>
    <row r="646" spans="11:11" x14ac:dyDescent="0.3">
      <c r="K646" s="81" t="e" cm="1">
        <f t="array" ref="K646">MAX(_xlfn.XLOOKUP(D984,Table5[Driver],'Race Results'!$E$3:$E$22),_xlfn.XLOOKUP(E984,Table5[Driver],'Race Results'!$E$3:$E$22)*0.5)</f>
        <v>#N/A</v>
      </c>
    </row>
    <row r="647" spans="11:11" x14ac:dyDescent="0.3">
      <c r="K647" s="81" t="e" cm="1">
        <f t="array" ref="K647">MAX(_xlfn.XLOOKUP(D985,Table5[Driver],'Race Results'!$E$3:$E$22),_xlfn.XLOOKUP(E985,Table5[Driver],'Race Results'!$E$3:$E$22)*0.5)</f>
        <v>#N/A</v>
      </c>
    </row>
    <row r="648" spans="11:11" x14ac:dyDescent="0.3">
      <c r="K648" s="81" t="e" cm="1">
        <f t="array" ref="K648">MAX(_xlfn.XLOOKUP(D986,Table5[Driver],'Race Results'!$E$3:$E$22),_xlfn.XLOOKUP(E986,Table5[Driver],'Race Results'!$E$3:$E$22)*0.5)</f>
        <v>#N/A</v>
      </c>
    </row>
    <row r="649" spans="11:11" x14ac:dyDescent="0.3">
      <c r="K649" s="81" t="e" cm="1">
        <f t="array" ref="K649">MAX(_xlfn.XLOOKUP(D987,Table5[Driver],'Race Results'!$E$3:$E$22),_xlfn.XLOOKUP(E987,Table5[Driver],'Race Results'!$E$3:$E$22)*0.5)</f>
        <v>#N/A</v>
      </c>
    </row>
    <row r="650" spans="11:11" x14ac:dyDescent="0.3">
      <c r="K650" s="81" t="e" cm="1">
        <f t="array" ref="K650">MAX(_xlfn.XLOOKUP(D988,Table5[Driver],'Race Results'!$E$3:$E$22),_xlfn.XLOOKUP(E988,Table5[Driver],'Race Results'!$E$3:$E$22)*0.5)</f>
        <v>#N/A</v>
      </c>
    </row>
    <row r="651" spans="11:11" x14ac:dyDescent="0.3">
      <c r="K651" s="81" t="e" cm="1">
        <f t="array" ref="K651">MAX(_xlfn.XLOOKUP(D989,Table5[Driver],'Race Results'!$E$3:$E$22),_xlfn.XLOOKUP(E989,Table5[Driver],'Race Results'!$E$3:$E$22)*0.5)</f>
        <v>#N/A</v>
      </c>
    </row>
    <row r="652" spans="11:11" x14ac:dyDescent="0.3">
      <c r="K652" s="81" t="e" cm="1">
        <f t="array" ref="K652">MAX(_xlfn.XLOOKUP(D990,Table5[Driver],'Race Results'!$E$3:$E$22),_xlfn.XLOOKUP(E990,Table5[Driver],'Race Results'!$E$3:$E$22)*0.5)</f>
        <v>#N/A</v>
      </c>
    </row>
    <row r="653" spans="11:11" x14ac:dyDescent="0.3">
      <c r="K653" s="81" t="e" cm="1">
        <f t="array" ref="K653">MAX(_xlfn.XLOOKUP(D991,Table5[Driver],'Race Results'!$E$3:$E$22),_xlfn.XLOOKUP(E991,Table5[Driver],'Race Results'!$E$3:$E$22)*0.5)</f>
        <v>#N/A</v>
      </c>
    </row>
    <row r="654" spans="11:11" x14ac:dyDescent="0.3">
      <c r="K654" s="81" t="e" cm="1">
        <f t="array" ref="K654">MAX(_xlfn.XLOOKUP(D992,Table5[Driver],'Race Results'!$E$3:$E$22),_xlfn.XLOOKUP(E992,Table5[Driver],'Race Results'!$E$3:$E$22)*0.5)</f>
        <v>#N/A</v>
      </c>
    </row>
    <row r="655" spans="11:11" x14ac:dyDescent="0.3">
      <c r="K655" s="81" t="e" cm="1">
        <f t="array" ref="K655">MAX(_xlfn.XLOOKUP(D993,Table5[Driver],'Race Results'!$E$3:$E$22),_xlfn.XLOOKUP(E993,Table5[Driver],'Race Results'!$E$3:$E$22)*0.5)</f>
        <v>#N/A</v>
      </c>
    </row>
    <row r="656" spans="11:11" x14ac:dyDescent="0.3">
      <c r="K656" s="81" t="e" cm="1">
        <f t="array" ref="K656">MAX(_xlfn.XLOOKUP(D994,Table5[Driver],'Race Results'!$E$3:$E$22),_xlfn.XLOOKUP(E994,Table5[Driver],'Race Results'!$E$3:$E$22)*0.5)</f>
        <v>#N/A</v>
      </c>
    </row>
    <row r="657" spans="11:11" x14ac:dyDescent="0.3">
      <c r="K657" s="81" t="e" cm="1">
        <f t="array" ref="K657">MAX(_xlfn.XLOOKUP(D995,Table5[Driver],'Race Results'!$E$3:$E$22),_xlfn.XLOOKUP(E995,Table5[Driver],'Race Results'!$E$3:$E$22)*0.5)</f>
        <v>#N/A</v>
      </c>
    </row>
    <row r="658" spans="11:11" x14ac:dyDescent="0.3">
      <c r="K658" s="81" t="e" cm="1">
        <f t="array" ref="K658">MAX(_xlfn.XLOOKUP(D996,Table5[Driver],'Race Results'!$E$3:$E$22),_xlfn.XLOOKUP(E996,Table5[Driver],'Race Results'!$E$3:$E$22)*0.5)</f>
        <v>#N/A</v>
      </c>
    </row>
    <row r="659" spans="11:11" x14ac:dyDescent="0.3">
      <c r="K659" s="81" t="e" cm="1">
        <f t="array" ref="K659">MAX(_xlfn.XLOOKUP(D997,Table5[Driver],'Race Results'!$E$3:$E$22),_xlfn.XLOOKUP(E997,Table5[Driver],'Race Results'!$E$3:$E$22)*0.5)</f>
        <v>#N/A</v>
      </c>
    </row>
    <row r="660" spans="11:11" x14ac:dyDescent="0.3">
      <c r="K660" s="81" t="e" cm="1">
        <f t="array" ref="K660">MAX(_xlfn.XLOOKUP(D998,Table5[Driver],'Race Results'!$E$3:$E$22),_xlfn.XLOOKUP(E998,Table5[Driver],'Race Results'!$E$3:$E$22)*0.5)</f>
        <v>#N/A</v>
      </c>
    </row>
    <row r="661" spans="11:11" x14ac:dyDescent="0.3">
      <c r="K661" s="81" t="e" cm="1">
        <f t="array" ref="K661">MAX(_xlfn.XLOOKUP(D999,Table5[Driver],'Race Results'!$E$3:$E$22),_xlfn.XLOOKUP(E999,Table5[Driver],'Race Results'!$E$3:$E$22)*0.5)</f>
        <v>#N/A</v>
      </c>
    </row>
    <row r="662" spans="11:11" x14ac:dyDescent="0.3">
      <c r="K662" s="81" t="e" cm="1">
        <f t="array" ref="K662">MAX(_xlfn.XLOOKUP(D1000,Table5[Driver],'Race Results'!$E$3:$E$22),_xlfn.XLOOKUP(E1000,Table5[Driver],'Race Results'!$E$3:$E$22)*0.5)</f>
        <v>#N/A</v>
      </c>
    </row>
    <row r="663" spans="11:11" x14ac:dyDescent="0.3">
      <c r="K663" s="81" t="e" cm="1">
        <f t="array" ref="K663">MAX(_xlfn.XLOOKUP(D1001,Table5[Driver],'Race Results'!$E$3:$E$22),_xlfn.XLOOKUP(E1001,Table5[Driver],'Race Results'!$E$3:$E$22)*0.5)</f>
        <v>#N/A</v>
      </c>
    </row>
    <row r="664" spans="11:11" x14ac:dyDescent="0.3">
      <c r="K664" s="81" t="e" cm="1">
        <f t="array" ref="K664">MAX(_xlfn.XLOOKUP(D1002,Table5[Driver],'Race Results'!$E$3:$E$22),_xlfn.XLOOKUP(E1002,Table5[Driver],'Race Results'!$E$3:$E$22)*0.5)</f>
        <v>#N/A</v>
      </c>
    </row>
    <row r="665" spans="11:11" x14ac:dyDescent="0.3">
      <c r="K665" s="81" t="e" cm="1">
        <f t="array" ref="K665">MAX(_xlfn.XLOOKUP(D1003,Table5[Driver],'Race Results'!$E$3:$E$22),_xlfn.XLOOKUP(E1003,Table5[Driver],'Race Results'!$E$3:$E$22)*0.5)</f>
        <v>#N/A</v>
      </c>
    </row>
    <row r="666" spans="11:11" x14ac:dyDescent="0.3">
      <c r="K666" s="81" t="e" cm="1">
        <f t="array" ref="K666">MAX(_xlfn.XLOOKUP(D1004,Table5[Driver],'Race Results'!$E$3:$E$22),_xlfn.XLOOKUP(E1004,Table5[Driver],'Race Results'!$E$3:$E$22)*0.5)</f>
        <v>#N/A</v>
      </c>
    </row>
    <row r="667" spans="11:11" x14ac:dyDescent="0.3">
      <c r="K667" s="81" t="e" cm="1">
        <f t="array" ref="K667">MAX(_xlfn.XLOOKUP(D1005,Table5[Driver],'Race Results'!$E$3:$E$22),_xlfn.XLOOKUP(E1005,Table5[Driver],'Race Results'!$E$3:$E$22)*0.5)</f>
        <v>#N/A</v>
      </c>
    </row>
    <row r="668" spans="11:11" x14ac:dyDescent="0.3">
      <c r="K668" s="81" t="e" cm="1">
        <f t="array" ref="K668">MAX(_xlfn.XLOOKUP(D1006,Table5[Driver],'Race Results'!$E$3:$E$22),_xlfn.XLOOKUP(E1006,Table5[Driver],'Race Results'!$E$3:$E$22)*0.5)</f>
        <v>#N/A</v>
      </c>
    </row>
    <row r="669" spans="11:11" x14ac:dyDescent="0.3">
      <c r="K669" s="81" t="e" cm="1">
        <f t="array" ref="K669">MAX(_xlfn.XLOOKUP(D1007,Table5[Driver],'Race Results'!$E$3:$E$22),_xlfn.XLOOKUP(E1007,Table5[Driver],'Race Results'!$E$3:$E$22)*0.5)</f>
        <v>#N/A</v>
      </c>
    </row>
    <row r="670" spans="11:11" x14ac:dyDescent="0.3">
      <c r="K670" s="81" t="e" cm="1">
        <f t="array" ref="K670">MAX(_xlfn.XLOOKUP(D1008,Table5[Driver],'Race Results'!$E$3:$E$22),_xlfn.XLOOKUP(E1008,Table5[Driver],'Race Results'!$E$3:$E$22)*0.5)</f>
        <v>#N/A</v>
      </c>
    </row>
    <row r="671" spans="11:11" x14ac:dyDescent="0.3">
      <c r="K671" s="81" t="e" cm="1">
        <f t="array" ref="K671">MAX(_xlfn.XLOOKUP(D1009,Table5[Driver],'Race Results'!$E$3:$E$22),_xlfn.XLOOKUP(E1009,Table5[Driver],'Race Results'!$E$3:$E$22)*0.5)</f>
        <v>#N/A</v>
      </c>
    </row>
    <row r="672" spans="11:11" x14ac:dyDescent="0.3">
      <c r="K672" s="81" t="e" cm="1">
        <f t="array" ref="K672">MAX(_xlfn.XLOOKUP(D1010,Table5[Driver],'Race Results'!$E$3:$E$22),_xlfn.XLOOKUP(E1010,Table5[Driver],'Race Results'!$E$3:$E$22)*0.5)</f>
        <v>#N/A</v>
      </c>
    </row>
    <row r="673" spans="11:11" x14ac:dyDescent="0.3">
      <c r="K673" s="81" t="e" cm="1">
        <f t="array" ref="K673">MAX(_xlfn.XLOOKUP(D1011,Table5[Driver],'Race Results'!$E$3:$E$22),_xlfn.XLOOKUP(E1011,Table5[Driver],'Race Results'!$E$3:$E$22)*0.5)</f>
        <v>#N/A</v>
      </c>
    </row>
    <row r="674" spans="11:11" x14ac:dyDescent="0.3">
      <c r="K674" s="81" t="e" cm="1">
        <f t="array" ref="K674">MAX(_xlfn.XLOOKUP(D1012,Table5[Driver],'Race Results'!$E$3:$E$22),_xlfn.XLOOKUP(E1012,Table5[Driver],'Race Results'!$E$3:$E$22)*0.5)</f>
        <v>#N/A</v>
      </c>
    </row>
    <row r="675" spans="11:11" x14ac:dyDescent="0.3">
      <c r="K675" s="81" t="e" cm="1">
        <f t="array" ref="K675">MAX(_xlfn.XLOOKUP(D1013,Table5[Driver],'Race Results'!$E$3:$E$22),_xlfn.XLOOKUP(E1013,Table5[Driver],'Race Results'!$E$3:$E$22)*0.5)</f>
        <v>#N/A</v>
      </c>
    </row>
    <row r="676" spans="11:11" x14ac:dyDescent="0.3">
      <c r="K676" s="81" t="e" cm="1">
        <f t="array" ref="K676">MAX(_xlfn.XLOOKUP(D1014,Table5[Driver],'Race Results'!$E$3:$E$22),_xlfn.XLOOKUP(E1014,Table5[Driver],'Race Results'!$E$3:$E$22)*0.5)</f>
        <v>#N/A</v>
      </c>
    </row>
    <row r="677" spans="11:11" x14ac:dyDescent="0.3">
      <c r="K677" s="81" t="e" cm="1">
        <f t="array" ref="K677">MAX(_xlfn.XLOOKUP(D1015,Table5[Driver],'Race Results'!$E$3:$E$22),_xlfn.XLOOKUP(E1015,Table5[Driver],'Race Results'!$E$3:$E$22)*0.5)</f>
        <v>#N/A</v>
      </c>
    </row>
    <row r="678" spans="11:11" x14ac:dyDescent="0.3">
      <c r="K678" s="81" t="e" cm="1">
        <f t="array" ref="K678">MAX(_xlfn.XLOOKUP(D1016,Table5[Driver],'Race Results'!$E$3:$E$22),_xlfn.XLOOKUP(E1016,Table5[Driver],'Race Results'!$E$3:$E$22)*0.5)</f>
        <v>#N/A</v>
      </c>
    </row>
    <row r="679" spans="11:11" x14ac:dyDescent="0.3">
      <c r="K679" s="81" t="e" cm="1">
        <f t="array" ref="K679">MAX(_xlfn.XLOOKUP(D1017,Table5[Driver],'Race Results'!$E$3:$E$22),_xlfn.XLOOKUP(E1017,Table5[Driver],'Race Results'!$E$3:$E$22)*0.5)</f>
        <v>#N/A</v>
      </c>
    </row>
    <row r="680" spans="11:11" x14ac:dyDescent="0.3">
      <c r="K680" s="81" t="e" cm="1">
        <f t="array" ref="K680">MAX(_xlfn.XLOOKUP(D1018,Table5[Driver],'Race Results'!$E$3:$E$22),_xlfn.XLOOKUP(E1018,Table5[Driver],'Race Results'!$E$3:$E$22)*0.5)</f>
        <v>#N/A</v>
      </c>
    </row>
    <row r="681" spans="11:11" x14ac:dyDescent="0.3">
      <c r="K681" s="81" t="e" cm="1">
        <f t="array" ref="K681">MAX(_xlfn.XLOOKUP(D1019,Table5[Driver],'Race Results'!$E$3:$E$22),_xlfn.XLOOKUP(E1019,Table5[Driver],'Race Results'!$E$3:$E$22)*0.5)</f>
        <v>#N/A</v>
      </c>
    </row>
    <row r="682" spans="11:11" x14ac:dyDescent="0.3">
      <c r="K682" s="81" t="e" cm="1">
        <f t="array" ref="K682">MAX(_xlfn.XLOOKUP(D1020,Table5[Driver],'Race Results'!$E$3:$E$22),_xlfn.XLOOKUP(E1020,Table5[Driver],'Race Results'!$E$3:$E$22)*0.5)</f>
        <v>#N/A</v>
      </c>
    </row>
    <row r="683" spans="11:11" x14ac:dyDescent="0.3">
      <c r="K683" s="81" t="e" cm="1">
        <f t="array" ref="K683">MAX(_xlfn.XLOOKUP(D1021,Table5[Driver],'Race Results'!$E$3:$E$22),_xlfn.XLOOKUP(E1021,Table5[Driver],'Race Results'!$E$3:$E$22)*0.5)</f>
        <v>#N/A</v>
      </c>
    </row>
    <row r="684" spans="11:11" x14ac:dyDescent="0.3">
      <c r="K684" s="81" t="e" cm="1">
        <f t="array" ref="K684">MAX(_xlfn.XLOOKUP(D1022,Table5[Driver],'Race Results'!$E$3:$E$22),_xlfn.XLOOKUP(E1022,Table5[Driver],'Race Results'!$E$3:$E$22)*0.5)</f>
        <v>#N/A</v>
      </c>
    </row>
    <row r="685" spans="11:11" x14ac:dyDescent="0.3">
      <c r="K685" s="81" t="e" cm="1">
        <f t="array" ref="K685">MAX(_xlfn.XLOOKUP(D1023,Table5[Driver],'Race Results'!$E$3:$E$22),_xlfn.XLOOKUP(E1023,Table5[Driver],'Race Results'!$E$3:$E$22)*0.5)</f>
        <v>#N/A</v>
      </c>
    </row>
    <row r="686" spans="11:11" x14ac:dyDescent="0.3">
      <c r="K686" s="81" t="e" cm="1">
        <f t="array" ref="K686">MAX(_xlfn.XLOOKUP(D1024,Table5[Driver],'Race Results'!$E$3:$E$22),_xlfn.XLOOKUP(E1024,Table5[Driver],'Race Results'!$E$3:$E$22)*0.5)</f>
        <v>#N/A</v>
      </c>
    </row>
    <row r="687" spans="11:11" x14ac:dyDescent="0.3">
      <c r="K687" s="81" t="e" cm="1">
        <f t="array" ref="K687">MAX(_xlfn.XLOOKUP(D1025,Table5[Driver],'Race Results'!$E$3:$E$22),_xlfn.XLOOKUP(E1025,Table5[Driver],'Race Results'!$E$3:$E$22)*0.5)</f>
        <v>#N/A</v>
      </c>
    </row>
    <row r="688" spans="11:11" x14ac:dyDescent="0.3">
      <c r="K688" s="81" t="e" cm="1">
        <f t="array" ref="K688">MAX(_xlfn.XLOOKUP(D1026,Table5[Driver],'Race Results'!$E$3:$E$22),_xlfn.XLOOKUP(E1026,Table5[Driver],'Race Results'!$E$3:$E$22)*0.5)</f>
        <v>#N/A</v>
      </c>
    </row>
    <row r="689" spans="11:11" x14ac:dyDescent="0.3">
      <c r="K689" s="81" t="e" cm="1">
        <f t="array" ref="K689">MAX(_xlfn.XLOOKUP(D1027,Table5[Driver],'Race Results'!$E$3:$E$22),_xlfn.XLOOKUP(E1027,Table5[Driver],'Race Results'!$E$3:$E$22)*0.5)</f>
        <v>#N/A</v>
      </c>
    </row>
    <row r="690" spans="11:11" x14ac:dyDescent="0.3">
      <c r="K690" s="81" t="e" cm="1">
        <f t="array" ref="K690">MAX(_xlfn.XLOOKUP(D1028,Table5[Driver],'Race Results'!$E$3:$E$22),_xlfn.XLOOKUP(E1028,Table5[Driver],'Race Results'!$E$3:$E$22)*0.5)</f>
        <v>#N/A</v>
      </c>
    </row>
    <row r="691" spans="11:11" x14ac:dyDescent="0.3">
      <c r="K691" s="81" t="e" cm="1">
        <f t="array" ref="K691">MAX(_xlfn.XLOOKUP(D1029,Table5[Driver],'Race Results'!$E$3:$E$22),_xlfn.XLOOKUP(E1029,Table5[Driver],'Race Results'!$E$3:$E$22)*0.5)</f>
        <v>#N/A</v>
      </c>
    </row>
    <row r="692" spans="11:11" x14ac:dyDescent="0.3">
      <c r="K692" s="81" t="e" cm="1">
        <f t="array" ref="K692">MAX(_xlfn.XLOOKUP(D1030,Table5[Driver],'Race Results'!$E$3:$E$22),_xlfn.XLOOKUP(E1030,Table5[Driver],'Race Results'!$E$3:$E$22)*0.5)</f>
        <v>#N/A</v>
      </c>
    </row>
    <row r="693" spans="11:11" x14ac:dyDescent="0.3">
      <c r="K693" s="81" t="e" cm="1">
        <f t="array" ref="K693">MAX(_xlfn.XLOOKUP(D1031,Table5[Driver],'Race Results'!$E$3:$E$22),_xlfn.XLOOKUP(E1031,Table5[Driver],'Race Results'!$E$3:$E$22)*0.5)</f>
        <v>#N/A</v>
      </c>
    </row>
    <row r="694" spans="11:11" x14ac:dyDescent="0.3">
      <c r="K694" s="81" t="e" cm="1">
        <f t="array" ref="K694">MAX(_xlfn.XLOOKUP(D1032,Table5[Driver],'Race Results'!$E$3:$E$22),_xlfn.XLOOKUP(E1032,Table5[Driver],'Race Results'!$E$3:$E$22)*0.5)</f>
        <v>#N/A</v>
      </c>
    </row>
    <row r="695" spans="11:11" x14ac:dyDescent="0.3">
      <c r="K695" s="81" t="e" cm="1">
        <f t="array" ref="K695">MAX(_xlfn.XLOOKUP(D1033,Table5[Driver],'Race Results'!$E$3:$E$22),_xlfn.XLOOKUP(E1033,Table5[Driver],'Race Results'!$E$3:$E$22)*0.5)</f>
        <v>#N/A</v>
      </c>
    </row>
    <row r="696" spans="11:11" x14ac:dyDescent="0.3">
      <c r="K696" s="81" t="e" cm="1">
        <f t="array" ref="K696">MAX(_xlfn.XLOOKUP(D1034,Table5[Driver],'Race Results'!$E$3:$E$22),_xlfn.XLOOKUP(E1034,Table5[Driver],'Race Results'!$E$3:$E$22)*0.5)</f>
        <v>#N/A</v>
      </c>
    </row>
    <row r="697" spans="11:11" x14ac:dyDescent="0.3">
      <c r="K697" s="81" t="e" cm="1">
        <f t="array" ref="K697">MAX(_xlfn.XLOOKUP(D1035,Table5[Driver],'Race Results'!$E$3:$E$22),_xlfn.XLOOKUP(E1035,Table5[Driver],'Race Results'!$E$3:$E$22)*0.5)</f>
        <v>#N/A</v>
      </c>
    </row>
    <row r="698" spans="11:11" x14ac:dyDescent="0.3">
      <c r="K698" s="81" t="e" cm="1">
        <f t="array" ref="K698">MAX(_xlfn.XLOOKUP(D1036,Table5[Driver],'Race Results'!$E$3:$E$22),_xlfn.XLOOKUP(E1036,Table5[Driver],'Race Results'!$E$3:$E$22)*0.5)</f>
        <v>#N/A</v>
      </c>
    </row>
    <row r="699" spans="11:11" x14ac:dyDescent="0.3">
      <c r="K699" s="81" t="e" cm="1">
        <f t="array" ref="K699">MAX(_xlfn.XLOOKUP(D1037,Table5[Driver],'Race Results'!$E$3:$E$22),_xlfn.XLOOKUP(E1037,Table5[Driver],'Race Results'!$E$3:$E$22)*0.5)</f>
        <v>#N/A</v>
      </c>
    </row>
    <row r="700" spans="11:11" x14ac:dyDescent="0.3">
      <c r="K700" s="81" t="e" cm="1">
        <f t="array" ref="K700">MAX(_xlfn.XLOOKUP(D1038,Table5[Driver],'Race Results'!$E$3:$E$22),_xlfn.XLOOKUP(E1038,Table5[Driver],'Race Results'!$E$3:$E$22)*0.5)</f>
        <v>#N/A</v>
      </c>
    </row>
    <row r="701" spans="11:11" x14ac:dyDescent="0.3">
      <c r="K701" s="81" t="e" cm="1">
        <f t="array" ref="K701">MAX(_xlfn.XLOOKUP(D1039,Table5[Driver],'Race Results'!$E$3:$E$22),_xlfn.XLOOKUP(E1039,Table5[Driver],'Race Results'!$E$3:$E$22)*0.5)</f>
        <v>#N/A</v>
      </c>
    </row>
    <row r="702" spans="11:11" x14ac:dyDescent="0.3">
      <c r="K702" s="81" t="e" cm="1">
        <f t="array" ref="K702">MAX(_xlfn.XLOOKUP(D1040,Table5[Driver],'Race Results'!$E$3:$E$22),_xlfn.XLOOKUP(E1040,Table5[Driver],'Race Results'!$E$3:$E$22)*0.5)</f>
        <v>#N/A</v>
      </c>
    </row>
    <row r="703" spans="11:11" x14ac:dyDescent="0.3">
      <c r="K703" s="81" t="e" cm="1">
        <f t="array" ref="K703">MAX(_xlfn.XLOOKUP(D1041,Table5[Driver],'Race Results'!$E$3:$E$22),_xlfn.XLOOKUP(E1041,Table5[Driver],'Race Results'!$E$3:$E$22)*0.5)</f>
        <v>#N/A</v>
      </c>
    </row>
    <row r="704" spans="11:11" x14ac:dyDescent="0.3">
      <c r="K704" s="81" t="e" cm="1">
        <f t="array" ref="K704">MAX(_xlfn.XLOOKUP(D1042,Table5[Driver],'Race Results'!$E$3:$E$22),_xlfn.XLOOKUP(E1042,Table5[Driver],'Race Results'!$E$3:$E$22)*0.5)</f>
        <v>#N/A</v>
      </c>
    </row>
    <row r="705" spans="11:11" x14ac:dyDescent="0.3">
      <c r="K705" s="81" t="e" cm="1">
        <f t="array" ref="K705">MAX(_xlfn.XLOOKUP(D1043,Table5[Driver],'Race Results'!$E$3:$E$22),_xlfn.XLOOKUP(E1043,Table5[Driver],'Race Results'!$E$3:$E$22)*0.5)</f>
        <v>#N/A</v>
      </c>
    </row>
    <row r="706" spans="11:11" x14ac:dyDescent="0.3">
      <c r="K706" s="81" t="e" cm="1">
        <f t="array" ref="K706">MAX(_xlfn.XLOOKUP(D1044,Table5[Driver],'Race Results'!$E$3:$E$22),_xlfn.XLOOKUP(E1044,Table5[Driver],'Race Results'!$E$3:$E$22)*0.5)</f>
        <v>#N/A</v>
      </c>
    </row>
    <row r="707" spans="11:11" x14ac:dyDescent="0.3">
      <c r="K707" s="81" t="e" cm="1">
        <f t="array" ref="K707">MAX(_xlfn.XLOOKUP(D1045,Table5[Driver],'Race Results'!$E$3:$E$22),_xlfn.XLOOKUP(E1045,Table5[Driver],'Race Results'!$E$3:$E$22)*0.5)</f>
        <v>#N/A</v>
      </c>
    </row>
    <row r="708" spans="11:11" x14ac:dyDescent="0.3">
      <c r="K708" s="81" t="e" cm="1">
        <f t="array" ref="K708">MAX(_xlfn.XLOOKUP(D1046,Table5[Driver],'Race Results'!$E$3:$E$22),_xlfn.XLOOKUP(E1046,Table5[Driver],'Race Results'!$E$3:$E$22)*0.5)</f>
        <v>#N/A</v>
      </c>
    </row>
    <row r="709" spans="11:11" x14ac:dyDescent="0.3">
      <c r="K709" s="81" t="e" cm="1">
        <f t="array" ref="K709">MAX(_xlfn.XLOOKUP(D1047,Table5[Driver],'Race Results'!$E$3:$E$22),_xlfn.XLOOKUP(E1047,Table5[Driver],'Race Results'!$E$3:$E$22)*0.5)</f>
        <v>#N/A</v>
      </c>
    </row>
    <row r="710" spans="11:11" x14ac:dyDescent="0.3">
      <c r="K710" s="81" t="e" cm="1">
        <f t="array" ref="K710">MAX(_xlfn.XLOOKUP(D1048,Table5[Driver],'Race Results'!$E$3:$E$22),_xlfn.XLOOKUP(E1048,Table5[Driver],'Race Results'!$E$3:$E$22)*0.5)</f>
        <v>#N/A</v>
      </c>
    </row>
    <row r="711" spans="11:11" x14ac:dyDescent="0.3">
      <c r="K711" s="81" t="e" cm="1">
        <f t="array" ref="K711">MAX(_xlfn.XLOOKUP(D1049,Table5[Driver],'Race Results'!$E$3:$E$22),_xlfn.XLOOKUP(E1049,Table5[Driver],'Race Results'!$E$3:$E$22)*0.5)</f>
        <v>#N/A</v>
      </c>
    </row>
    <row r="712" spans="11:11" x14ac:dyDescent="0.3">
      <c r="K712" s="81" t="e" cm="1">
        <f t="array" ref="K712">MAX(_xlfn.XLOOKUP(D1050,Table5[Driver],'Race Results'!$E$3:$E$22),_xlfn.XLOOKUP(E1050,Table5[Driver],'Race Results'!$E$3:$E$22)*0.5)</f>
        <v>#N/A</v>
      </c>
    </row>
    <row r="713" spans="11:11" x14ac:dyDescent="0.3">
      <c r="K713" s="81" t="e" cm="1">
        <f t="array" ref="K713">MAX(_xlfn.XLOOKUP(D1051,Table5[Driver],'Race Results'!$E$3:$E$22),_xlfn.XLOOKUP(E1051,Table5[Driver],'Race Results'!$E$3:$E$22)*0.5)</f>
        <v>#N/A</v>
      </c>
    </row>
    <row r="714" spans="11:11" x14ac:dyDescent="0.3">
      <c r="K714" s="81" t="e" cm="1">
        <f t="array" ref="K714">MAX(_xlfn.XLOOKUP(D1052,Table5[Driver],'Race Results'!$E$3:$E$22),_xlfn.XLOOKUP(E1052,Table5[Driver],'Race Results'!$E$3:$E$22)*0.5)</f>
        <v>#N/A</v>
      </c>
    </row>
    <row r="715" spans="11:11" x14ac:dyDescent="0.3">
      <c r="K715" s="81" t="e" cm="1">
        <f t="array" ref="K715">MAX(_xlfn.XLOOKUP(D1053,Table5[Driver],'Race Results'!$E$3:$E$22),_xlfn.XLOOKUP(E1053,Table5[Driver],'Race Results'!$E$3:$E$22)*0.5)</f>
        <v>#N/A</v>
      </c>
    </row>
    <row r="716" spans="11:11" x14ac:dyDescent="0.3">
      <c r="K716" s="81" t="e" cm="1">
        <f t="array" ref="K716">MAX(_xlfn.XLOOKUP(D1054,Table5[Driver],'Race Results'!$E$3:$E$22),_xlfn.XLOOKUP(E1054,Table5[Driver],'Race Results'!$E$3:$E$22)*0.5)</f>
        <v>#N/A</v>
      </c>
    </row>
    <row r="717" spans="11:11" x14ac:dyDescent="0.3">
      <c r="K717" s="81" t="e" cm="1">
        <f t="array" ref="K717">MAX(_xlfn.XLOOKUP(D1055,Table5[Driver],'Race Results'!$E$3:$E$22),_xlfn.XLOOKUP(E1055,Table5[Driver],'Race Results'!$E$3:$E$22)*0.5)</f>
        <v>#N/A</v>
      </c>
    </row>
    <row r="718" spans="11:11" x14ac:dyDescent="0.3">
      <c r="K718" s="81" t="e" cm="1">
        <f t="array" ref="K718">MAX(_xlfn.XLOOKUP(D1056,Table5[Driver],'Race Results'!$E$3:$E$22),_xlfn.XLOOKUP(E1056,Table5[Driver],'Race Results'!$E$3:$E$22)*0.5)</f>
        <v>#N/A</v>
      </c>
    </row>
    <row r="719" spans="11:11" x14ac:dyDescent="0.3">
      <c r="K719" s="81" t="e" cm="1">
        <f t="array" ref="K719">MAX(_xlfn.XLOOKUP(D1057,Table5[Driver],'Race Results'!$E$3:$E$22),_xlfn.XLOOKUP(E1057,Table5[Driver],'Race Results'!$E$3:$E$22)*0.5)</f>
        <v>#N/A</v>
      </c>
    </row>
    <row r="720" spans="11:11" x14ac:dyDescent="0.3">
      <c r="K720" s="81" t="e" cm="1">
        <f t="array" ref="K720">MAX(_xlfn.XLOOKUP(D1058,Table5[Driver],'Race Results'!$E$3:$E$22),_xlfn.XLOOKUP(E1058,Table5[Driver],'Race Results'!$E$3:$E$22)*0.5)</f>
        <v>#N/A</v>
      </c>
    </row>
    <row r="721" spans="11:11" x14ac:dyDescent="0.3">
      <c r="K721" s="81" t="e" cm="1">
        <f t="array" ref="K721">MAX(_xlfn.XLOOKUP(D1059,Table5[Driver],'Race Results'!$E$3:$E$22),_xlfn.XLOOKUP(E1059,Table5[Driver],'Race Results'!$E$3:$E$22)*0.5)</f>
        <v>#N/A</v>
      </c>
    </row>
    <row r="722" spans="11:11" x14ac:dyDescent="0.3">
      <c r="K722" s="81" t="e" cm="1">
        <f t="array" ref="K722">MAX(_xlfn.XLOOKUP(D1060,Table5[Driver],'Race Results'!$E$3:$E$22),_xlfn.XLOOKUP(E1060,Table5[Driver],'Race Results'!$E$3:$E$22)*0.5)</f>
        <v>#N/A</v>
      </c>
    </row>
    <row r="723" spans="11:11" x14ac:dyDescent="0.3">
      <c r="K723" s="81" t="e" cm="1">
        <f t="array" ref="K723">MAX(_xlfn.XLOOKUP(D1061,Table5[Driver],'Race Results'!$E$3:$E$22),_xlfn.XLOOKUP(E1061,Table5[Driver],'Race Results'!$E$3:$E$22)*0.5)</f>
        <v>#N/A</v>
      </c>
    </row>
    <row r="724" spans="11:11" x14ac:dyDescent="0.3">
      <c r="K724" s="81" t="e" cm="1">
        <f t="array" ref="K724">MAX(_xlfn.XLOOKUP(D1062,Table5[Driver],'Race Results'!$E$3:$E$22),_xlfn.XLOOKUP(E1062,Table5[Driver],'Race Results'!$E$3:$E$22)*0.5)</f>
        <v>#N/A</v>
      </c>
    </row>
    <row r="725" spans="11:11" x14ac:dyDescent="0.3">
      <c r="K725" s="81" t="e" cm="1">
        <f t="array" ref="K725">MAX(_xlfn.XLOOKUP(D1063,Table5[Driver],'Race Results'!$E$3:$E$22),_xlfn.XLOOKUP(E1063,Table5[Driver],'Race Results'!$E$3:$E$22)*0.5)</f>
        <v>#N/A</v>
      </c>
    </row>
    <row r="726" spans="11:11" x14ac:dyDescent="0.3">
      <c r="K726" s="81" t="e" cm="1">
        <f t="array" ref="K726">MAX(_xlfn.XLOOKUP(D1064,Table5[Driver],'Race Results'!$E$3:$E$22),_xlfn.XLOOKUP(E1064,Table5[Driver],'Race Results'!$E$3:$E$22)*0.5)</f>
        <v>#N/A</v>
      </c>
    </row>
    <row r="727" spans="11:11" x14ac:dyDescent="0.3">
      <c r="K727" s="81" t="e" cm="1">
        <f t="array" ref="K727">MAX(_xlfn.XLOOKUP(D1065,Table5[Driver],'Race Results'!$E$3:$E$22),_xlfn.XLOOKUP(E1065,Table5[Driver],'Race Results'!$E$3:$E$22)*0.5)</f>
        <v>#N/A</v>
      </c>
    </row>
    <row r="728" spans="11:11" x14ac:dyDescent="0.3">
      <c r="K728" s="81" t="e" cm="1">
        <f t="array" ref="K728">MAX(_xlfn.XLOOKUP(D1066,Table5[Driver],'Race Results'!$E$3:$E$22),_xlfn.XLOOKUP(E1066,Table5[Driver],'Race Results'!$E$3:$E$22)*0.5)</f>
        <v>#N/A</v>
      </c>
    </row>
    <row r="729" spans="11:11" x14ac:dyDescent="0.3">
      <c r="K729" s="81" t="e" cm="1">
        <f t="array" ref="K729">MAX(_xlfn.XLOOKUP(D1067,Table5[Driver],'Race Results'!$E$3:$E$22),_xlfn.XLOOKUP(E1067,Table5[Driver],'Race Results'!$E$3:$E$22)*0.5)</f>
        <v>#N/A</v>
      </c>
    </row>
    <row r="730" spans="11:11" x14ac:dyDescent="0.3">
      <c r="K730" s="81" t="e" cm="1">
        <f t="array" ref="K730">MAX(_xlfn.XLOOKUP(D1068,Table5[Driver],'Race Results'!$E$3:$E$22),_xlfn.XLOOKUP(E1068,Table5[Driver],'Race Results'!$E$3:$E$22)*0.5)</f>
        <v>#N/A</v>
      </c>
    </row>
    <row r="731" spans="11:11" x14ac:dyDescent="0.3">
      <c r="K731" s="81" t="e" cm="1">
        <f t="array" ref="K731">MAX(_xlfn.XLOOKUP(D1069,Table5[Driver],'Race Results'!$E$3:$E$22),_xlfn.XLOOKUP(E1069,Table5[Driver],'Race Results'!$E$3:$E$22)*0.5)</f>
        <v>#N/A</v>
      </c>
    </row>
    <row r="732" spans="11:11" x14ac:dyDescent="0.3">
      <c r="K732" s="81" t="e" cm="1">
        <f t="array" ref="K732">MAX(_xlfn.XLOOKUP(D1070,Table5[Driver],'Race Results'!$E$3:$E$22),_xlfn.XLOOKUP(E1070,Table5[Driver],'Race Results'!$E$3:$E$22)*0.5)</f>
        <v>#N/A</v>
      </c>
    </row>
    <row r="733" spans="11:11" x14ac:dyDescent="0.3">
      <c r="K733" s="81" t="e" cm="1">
        <f t="array" ref="K733">MAX(_xlfn.XLOOKUP(D1071,Table5[Driver],'Race Results'!$E$3:$E$22),_xlfn.XLOOKUP(E1071,Table5[Driver],'Race Results'!$E$3:$E$22)*0.5)</f>
        <v>#N/A</v>
      </c>
    </row>
    <row r="734" spans="11:11" x14ac:dyDescent="0.3">
      <c r="K734" s="81" t="e" cm="1">
        <f t="array" ref="K734">MAX(_xlfn.XLOOKUP(D1072,Table5[Driver],'Race Results'!$E$3:$E$22),_xlfn.XLOOKUP(E1072,Table5[Driver],'Race Results'!$E$3:$E$22)*0.5)</f>
        <v>#N/A</v>
      </c>
    </row>
    <row r="735" spans="11:11" x14ac:dyDescent="0.3">
      <c r="K735" s="81" t="e" cm="1">
        <f t="array" ref="K735">MAX(_xlfn.XLOOKUP(D1073,Table5[Driver],'Race Results'!$E$3:$E$22),_xlfn.XLOOKUP(E1073,Table5[Driver],'Race Results'!$E$3:$E$22)*0.5)</f>
        <v>#N/A</v>
      </c>
    </row>
    <row r="736" spans="11:11" x14ac:dyDescent="0.3">
      <c r="K736" s="81" t="e" cm="1">
        <f t="array" ref="K736">MAX(_xlfn.XLOOKUP(D1074,Table5[Driver],'Race Results'!$E$3:$E$22),_xlfn.XLOOKUP(E1074,Table5[Driver],'Race Results'!$E$3:$E$22)*0.5)</f>
        <v>#N/A</v>
      </c>
    </row>
    <row r="737" spans="11:11" x14ac:dyDescent="0.3">
      <c r="K737" s="81" t="e" cm="1">
        <f t="array" ref="K737">MAX(_xlfn.XLOOKUP(D1075,Table5[Driver],'Race Results'!$E$3:$E$22),_xlfn.XLOOKUP(E1075,Table5[Driver],'Race Results'!$E$3:$E$22)*0.5)</f>
        <v>#N/A</v>
      </c>
    </row>
    <row r="738" spans="11:11" x14ac:dyDescent="0.3">
      <c r="K738" s="81" t="e" cm="1">
        <f t="array" ref="K738">MAX(_xlfn.XLOOKUP(D1076,Table5[Driver],'Race Results'!$E$3:$E$22),_xlfn.XLOOKUP(E1076,Table5[Driver],'Race Results'!$E$3:$E$22)*0.5)</f>
        <v>#N/A</v>
      </c>
    </row>
  </sheetData>
  <phoneticPr fontId="28" type="noConversion"/>
  <conditionalFormatting sqref="K1:K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{19384C0E-A943-49F2-9C8D-980D86482AEC}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384C0E-A943-49F2-9C8D-980D86482A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87F0-B99E-4C81-B331-0B762B9A6115}">
  <sheetPr codeName="Sheet3"/>
  <dimension ref="A1:AK44"/>
  <sheetViews>
    <sheetView showGridLines="0" zoomScale="85" zoomScaleNormal="85" workbookViewId="0">
      <selection activeCell="AJ24" sqref="AJ24"/>
    </sheetView>
  </sheetViews>
  <sheetFormatPr defaultRowHeight="14.4" x14ac:dyDescent="0.3"/>
  <cols>
    <col min="1" max="1" width="6.6640625" bestFit="1" customWidth="1"/>
    <col min="2" max="2" width="29.88671875" bestFit="1" customWidth="1"/>
    <col min="3" max="3" width="8.33203125" bestFit="1" customWidth="1"/>
    <col min="4" max="4" width="11.109375" bestFit="1" customWidth="1"/>
    <col min="5" max="5" width="16.77734375" customWidth="1"/>
    <col min="6" max="6" width="3.21875" customWidth="1"/>
    <col min="7" max="7" width="29.77734375" style="54" bestFit="1" customWidth="1"/>
    <col min="8" max="8" width="10.6640625" style="54" customWidth="1"/>
    <col min="9" max="9" width="35" customWidth="1"/>
    <col min="10" max="11" width="10.6640625" style="5" customWidth="1"/>
    <col min="12" max="12" width="14.44140625" style="13" customWidth="1"/>
    <col min="13" max="13" width="3.21875" customWidth="1"/>
    <col min="14" max="14" width="10.44140625" bestFit="1" customWidth="1"/>
    <col min="15" max="15" width="30.5546875" style="4" customWidth="1"/>
    <col min="16" max="19" width="30.5546875" customWidth="1"/>
    <col min="20" max="20" width="30.5546875" hidden="1" customWidth="1"/>
    <col min="21" max="37" width="30.5546875" customWidth="1"/>
    <col min="38" max="40" width="29.5546875" customWidth="1"/>
  </cols>
  <sheetData>
    <row r="1" spans="1:37" s="88" customFormat="1" x14ac:dyDescent="0.3">
      <c r="A1" s="86" t="s">
        <v>313</v>
      </c>
      <c r="B1" s="87"/>
      <c r="C1" s="87"/>
      <c r="D1" s="87"/>
      <c r="G1" s="89" t="s">
        <v>314</v>
      </c>
      <c r="H1" s="54"/>
      <c r="J1" s="90"/>
      <c r="K1" s="90"/>
      <c r="L1" s="91"/>
      <c r="O1" s="92"/>
    </row>
    <row r="2" spans="1:37" ht="15" thickBot="1" x14ac:dyDescent="0.35">
      <c r="A2" s="26" t="s">
        <v>315</v>
      </c>
      <c r="B2" s="26" t="s">
        <v>316</v>
      </c>
      <c r="C2" s="26" t="s">
        <v>317</v>
      </c>
      <c r="D2" s="57" t="s">
        <v>318</v>
      </c>
      <c r="E2" s="64" t="s">
        <v>88</v>
      </c>
      <c r="F2" s="13"/>
      <c r="G2" s="58" t="s">
        <v>319</v>
      </c>
      <c r="H2" s="59" t="s">
        <v>320</v>
      </c>
      <c r="I2" s="59" t="s">
        <v>316</v>
      </c>
      <c r="J2" s="60" t="s">
        <v>317</v>
      </c>
      <c r="K2" s="60" t="s">
        <v>318</v>
      </c>
      <c r="L2" s="64" t="s">
        <v>88</v>
      </c>
      <c r="N2" s="4" t="s">
        <v>320</v>
      </c>
      <c r="O2" s="63" t="s">
        <v>321</v>
      </c>
      <c r="P2" s="28" t="s">
        <v>322</v>
      </c>
      <c r="Q2" s="28" t="s">
        <v>323</v>
      </c>
      <c r="R2" s="28" t="s">
        <v>324</v>
      </c>
      <c r="S2" s="28" t="s">
        <v>325</v>
      </c>
      <c r="T2" s="28" t="s">
        <v>326</v>
      </c>
      <c r="U2" s="28" t="s">
        <v>327</v>
      </c>
      <c r="V2" s="28" t="s">
        <v>328</v>
      </c>
      <c r="W2" s="28" t="s">
        <v>329</v>
      </c>
      <c r="X2" s="28" t="s">
        <v>453</v>
      </c>
      <c r="Y2" s="28" t="s">
        <v>331</v>
      </c>
      <c r="Z2" s="28" t="s">
        <v>39</v>
      </c>
      <c r="AA2" s="28" t="s">
        <v>40</v>
      </c>
      <c r="AB2" s="28" t="s">
        <v>41</v>
      </c>
      <c r="AC2" s="28" t="s">
        <v>42</v>
      </c>
      <c r="AD2" s="28" t="s">
        <v>43</v>
      </c>
      <c r="AE2" s="28" t="s">
        <v>44</v>
      </c>
      <c r="AF2" s="28" t="s">
        <v>45</v>
      </c>
      <c r="AG2" s="28" t="s">
        <v>46</v>
      </c>
      <c r="AH2" s="28" t="s">
        <v>47</v>
      </c>
      <c r="AI2" s="28" t="s">
        <v>48</v>
      </c>
      <c r="AJ2" s="28" t="s">
        <v>49</v>
      </c>
      <c r="AK2" s="29" t="s">
        <v>50</v>
      </c>
    </row>
    <row r="3" spans="1:37" ht="15" thickTop="1" x14ac:dyDescent="0.3">
      <c r="A3" s="121" t="s">
        <v>332</v>
      </c>
      <c r="B3" s="24" t="s">
        <v>333</v>
      </c>
      <c r="C3" s="24" t="s">
        <v>814</v>
      </c>
      <c r="D3" s="122" t="s">
        <v>334</v>
      </c>
      <c r="E3" s="65"/>
      <c r="F3" s="31"/>
      <c r="G3" s="61" t="str">
        <f>Table_0[[#This Row],[Driver]]</f>
        <v>Max VerstappenRed Bull</v>
      </c>
      <c r="H3" s="62">
        <f>IFERROR(VALUE(_xlfn.XLOOKUP(G3,Table_0[Driver],Table_0[Pos])),"R")</f>
        <v>1</v>
      </c>
      <c r="I3" s="55" t="str">
        <f>_xlfn.XLOOKUP(Table_0[[#This Row],[Driver]],DriverNameMapping!$A$1:$A$22,DriverNameMapping!$B$1:$B$22)</f>
        <v>Max Verstappen - Red Bull</v>
      </c>
      <c r="J3" s="56" t="str">
        <f>_xlfn.XLOOKUP(G3,Table_0[Driver],Table_0[Time])</f>
        <v>1:28.545</v>
      </c>
      <c r="K3" s="56" t="str">
        <f>_xlfn.XLOOKUP(G3,Table_0[Driver],Table_0[Stops])</f>
        <v>2</v>
      </c>
      <c r="L3" s="64" cm="1">
        <f t="array" ref="L3">_xlfn.XLOOKUP(H3,VALUE(Table_0[Pos]),$E$3:$E$22,0)</f>
        <v>0</v>
      </c>
      <c r="N3" s="4">
        <v>1</v>
      </c>
      <c r="O3" t="s">
        <v>187</v>
      </c>
      <c r="P3" t="s">
        <v>234</v>
      </c>
      <c r="Q3" t="s">
        <v>187</v>
      </c>
      <c r="R3" t="s">
        <v>234</v>
      </c>
      <c r="S3" t="s">
        <v>187</v>
      </c>
      <c r="U3" t="s">
        <v>187</v>
      </c>
      <c r="V3" t="s">
        <v>187</v>
      </c>
      <c r="W3" t="s">
        <v>187</v>
      </c>
      <c r="X3" t="s">
        <v>187</v>
      </c>
      <c r="Y3" t="s">
        <v>187</v>
      </c>
      <c r="Z3" t="s">
        <v>187</v>
      </c>
      <c r="AA3" t="s">
        <v>187</v>
      </c>
      <c r="AB3" t="s">
        <v>187</v>
      </c>
      <c r="AC3" t="s">
        <v>187</v>
      </c>
      <c r="AD3" t="s">
        <v>202</v>
      </c>
      <c r="AE3" t="s">
        <v>187</v>
      </c>
      <c r="AF3" t="s">
        <v>187</v>
      </c>
      <c r="AG3" t="s">
        <v>187</v>
      </c>
      <c r="AH3" t="s">
        <v>187</v>
      </c>
      <c r="AI3" t="s">
        <v>187</v>
      </c>
      <c r="AJ3" t="s">
        <v>187</v>
      </c>
      <c r="AK3" t="s">
        <v>187</v>
      </c>
    </row>
    <row r="4" spans="1:37" x14ac:dyDescent="0.3">
      <c r="A4" s="121" t="s">
        <v>334</v>
      </c>
      <c r="B4" s="24" t="s">
        <v>339</v>
      </c>
      <c r="C4" s="24" t="s">
        <v>815</v>
      </c>
      <c r="D4" s="122" t="s">
        <v>334</v>
      </c>
      <c r="E4" s="65"/>
      <c r="F4" s="31"/>
      <c r="G4" s="61" t="str">
        <f>Table_0[[#This Row],[Driver]]</f>
        <v>Charles LeclercFerrari</v>
      </c>
      <c r="H4" s="62">
        <f>IFERROR(VALUE(_xlfn.XLOOKUP(G4,Table_0[Driver],Table_0[Pos])),"R")</f>
        <v>2</v>
      </c>
      <c r="I4" s="55" t="str">
        <f>_xlfn.XLOOKUP(Table_0[[#This Row],[Driver]],DriverNameMapping!$A$1:$A$22,DriverNameMapping!$B$1:$B$22)</f>
        <v>Charles Leclerc - Ferrari</v>
      </c>
      <c r="J4" s="56" t="str">
        <f>_xlfn.XLOOKUP(G4,Table_0[Driver],Table_0[Time])</f>
        <v>+ 17.993</v>
      </c>
      <c r="K4" s="56" t="str">
        <f>_xlfn.XLOOKUP(G4,Table_0[Driver],Table_0[Stops])</f>
        <v>2</v>
      </c>
      <c r="L4" s="64" cm="1">
        <f t="array" ref="L4">_xlfn.XLOOKUP(H4,VALUE(Table_0[Pos]),$E$3:$E$22,0)</f>
        <v>0</v>
      </c>
      <c r="N4" s="4">
        <v>2</v>
      </c>
      <c r="O4" t="s">
        <v>234</v>
      </c>
      <c r="P4" t="s">
        <v>187</v>
      </c>
      <c r="Q4" t="s">
        <v>207</v>
      </c>
      <c r="R4" t="s">
        <v>187</v>
      </c>
      <c r="S4" t="s">
        <v>234</v>
      </c>
      <c r="U4" t="s">
        <v>205</v>
      </c>
      <c r="V4" t="s">
        <v>207</v>
      </c>
      <c r="W4" t="s">
        <v>205</v>
      </c>
      <c r="X4" t="s">
        <v>273</v>
      </c>
      <c r="Y4" t="s">
        <v>199</v>
      </c>
      <c r="Z4" t="s">
        <v>199</v>
      </c>
      <c r="AA4" t="s">
        <v>234</v>
      </c>
      <c r="AB4" t="s">
        <v>205</v>
      </c>
      <c r="AC4" t="s">
        <v>234</v>
      </c>
      <c r="AD4" t="s">
        <v>199</v>
      </c>
      <c r="AE4" t="s">
        <v>199</v>
      </c>
      <c r="AF4" t="s">
        <v>172</v>
      </c>
      <c r="AG4" t="s">
        <v>199</v>
      </c>
      <c r="AH4" t="s">
        <v>207</v>
      </c>
      <c r="AI4" t="s">
        <v>199</v>
      </c>
      <c r="AJ4" t="s">
        <v>273</v>
      </c>
      <c r="AK4" t="s">
        <v>273</v>
      </c>
    </row>
    <row r="5" spans="1:37" x14ac:dyDescent="0.3">
      <c r="A5" s="121" t="s">
        <v>336</v>
      </c>
      <c r="B5" s="24" t="s">
        <v>365</v>
      </c>
      <c r="C5" s="24" t="s">
        <v>816</v>
      </c>
      <c r="D5" s="122" t="s">
        <v>334</v>
      </c>
      <c r="E5" s="65"/>
      <c r="F5" s="31"/>
      <c r="G5" s="61" t="str">
        <f>Table_0[[#This Row],[Driver]]</f>
        <v>George RussellMercedes</v>
      </c>
      <c r="H5" s="62">
        <f>IFERROR(VALUE(_xlfn.XLOOKUP(G5,Table_0[Driver],Table_0[Pos])),"R")</f>
        <v>3</v>
      </c>
      <c r="I5" s="55" t="str">
        <f>_xlfn.XLOOKUP(Table_0[[#This Row],[Driver]],DriverNameMapping!$A$1:$A$22,DriverNameMapping!$B$1:$B$22)</f>
        <v>George Russell - Mercedes</v>
      </c>
      <c r="J5" s="56" t="str">
        <f>_xlfn.XLOOKUP(G5,Table_0[Driver],Table_0[Time])</f>
        <v>+ 20.328</v>
      </c>
      <c r="K5" s="56" t="str">
        <f>_xlfn.XLOOKUP(G5,Table_0[Driver],Table_0[Stops])</f>
        <v>2</v>
      </c>
      <c r="L5" s="64" cm="1">
        <f t="array" ref="L5">_xlfn.XLOOKUP(H5,VALUE(Table_0[Pos]),$E$3:$E$22,0)</f>
        <v>0</v>
      </c>
      <c r="N5" s="4">
        <v>3</v>
      </c>
      <c r="O5" t="s">
        <v>205</v>
      </c>
      <c r="P5" t="s">
        <v>205</v>
      </c>
      <c r="Q5" t="s">
        <v>205</v>
      </c>
      <c r="R5" t="s">
        <v>273</v>
      </c>
      <c r="S5" t="s">
        <v>205</v>
      </c>
      <c r="U5" t="s">
        <v>171</v>
      </c>
      <c r="V5" t="s">
        <v>169</v>
      </c>
      <c r="W5" t="s">
        <v>207</v>
      </c>
      <c r="X5" t="s">
        <v>234</v>
      </c>
      <c r="Y5" t="s">
        <v>207</v>
      </c>
      <c r="Z5" t="s">
        <v>234</v>
      </c>
      <c r="AA5" t="s">
        <v>273</v>
      </c>
      <c r="AB5" t="s">
        <v>197</v>
      </c>
      <c r="AC5" t="s">
        <v>202</v>
      </c>
      <c r="AD5" t="s">
        <v>207</v>
      </c>
      <c r="AE5" t="s">
        <v>172</v>
      </c>
      <c r="AF5" t="s">
        <v>199</v>
      </c>
      <c r="AG5" t="s">
        <v>202</v>
      </c>
      <c r="AH5" t="s">
        <v>273</v>
      </c>
      <c r="AI5" t="s">
        <v>205</v>
      </c>
      <c r="AJ5" t="s">
        <v>234</v>
      </c>
      <c r="AK5" t="s">
        <v>169</v>
      </c>
    </row>
    <row r="6" spans="1:37" x14ac:dyDescent="0.3">
      <c r="A6" s="121" t="s">
        <v>338</v>
      </c>
      <c r="B6" s="24" t="s">
        <v>343</v>
      </c>
      <c r="C6" s="24" t="s">
        <v>817</v>
      </c>
      <c r="D6" s="122" t="s">
        <v>334</v>
      </c>
      <c r="E6" s="65"/>
      <c r="F6" s="31"/>
      <c r="G6" s="61" t="str">
        <f>Table_0[[#This Row],[Driver]]</f>
        <v>Sergio PerezRed Bull</v>
      </c>
      <c r="H6" s="62">
        <f>IFERROR(VALUE(_xlfn.XLOOKUP(G6,Table_0[Driver],Table_0[Pos])),"R")</f>
        <v>4</v>
      </c>
      <c r="I6" s="55" t="str">
        <f>_xlfn.XLOOKUP(Table_0[[#This Row],[Driver]],DriverNameMapping!$A$1:$A$22,DriverNameMapping!$B$1:$B$22)</f>
        <v>Sergio Perez - Red Bull</v>
      </c>
      <c r="J6" s="56" t="str">
        <f>_xlfn.XLOOKUP(G6,Table_0[Driver],Table_0[Time])</f>
        <v>+ 21.453</v>
      </c>
      <c r="K6" s="56" t="str">
        <f>_xlfn.XLOOKUP(G6,Table_0[Driver],Table_0[Stops])</f>
        <v>2</v>
      </c>
      <c r="L6" s="64" cm="1">
        <f t="array" ref="L6">_xlfn.XLOOKUP(H6,VALUE(Table_0[Pos]),$E$3:$E$22,0)</f>
        <v>0</v>
      </c>
      <c r="N6" s="4">
        <v>4</v>
      </c>
      <c r="O6" t="s">
        <v>202</v>
      </c>
      <c r="P6" t="s">
        <v>169</v>
      </c>
      <c r="Q6" t="s">
        <v>183</v>
      </c>
      <c r="R6" t="s">
        <v>205</v>
      </c>
      <c r="S6" t="s">
        <v>169</v>
      </c>
      <c r="U6" t="s">
        <v>207</v>
      </c>
      <c r="V6" t="s">
        <v>234</v>
      </c>
      <c r="W6" t="s">
        <v>273</v>
      </c>
      <c r="X6" t="s">
        <v>199</v>
      </c>
      <c r="Y6" t="s">
        <v>172</v>
      </c>
      <c r="Z6" t="s">
        <v>207</v>
      </c>
      <c r="AA6" t="s">
        <v>207</v>
      </c>
      <c r="AB6" t="s">
        <v>234</v>
      </c>
      <c r="AC6" t="s">
        <v>273</v>
      </c>
      <c r="AD6" t="s">
        <v>273</v>
      </c>
      <c r="AE6" t="s">
        <v>273</v>
      </c>
      <c r="AF6" t="s">
        <v>169</v>
      </c>
      <c r="AG6" t="s">
        <v>234</v>
      </c>
      <c r="AH6" t="s">
        <v>202</v>
      </c>
      <c r="AI6" t="s">
        <v>234</v>
      </c>
      <c r="AJ6" t="s">
        <v>171</v>
      </c>
      <c r="AK6" t="s">
        <v>234</v>
      </c>
    </row>
    <row r="7" spans="1:37" x14ac:dyDescent="0.3">
      <c r="A7" s="121" t="s">
        <v>340</v>
      </c>
      <c r="B7" s="24" t="s">
        <v>358</v>
      </c>
      <c r="C7" s="24" t="s">
        <v>818</v>
      </c>
      <c r="D7" s="122" t="s">
        <v>334</v>
      </c>
      <c r="E7" s="66">
        <v>1</v>
      </c>
      <c r="F7" s="32"/>
      <c r="G7" s="61" t="str">
        <f>Table_0[[#This Row],[Driver]]</f>
        <v>Lando NorrisMcLaren</v>
      </c>
      <c r="H7" s="62">
        <f>IFERROR(VALUE(_xlfn.XLOOKUP(G7,Table_0[Driver],Table_0[Pos])),"R")</f>
        <v>5</v>
      </c>
      <c r="I7" s="55" t="str">
        <f>_xlfn.XLOOKUP(Table_0[[#This Row],[Driver]],DriverNameMapping!$A$1:$A$22,DriverNameMapping!$B$1:$B$22)</f>
        <v>Lando Norris - McLaren</v>
      </c>
      <c r="J7" s="56" t="str">
        <f>_xlfn.XLOOKUP(G7,Table_0[Driver],Table_0[Time])</f>
        <v>+ 24.284</v>
      </c>
      <c r="K7" s="56" t="str">
        <f>_xlfn.XLOOKUP(G7,Table_0[Driver],Table_0[Stops])</f>
        <v>2</v>
      </c>
      <c r="L7" s="64" cm="1">
        <f t="array" ref="L7">_xlfn.XLOOKUP(H7,VALUE(Table_0[Pos]),$E$3:$E$22,0)</f>
        <v>1</v>
      </c>
      <c r="N7" s="4">
        <v>5</v>
      </c>
      <c r="O7" t="s">
        <v>207</v>
      </c>
      <c r="P7" t="s">
        <v>207</v>
      </c>
      <c r="Q7" t="s">
        <v>234</v>
      </c>
      <c r="R7" t="s">
        <v>202</v>
      </c>
      <c r="S7" t="s">
        <v>202</v>
      </c>
      <c r="U7" t="s">
        <v>169</v>
      </c>
      <c r="V7" t="s">
        <v>202</v>
      </c>
      <c r="W7" t="s">
        <v>202</v>
      </c>
      <c r="X7" t="s">
        <v>205</v>
      </c>
      <c r="Y7" t="s">
        <v>169</v>
      </c>
      <c r="Z7" t="s">
        <v>172</v>
      </c>
      <c r="AA7" t="s">
        <v>205</v>
      </c>
      <c r="AB7" t="s">
        <v>202</v>
      </c>
      <c r="AC7" t="s">
        <v>169</v>
      </c>
      <c r="AD7" t="s">
        <v>187</v>
      </c>
      <c r="AE7" t="s">
        <v>207</v>
      </c>
      <c r="AF7" t="s">
        <v>273</v>
      </c>
      <c r="AG7" t="s">
        <v>169</v>
      </c>
      <c r="AH7" t="s">
        <v>199</v>
      </c>
      <c r="AI7" t="s">
        <v>183</v>
      </c>
      <c r="AJ7" t="s">
        <v>183</v>
      </c>
      <c r="AK7" t="s">
        <v>199</v>
      </c>
    </row>
    <row r="8" spans="1:37" x14ac:dyDescent="0.3">
      <c r="A8" s="121" t="s">
        <v>342</v>
      </c>
      <c r="B8" s="24" t="s">
        <v>353</v>
      </c>
      <c r="C8" s="24" t="s">
        <v>819</v>
      </c>
      <c r="D8" s="122" t="s">
        <v>334</v>
      </c>
      <c r="E8" s="66">
        <v>4</v>
      </c>
      <c r="F8" s="32"/>
      <c r="G8" s="61" t="str">
        <f>Table_0[[#This Row],[Driver]]</f>
        <v>Oscar PiastriMcLaren</v>
      </c>
      <c r="H8" s="62">
        <f>IFERROR(VALUE(_xlfn.XLOOKUP(G8,Table_0[Driver],Table_0[Pos])),"R")</f>
        <v>6</v>
      </c>
      <c r="I8" s="55" t="str">
        <f>_xlfn.XLOOKUP(Table_0[[#This Row],[Driver]],DriverNameMapping!$A$1:$A$22,DriverNameMapping!$B$1:$B$22)</f>
        <v>Oscar Piastri - McLaren</v>
      </c>
      <c r="J8" s="56" t="str">
        <f>_xlfn.XLOOKUP(G8,Table_0[Driver],Table_0[Time])</f>
        <v>+ 31.487</v>
      </c>
      <c r="K8" s="56" t="str">
        <f>_xlfn.XLOOKUP(G8,Table_0[Driver],Table_0[Stops])</f>
        <v>2</v>
      </c>
      <c r="L8" s="64" cm="1">
        <f t="array" ref="L8">_xlfn.XLOOKUP(H8,VALUE(Table_0[Pos]),$E$3:$E$22,0)</f>
        <v>4</v>
      </c>
      <c r="N8" s="4">
        <v>6</v>
      </c>
      <c r="O8" t="s">
        <v>183</v>
      </c>
      <c r="P8" t="s">
        <v>202</v>
      </c>
      <c r="Q8" t="s">
        <v>199</v>
      </c>
      <c r="R8" t="s">
        <v>207</v>
      </c>
      <c r="S8" t="s">
        <v>207</v>
      </c>
      <c r="U8" t="s">
        <v>273</v>
      </c>
      <c r="V8" t="s">
        <v>183</v>
      </c>
      <c r="W8" t="s">
        <v>234</v>
      </c>
      <c r="X8" t="s">
        <v>202</v>
      </c>
      <c r="Y8" t="s">
        <v>234</v>
      </c>
      <c r="Z8" t="s">
        <v>169</v>
      </c>
      <c r="AA8" t="s">
        <v>169</v>
      </c>
      <c r="AB8" t="s">
        <v>207</v>
      </c>
      <c r="AC8" t="s">
        <v>207</v>
      </c>
      <c r="AD8" t="s">
        <v>197</v>
      </c>
      <c r="AE8" t="s">
        <v>202</v>
      </c>
      <c r="AF8" t="s">
        <v>205</v>
      </c>
      <c r="AG8" t="s">
        <v>197</v>
      </c>
      <c r="AH8" t="s">
        <v>169</v>
      </c>
      <c r="AI8" t="s">
        <v>202</v>
      </c>
      <c r="AJ8" t="s">
        <v>202</v>
      </c>
      <c r="AK8" t="s">
        <v>172</v>
      </c>
    </row>
    <row r="9" spans="1:37" x14ac:dyDescent="0.3">
      <c r="A9" s="121" t="s">
        <v>344</v>
      </c>
      <c r="B9" s="24" t="s">
        <v>335</v>
      </c>
      <c r="C9" s="24" t="s">
        <v>820</v>
      </c>
      <c r="D9" s="122" t="s">
        <v>334</v>
      </c>
      <c r="E9" s="66">
        <v>8</v>
      </c>
      <c r="F9" s="32"/>
      <c r="G9" s="61" t="str">
        <f>Table_0[[#This Row],[Driver]]</f>
        <v>Fernando AlonsoAston Martin</v>
      </c>
      <c r="H9" s="62">
        <f>IFERROR(VALUE(_xlfn.XLOOKUP(G9,Table_0[Driver],Table_0[Pos])),"R")</f>
        <v>7</v>
      </c>
      <c r="I9" s="55" t="str">
        <f>_xlfn.XLOOKUP(Table_0[[#This Row],[Driver]],DriverNameMapping!$A$1:$A$22,DriverNameMapping!$B$1:$B$22)</f>
        <v>Fernando Alonso - Aston Martin</v>
      </c>
      <c r="J9" s="56" t="str">
        <f>_xlfn.XLOOKUP(G9,Table_0[Driver],Table_0[Time])</f>
        <v>+ 39.512</v>
      </c>
      <c r="K9" s="56" t="str">
        <f>_xlfn.XLOOKUP(G9,Table_0[Driver],Table_0[Stops])</f>
        <v>2</v>
      </c>
      <c r="L9" s="64" cm="1">
        <f t="array" ref="L9">_xlfn.XLOOKUP(H9,VALUE(Table_0[Pos]),$E$3:$E$22,0)</f>
        <v>8</v>
      </c>
      <c r="N9" s="4">
        <v>7</v>
      </c>
      <c r="O9" t="s">
        <v>169</v>
      </c>
      <c r="P9" t="s">
        <v>273</v>
      </c>
      <c r="Q9" t="s">
        <v>174</v>
      </c>
      <c r="R9" t="s">
        <v>183</v>
      </c>
      <c r="S9" t="s">
        <v>273</v>
      </c>
      <c r="U9" t="s">
        <v>197</v>
      </c>
      <c r="V9" t="s">
        <v>205</v>
      </c>
      <c r="W9" t="s">
        <v>168</v>
      </c>
      <c r="X9" t="s">
        <v>169</v>
      </c>
      <c r="Y9" t="s">
        <v>205</v>
      </c>
      <c r="Z9" t="s">
        <v>273</v>
      </c>
      <c r="AA9" t="s">
        <v>199</v>
      </c>
      <c r="AB9" t="s">
        <v>199</v>
      </c>
      <c r="AC9" t="s">
        <v>168</v>
      </c>
      <c r="AD9" t="s">
        <v>172</v>
      </c>
      <c r="AE9" t="s">
        <v>169</v>
      </c>
      <c r="AF9" t="s">
        <v>171</v>
      </c>
      <c r="AG9" t="s">
        <v>183</v>
      </c>
      <c r="AH9" t="s">
        <v>495</v>
      </c>
      <c r="AI9" t="s">
        <v>197</v>
      </c>
      <c r="AJ9" t="s">
        <v>207</v>
      </c>
      <c r="AK9" t="s">
        <v>205</v>
      </c>
    </row>
    <row r="10" spans="1:37" x14ac:dyDescent="0.3">
      <c r="A10" s="121" t="s">
        <v>346</v>
      </c>
      <c r="B10" s="24" t="s">
        <v>360</v>
      </c>
      <c r="C10" s="24" t="s">
        <v>821</v>
      </c>
      <c r="D10" s="122" t="s">
        <v>332</v>
      </c>
      <c r="E10" s="66">
        <v>12</v>
      </c>
      <c r="F10" s="32"/>
      <c r="G10" s="61" t="str">
        <f>Table_0[[#This Row],[Driver]]</f>
        <v>Yuki TsunodaAlphaTauri</v>
      </c>
      <c r="H10" s="62">
        <f>IFERROR(VALUE(_xlfn.XLOOKUP(G10,Table_0[Driver],Table_0[Pos])),"R")</f>
        <v>8</v>
      </c>
      <c r="I10" s="55" t="str">
        <f>_xlfn.XLOOKUP(Table_0[[#This Row],[Driver]],DriverNameMapping!$A$1:$A$22,DriverNameMapping!$B$1:$B$22)</f>
        <v>Yuki Tsunoda - Alpha Tauri</v>
      </c>
      <c r="J10" s="56" t="str">
        <f>_xlfn.XLOOKUP(G10,Table_0[Driver],Table_0[Time])</f>
        <v>+ 43.088</v>
      </c>
      <c r="K10" s="56" t="str">
        <f>_xlfn.XLOOKUP(G10,Table_0[Driver],Table_0[Stops])</f>
        <v>1</v>
      </c>
      <c r="L10" s="64" cm="1">
        <f t="array" ref="L10">_xlfn.XLOOKUP(H10,VALUE(Table_0[Pos]),$E$3:$E$22,0)</f>
        <v>12</v>
      </c>
      <c r="N10" s="4">
        <v>8</v>
      </c>
      <c r="O10" t="s">
        <v>176</v>
      </c>
      <c r="P10" t="s">
        <v>171</v>
      </c>
      <c r="Q10" t="s">
        <v>172</v>
      </c>
      <c r="R10" t="s">
        <v>169</v>
      </c>
      <c r="S10" t="s">
        <v>197</v>
      </c>
      <c r="U10" t="s">
        <v>202</v>
      </c>
      <c r="V10" t="s">
        <v>171</v>
      </c>
      <c r="W10" t="s">
        <v>171</v>
      </c>
      <c r="X10" t="s">
        <v>207</v>
      </c>
      <c r="Y10" t="s">
        <v>168</v>
      </c>
      <c r="Z10" t="s">
        <v>202</v>
      </c>
      <c r="AA10" t="s">
        <v>171</v>
      </c>
      <c r="AB10" t="s">
        <v>168</v>
      </c>
      <c r="AC10" t="s">
        <v>199</v>
      </c>
      <c r="AD10" t="s">
        <v>234</v>
      </c>
      <c r="AE10" t="s">
        <v>205</v>
      </c>
      <c r="AF10" t="s">
        <v>176</v>
      </c>
      <c r="AG10" t="s">
        <v>628</v>
      </c>
      <c r="AH10" t="s">
        <v>172</v>
      </c>
      <c r="AI10" t="s">
        <v>207</v>
      </c>
      <c r="AJ10" t="s">
        <v>169</v>
      </c>
      <c r="AK10" t="s">
        <v>628</v>
      </c>
    </row>
    <row r="11" spans="1:37" x14ac:dyDescent="0.3">
      <c r="A11" s="121" t="s">
        <v>348</v>
      </c>
      <c r="B11" s="24" t="s">
        <v>337</v>
      </c>
      <c r="C11" s="24" t="s">
        <v>822</v>
      </c>
      <c r="D11" s="122" t="s">
        <v>334</v>
      </c>
      <c r="E11" s="66">
        <v>18</v>
      </c>
      <c r="F11" s="32"/>
      <c r="G11" s="61" t="str">
        <f>Table_0[[#This Row],[Driver]]</f>
        <v>Lewis HamiltonMercedes</v>
      </c>
      <c r="H11" s="62">
        <f>IFERROR(VALUE(_xlfn.XLOOKUP(G11,Table_0[Driver],Table_0[Pos])),"R")</f>
        <v>9</v>
      </c>
      <c r="I11" s="55" t="str">
        <f>_xlfn.XLOOKUP(Table_0[[#This Row],[Driver]],DriverNameMapping!$A$1:$A$22,DriverNameMapping!$B$1:$B$22)</f>
        <v>Lewis Hamilton - Mercedes</v>
      </c>
      <c r="J11" s="56" t="str">
        <f>_xlfn.XLOOKUP(G11,Table_0[Driver],Table_0[Time])</f>
        <v>+ 44.424</v>
      </c>
      <c r="K11" s="56" t="str">
        <f>_xlfn.XLOOKUP(G11,Table_0[Driver],Table_0[Stops])</f>
        <v>2</v>
      </c>
      <c r="L11" s="64" cm="1">
        <f t="array" ref="L11">_xlfn.XLOOKUP(H11,VALUE(Table_0[Pos]),$E$3:$E$22,0)</f>
        <v>18</v>
      </c>
      <c r="N11" s="4">
        <v>9</v>
      </c>
      <c r="O11" t="s">
        <v>197</v>
      </c>
      <c r="P11" t="s">
        <v>197</v>
      </c>
      <c r="Q11" t="s">
        <v>189</v>
      </c>
      <c r="R11" t="s">
        <v>199</v>
      </c>
      <c r="S11" t="s">
        <v>171</v>
      </c>
      <c r="U11" t="s">
        <v>199</v>
      </c>
      <c r="V11" t="s">
        <v>189</v>
      </c>
      <c r="W11" t="s">
        <v>183</v>
      </c>
      <c r="X11" t="s">
        <v>183</v>
      </c>
      <c r="Y11" t="s">
        <v>273</v>
      </c>
      <c r="Z11" t="s">
        <v>205</v>
      </c>
      <c r="AA11" t="s">
        <v>183</v>
      </c>
      <c r="AB11" t="s">
        <v>172</v>
      </c>
      <c r="AC11" t="s">
        <v>205</v>
      </c>
      <c r="AD11" t="s">
        <v>597</v>
      </c>
      <c r="AE11" t="s">
        <v>197</v>
      </c>
      <c r="AF11" t="s">
        <v>189</v>
      </c>
      <c r="AG11" t="s">
        <v>168</v>
      </c>
      <c r="AH11" t="s">
        <v>168</v>
      </c>
      <c r="AI11" t="s">
        <v>628</v>
      </c>
      <c r="AJ11" t="s">
        <v>205</v>
      </c>
      <c r="AK11" t="s">
        <v>207</v>
      </c>
    </row>
    <row r="12" spans="1:37" x14ac:dyDescent="0.3">
      <c r="A12" s="121" t="s">
        <v>350</v>
      </c>
      <c r="B12" s="24" t="s">
        <v>349</v>
      </c>
      <c r="C12" s="24" t="s">
        <v>823</v>
      </c>
      <c r="D12" s="122" t="s">
        <v>334</v>
      </c>
      <c r="E12" s="66">
        <v>25</v>
      </c>
      <c r="F12" s="32"/>
      <c r="G12" s="61" t="str">
        <f>Table_0[[#This Row],[Driver]]</f>
        <v>Lance StrollAston Martin</v>
      </c>
      <c r="H12" s="62">
        <f>IFERROR(VALUE(_xlfn.XLOOKUP(G12,Table_0[Driver],Table_0[Pos])),"R")</f>
        <v>10</v>
      </c>
      <c r="I12" s="55" t="str">
        <f>_xlfn.XLOOKUP(Table_0[[#This Row],[Driver]],DriverNameMapping!$A$1:$A$22,DriverNameMapping!$B$1:$B$22)</f>
        <v>Lance Stroll - Aston Martin</v>
      </c>
      <c r="J12" s="56" t="str">
        <f>_xlfn.XLOOKUP(G12,Table_0[Driver],Table_0[Time])</f>
        <v>+ 55.632</v>
      </c>
      <c r="K12" s="56" t="str">
        <f>_xlfn.XLOOKUP(G12,Table_0[Driver],Table_0[Stops])</f>
        <v>2</v>
      </c>
      <c r="L12" s="64" cm="1">
        <f t="array" ref="L12">_xlfn.XLOOKUP(H12,VALUE(Table_0[Pos]),$E$3:$E$22,0)</f>
        <v>25</v>
      </c>
      <c r="N12" s="4">
        <v>10</v>
      </c>
      <c r="O12" t="s">
        <v>168</v>
      </c>
      <c r="P12" t="s">
        <v>219</v>
      </c>
      <c r="Q12" t="s">
        <v>179</v>
      </c>
      <c r="R12" t="s">
        <v>179</v>
      </c>
      <c r="S12" t="s">
        <v>219</v>
      </c>
      <c r="U12" t="s">
        <v>172</v>
      </c>
      <c r="V12" t="s">
        <v>197</v>
      </c>
      <c r="W12" t="s">
        <v>176</v>
      </c>
      <c r="X12" t="s">
        <v>197</v>
      </c>
      <c r="Y12" t="s">
        <v>202</v>
      </c>
      <c r="Z12" t="s">
        <v>183</v>
      </c>
      <c r="AA12" t="s">
        <v>179</v>
      </c>
      <c r="AB12" t="s">
        <v>171</v>
      </c>
      <c r="AC12" t="s">
        <v>176</v>
      </c>
      <c r="AD12" t="s">
        <v>219</v>
      </c>
      <c r="AE12" t="s">
        <v>171</v>
      </c>
      <c r="AF12" t="s">
        <v>234</v>
      </c>
      <c r="AG12" t="s">
        <v>356</v>
      </c>
      <c r="AH12" t="s">
        <v>171</v>
      </c>
      <c r="AI12" t="s">
        <v>171</v>
      </c>
      <c r="AJ12" t="s">
        <v>172</v>
      </c>
      <c r="AK12" t="s">
        <v>183</v>
      </c>
    </row>
    <row r="13" spans="1:37" x14ac:dyDescent="0.3">
      <c r="A13" s="121" t="s">
        <v>352</v>
      </c>
      <c r="B13" s="24" t="s">
        <v>521</v>
      </c>
      <c r="C13" s="24" t="s">
        <v>824</v>
      </c>
      <c r="D13" s="122" t="s">
        <v>334</v>
      </c>
      <c r="E13" s="66">
        <v>15</v>
      </c>
      <c r="F13" s="32"/>
      <c r="G13" s="61" t="str">
        <f>Table_0[[#This Row],[Driver]]</f>
        <v>Daniel RicciardoAlphaTauri</v>
      </c>
      <c r="H13" s="62">
        <f>IFERROR(VALUE(_xlfn.XLOOKUP(G13,Table_0[Driver],Table_0[Pos])),"R")</f>
        <v>11</v>
      </c>
      <c r="I13" s="55" t="str">
        <f>_xlfn.XLOOKUP(Table_0[[#This Row],[Driver]],DriverNameMapping!$A$1:$A$22,DriverNameMapping!$B$1:$B$22)</f>
        <v>Daniel Ricciardo - Alpha Tauri</v>
      </c>
      <c r="J13" s="56" t="str">
        <f>_xlfn.XLOOKUP(G13,Table_0[Driver],Table_0[Time])</f>
        <v>+ 56.229</v>
      </c>
      <c r="K13" s="56" t="str">
        <f>_xlfn.XLOOKUP(G13,Table_0[Driver],Table_0[Stops])</f>
        <v>2</v>
      </c>
      <c r="L13" s="64" cm="1">
        <f t="array" ref="L13">_xlfn.XLOOKUP(H13,VALUE(Table_0[Pos]),$E$3:$E$22,0)</f>
        <v>15</v>
      </c>
      <c r="N13" s="4">
        <v>11</v>
      </c>
      <c r="O13" t="s">
        <v>179</v>
      </c>
      <c r="P13" t="s">
        <v>179</v>
      </c>
      <c r="Q13" t="s">
        <v>176</v>
      </c>
      <c r="R13" t="s">
        <v>172</v>
      </c>
      <c r="S13" t="s">
        <v>179</v>
      </c>
      <c r="U13" t="s">
        <v>176</v>
      </c>
      <c r="V13" t="s">
        <v>273</v>
      </c>
      <c r="W13" t="s">
        <v>172</v>
      </c>
      <c r="X13" t="s">
        <v>168</v>
      </c>
      <c r="Y13" t="s">
        <v>356</v>
      </c>
      <c r="Z13" t="s">
        <v>168</v>
      </c>
      <c r="AA13" t="s">
        <v>197</v>
      </c>
      <c r="AB13" t="s">
        <v>183</v>
      </c>
      <c r="AC13" t="s">
        <v>597</v>
      </c>
      <c r="AD13" t="s">
        <v>168</v>
      </c>
      <c r="AE13" t="s">
        <v>570</v>
      </c>
      <c r="AF13" t="s">
        <v>183</v>
      </c>
      <c r="AG13" t="s">
        <v>174</v>
      </c>
      <c r="AH13" t="s">
        <v>197</v>
      </c>
      <c r="AI13" t="s">
        <v>356</v>
      </c>
      <c r="AJ13" t="s">
        <v>197</v>
      </c>
      <c r="AK13" t="s">
        <v>495</v>
      </c>
    </row>
    <row r="14" spans="1:37" x14ac:dyDescent="0.3">
      <c r="A14" s="121" t="s">
        <v>354</v>
      </c>
      <c r="B14" s="24" t="s">
        <v>347</v>
      </c>
      <c r="C14" s="24" t="s">
        <v>825</v>
      </c>
      <c r="D14" s="122" t="s">
        <v>332</v>
      </c>
      <c r="E14" s="66">
        <v>10</v>
      </c>
      <c r="F14" s="32"/>
      <c r="G14" s="61" t="str">
        <f>Table_0[[#This Row],[Driver]]</f>
        <v>Esteban OconAlpine</v>
      </c>
      <c r="H14" s="62">
        <f>IFERROR(VALUE(_xlfn.XLOOKUP(G14,Table_0[Driver],Table_0[Pos])),"R")</f>
        <v>12</v>
      </c>
      <c r="I14" s="55" t="str">
        <f>_xlfn.XLOOKUP(Table_0[[#This Row],[Driver]],DriverNameMapping!$A$1:$A$22,DriverNameMapping!$B$1:$B$22)</f>
        <v>Esteban Ocon - Alpine</v>
      </c>
      <c r="J14" s="56" t="str">
        <f>_xlfn.XLOOKUP(G14,Table_0[Driver],Table_0[Time])</f>
        <v>+ 66.373</v>
      </c>
      <c r="K14" s="56" t="str">
        <f>_xlfn.XLOOKUP(G14,Table_0[Driver],Table_0[Stops])</f>
        <v>1</v>
      </c>
      <c r="L14" s="64" cm="1">
        <f t="array" ref="L14">_xlfn.XLOOKUP(H14,VALUE(Table_0[Pos]),$E$3:$E$22,0)</f>
        <v>10</v>
      </c>
      <c r="N14" s="4">
        <v>12</v>
      </c>
      <c r="O14" t="s">
        <v>356</v>
      </c>
      <c r="P14" t="s">
        <v>174</v>
      </c>
      <c r="Q14" t="s">
        <v>202</v>
      </c>
      <c r="R14" t="s">
        <v>168</v>
      </c>
      <c r="S14" t="s">
        <v>183</v>
      </c>
      <c r="U14" t="s">
        <v>245</v>
      </c>
      <c r="V14" t="s">
        <v>179</v>
      </c>
      <c r="W14" t="s">
        <v>197</v>
      </c>
      <c r="X14" t="s">
        <v>189</v>
      </c>
      <c r="Y14" t="s">
        <v>176</v>
      </c>
      <c r="Z14" t="s">
        <v>176</v>
      </c>
      <c r="AA14" t="s">
        <v>176</v>
      </c>
      <c r="AB14" t="s">
        <v>174</v>
      </c>
      <c r="AC14" t="s">
        <v>172</v>
      </c>
      <c r="AD14" t="s">
        <v>189</v>
      </c>
      <c r="AE14" t="s">
        <v>628</v>
      </c>
      <c r="AF14" t="s">
        <v>197</v>
      </c>
      <c r="AG14" t="s">
        <v>176</v>
      </c>
      <c r="AH14" t="s">
        <v>628</v>
      </c>
      <c r="AI14" t="s">
        <v>174</v>
      </c>
      <c r="AJ14" t="s">
        <v>168</v>
      </c>
      <c r="AK14" t="s">
        <v>171</v>
      </c>
    </row>
    <row r="15" spans="1:37" x14ac:dyDescent="0.3">
      <c r="A15" s="121" t="s">
        <v>357</v>
      </c>
      <c r="B15" s="24" t="s">
        <v>355</v>
      </c>
      <c r="C15" s="24" t="s">
        <v>826</v>
      </c>
      <c r="D15" s="122" t="s">
        <v>334</v>
      </c>
      <c r="E15" s="66">
        <v>6</v>
      </c>
      <c r="F15" s="32"/>
      <c r="G15" s="61" t="str">
        <f>Table_0[[#This Row],[Driver]]</f>
        <v>Pierre GaslyAlpine</v>
      </c>
      <c r="H15" s="62">
        <f>IFERROR(VALUE(_xlfn.XLOOKUP(G15,Table_0[Driver],Table_0[Pos])),"R")</f>
        <v>13</v>
      </c>
      <c r="I15" s="55" t="str">
        <f>_xlfn.XLOOKUP(Table_0[[#This Row],[Driver]],DriverNameMapping!$A$1:$A$22,DriverNameMapping!$B$1:$B$22)</f>
        <v>Pierre Gasly - Alpine</v>
      </c>
      <c r="J15" s="56" t="str">
        <f>_xlfn.XLOOKUP(G15,Table_0[Driver],Table_0[Time])</f>
        <v>+ 70.360</v>
      </c>
      <c r="K15" s="56" t="str">
        <f>_xlfn.XLOOKUP(G15,Table_0[Driver],Table_0[Stops])</f>
        <v>2</v>
      </c>
      <c r="L15" s="64" cm="1">
        <f t="array" ref="L15">_xlfn.XLOOKUP(H15,VALUE(Table_0[Pos]),$E$3:$E$22,0)</f>
        <v>6</v>
      </c>
      <c r="N15" s="4">
        <v>13</v>
      </c>
      <c r="O15" t="s">
        <v>219</v>
      </c>
      <c r="P15" t="s">
        <v>189</v>
      </c>
      <c r="Q15" t="s">
        <v>245</v>
      </c>
      <c r="R15" t="s">
        <v>219</v>
      </c>
      <c r="S15" t="s">
        <v>176</v>
      </c>
      <c r="U15" t="s">
        <v>189</v>
      </c>
      <c r="V15" t="s">
        <v>172</v>
      </c>
      <c r="W15" t="s">
        <v>199</v>
      </c>
      <c r="X15" t="s">
        <v>356</v>
      </c>
      <c r="Y15" t="s">
        <v>174</v>
      </c>
      <c r="Z15" t="s">
        <v>495</v>
      </c>
      <c r="AA15" t="s">
        <v>189</v>
      </c>
      <c r="AB15" t="s">
        <v>570</v>
      </c>
      <c r="AC15" t="s">
        <v>356</v>
      </c>
      <c r="AD15" t="s">
        <v>174</v>
      </c>
      <c r="AE15" t="s">
        <v>189</v>
      </c>
      <c r="AF15" t="s">
        <v>168</v>
      </c>
      <c r="AG15" t="s">
        <v>189</v>
      </c>
      <c r="AH15" t="s">
        <v>174</v>
      </c>
      <c r="AI15" t="s">
        <v>495</v>
      </c>
      <c r="AJ15" t="s">
        <v>219</v>
      </c>
      <c r="AK15" t="s">
        <v>197</v>
      </c>
    </row>
    <row r="16" spans="1:37" x14ac:dyDescent="0.3">
      <c r="A16" s="121" t="s">
        <v>359</v>
      </c>
      <c r="B16" s="24" t="s">
        <v>345</v>
      </c>
      <c r="C16" s="24" t="s">
        <v>827</v>
      </c>
      <c r="D16" s="122" t="s">
        <v>334</v>
      </c>
      <c r="E16" s="66">
        <v>2</v>
      </c>
      <c r="F16" s="32"/>
      <c r="G16" s="61" t="str">
        <f>Table_0[[#This Row],[Driver]]</f>
        <v>Alex AlbonWilliams</v>
      </c>
      <c r="H16" s="62">
        <f>IFERROR(VALUE(_xlfn.XLOOKUP(G16,Table_0[Driver],Table_0[Pos])),"R")</f>
        <v>14</v>
      </c>
      <c r="I16" s="55" t="str">
        <f>_xlfn.XLOOKUP(Table_0[[#This Row],[Driver]],DriverNameMapping!$A$1:$A$22,DriverNameMapping!$B$1:$B$22)</f>
        <v>Alex Albon - Williams</v>
      </c>
      <c r="J16" s="56" t="str">
        <f>_xlfn.XLOOKUP(G16,Table_0[Driver],Table_0[Time])</f>
        <v>+ 73.184</v>
      </c>
      <c r="K16" s="56" t="str">
        <f>_xlfn.XLOOKUP(G16,Table_0[Driver],Table_0[Stops])</f>
        <v>2</v>
      </c>
      <c r="L16" s="64" cm="1">
        <f t="array" ref="L16">_xlfn.XLOOKUP(H16,VALUE(Table_0[Pos]),$E$3:$E$22,0)</f>
        <v>2</v>
      </c>
      <c r="N16" s="4">
        <v>14</v>
      </c>
      <c r="O16" t="s">
        <v>245</v>
      </c>
      <c r="P16" t="s">
        <v>245</v>
      </c>
      <c r="Q16" t="s">
        <v>197</v>
      </c>
      <c r="R16" t="s">
        <v>197</v>
      </c>
      <c r="S16" t="s">
        <v>168</v>
      </c>
      <c r="U16" t="s">
        <v>168</v>
      </c>
      <c r="V16" t="s">
        <v>245</v>
      </c>
      <c r="W16" t="s">
        <v>179</v>
      </c>
      <c r="X16" t="s">
        <v>171</v>
      </c>
      <c r="Y16" t="s">
        <v>183</v>
      </c>
      <c r="Z16" t="s">
        <v>174</v>
      </c>
      <c r="AA16" t="s">
        <v>168</v>
      </c>
      <c r="AB16" t="s">
        <v>219</v>
      </c>
      <c r="AC16" t="s">
        <v>189</v>
      </c>
      <c r="AD16" t="s">
        <v>356</v>
      </c>
      <c r="AE16" t="s">
        <v>174</v>
      </c>
      <c r="AF16" t="s">
        <v>219</v>
      </c>
      <c r="AG16" t="s">
        <v>219</v>
      </c>
      <c r="AH16" t="s">
        <v>189</v>
      </c>
      <c r="AI16" t="s">
        <v>172</v>
      </c>
      <c r="AJ16" t="s">
        <v>495</v>
      </c>
      <c r="AK16" t="s">
        <v>168</v>
      </c>
    </row>
    <row r="17" spans="1:37" x14ac:dyDescent="0.3">
      <c r="A17" s="121" t="s">
        <v>774</v>
      </c>
      <c r="B17" s="24" t="s">
        <v>361</v>
      </c>
      <c r="C17" s="24" t="s">
        <v>828</v>
      </c>
      <c r="D17" s="122" t="s">
        <v>334</v>
      </c>
      <c r="E17" s="66">
        <v>0.5</v>
      </c>
      <c r="F17" s="32"/>
      <c r="G17" s="61" t="str">
        <f>Table_0[[#This Row],[Driver]]</f>
        <v>Nico HulkenbergHaas</v>
      </c>
      <c r="H17" s="62">
        <f>IFERROR(VALUE(_xlfn.XLOOKUP(G17,Table_0[Driver],Table_0[Pos])),"R")</f>
        <v>15</v>
      </c>
      <c r="I17" s="55" t="str">
        <f>_xlfn.XLOOKUP(Table_0[[#This Row],[Driver]],DriverNameMapping!$A$1:$A$22,DriverNameMapping!$B$1:$B$22)</f>
        <v>Nico Hulkenberg - Haas</v>
      </c>
      <c r="J17" s="56" t="str">
        <f>_xlfn.XLOOKUP(G17,Table_0[Driver],Table_0[Time])</f>
        <v>+ 83.696</v>
      </c>
      <c r="K17" s="56" t="str">
        <f>_xlfn.XLOOKUP(G17,Table_0[Driver],Table_0[Stops])</f>
        <v>2</v>
      </c>
      <c r="L17" s="64" cm="1">
        <f t="array" ref="L17">_xlfn.XLOOKUP(H17,VALUE(Table_0[Pos]),$E$3:$E$22,0)</f>
        <v>0.5</v>
      </c>
      <c r="N17" s="4">
        <v>15</v>
      </c>
      <c r="O17" t="s">
        <v>174</v>
      </c>
      <c r="P17" t="s">
        <v>172</v>
      </c>
      <c r="Q17" t="s">
        <v>171</v>
      </c>
      <c r="R17" t="s">
        <v>171</v>
      </c>
      <c r="S17" t="s">
        <v>174</v>
      </c>
      <c r="U17" t="s">
        <v>179</v>
      </c>
      <c r="V17" t="s">
        <v>174</v>
      </c>
      <c r="W17" t="s">
        <v>174</v>
      </c>
      <c r="X17" t="s">
        <v>176</v>
      </c>
      <c r="Y17" t="s">
        <v>189</v>
      </c>
      <c r="Z17" t="s">
        <v>179</v>
      </c>
      <c r="AA17" t="s">
        <v>219</v>
      </c>
      <c r="AB17" t="s">
        <v>176</v>
      </c>
      <c r="AC17" t="s">
        <v>197</v>
      </c>
      <c r="AD17" t="s">
        <v>205</v>
      </c>
      <c r="AE17" t="s">
        <v>219</v>
      </c>
      <c r="AF17" t="s">
        <v>628</v>
      </c>
      <c r="AG17" t="s">
        <v>495</v>
      </c>
      <c r="AH17" t="s">
        <v>356</v>
      </c>
      <c r="AI17" t="s">
        <v>273</v>
      </c>
      <c r="AJ17" t="s">
        <v>189</v>
      </c>
      <c r="AK17" t="s">
        <v>174</v>
      </c>
    </row>
    <row r="18" spans="1:37" x14ac:dyDescent="0.3">
      <c r="A18" s="121" t="s">
        <v>775</v>
      </c>
      <c r="B18" s="24" t="s">
        <v>366</v>
      </c>
      <c r="C18" s="24" t="s">
        <v>829</v>
      </c>
      <c r="D18" s="122" t="s">
        <v>334</v>
      </c>
      <c r="E18" s="65"/>
      <c r="F18" s="31"/>
      <c r="G18" s="61" t="str">
        <f>Table_0[[#This Row],[Driver]]</f>
        <v>Logan SargeantWilliams</v>
      </c>
      <c r="H18" s="62">
        <f>IFERROR(VALUE(_xlfn.XLOOKUP(G18,Table_0[Driver],Table_0[Pos])),"R")</f>
        <v>16</v>
      </c>
      <c r="I18" s="55" t="str">
        <f>_xlfn.XLOOKUP(Table_0[[#This Row],[Driver]],DriverNameMapping!$A$1:$A$22,DriverNameMapping!$B$1:$B$22)</f>
        <v>Logan Sargeant - Williams</v>
      </c>
      <c r="J18" s="56" t="str">
        <f>_xlfn.XLOOKUP(G18,Table_0[Driver],Table_0[Time])</f>
        <v>+ 87.791</v>
      </c>
      <c r="K18" s="56" t="str">
        <f>_xlfn.XLOOKUP(G18,Table_0[Driver],Table_0[Stops])</f>
        <v>2</v>
      </c>
      <c r="L18" s="64" cm="1">
        <f t="array" ref="L18">_xlfn.XLOOKUP(H18,VALUE(Table_0[Pos]),$E$3:$E$22,0)</f>
        <v>0</v>
      </c>
      <c r="N18" s="4">
        <v>16</v>
      </c>
      <c r="O18" t="s">
        <v>189</v>
      </c>
      <c r="P18" t="s">
        <v>356</v>
      </c>
      <c r="Q18" t="s">
        <v>273</v>
      </c>
      <c r="R18" t="s">
        <v>356</v>
      </c>
      <c r="S18" t="s">
        <v>189</v>
      </c>
      <c r="U18" t="s">
        <v>174</v>
      </c>
      <c r="V18" t="s">
        <v>168</v>
      </c>
      <c r="W18" t="s">
        <v>189</v>
      </c>
      <c r="X18" t="s">
        <v>172</v>
      </c>
      <c r="Y18" t="s">
        <v>179</v>
      </c>
      <c r="Z18" t="s">
        <v>189</v>
      </c>
      <c r="AA18" t="s">
        <v>495</v>
      </c>
      <c r="AB18" t="s">
        <v>179</v>
      </c>
      <c r="AC18" t="s">
        <v>183</v>
      </c>
      <c r="AD18" t="s">
        <v>169</v>
      </c>
      <c r="AE18" t="s">
        <v>168</v>
      </c>
      <c r="AF18" t="s">
        <v>174</v>
      </c>
      <c r="AG18" t="s">
        <v>273</v>
      </c>
      <c r="AH18" t="s">
        <v>176</v>
      </c>
      <c r="AI18" t="s">
        <v>219</v>
      </c>
      <c r="AJ18" t="s">
        <v>356</v>
      </c>
      <c r="AK18" t="s">
        <v>356</v>
      </c>
    </row>
    <row r="19" spans="1:37" x14ac:dyDescent="0.3">
      <c r="A19" s="121" t="s">
        <v>776</v>
      </c>
      <c r="B19" s="24" t="s">
        <v>362</v>
      </c>
      <c r="C19" s="24" t="s">
        <v>830</v>
      </c>
      <c r="D19" s="122" t="s">
        <v>334</v>
      </c>
      <c r="E19" s="65"/>
      <c r="F19" s="31"/>
      <c r="G19" s="61" t="str">
        <f>Table_0[[#This Row],[Driver]]</f>
        <v>Guanyu ZhouAlfa Romeo Racing</v>
      </c>
      <c r="H19" s="62">
        <f>IFERROR(VALUE(_xlfn.XLOOKUP(G19,Table_0[Driver],Table_0[Pos])),"R")</f>
        <v>17</v>
      </c>
      <c r="I19" s="55" t="str">
        <f>_xlfn.XLOOKUP(Table_0[[#This Row],[Driver]],DriverNameMapping!$A$1:$A$22,DriverNameMapping!$B$1:$B$22)</f>
        <v>Guanyu Zhou - Alfa Romeo Racing</v>
      </c>
      <c r="J19" s="56" t="str">
        <f>_xlfn.XLOOKUP(G19,Table_0[Driver],Table_0[Time])</f>
        <v>+ 89.422</v>
      </c>
      <c r="K19" s="56" t="str">
        <f>_xlfn.XLOOKUP(G19,Table_0[Driver],Table_0[Stops])</f>
        <v>2</v>
      </c>
      <c r="L19" s="64" cm="1">
        <f t="array" ref="L19">_xlfn.XLOOKUP(H19,VALUE(Table_0[Pos]),$E$3:$E$22,0)</f>
        <v>0</v>
      </c>
      <c r="N19" s="4">
        <v>17</v>
      </c>
      <c r="O19" t="s">
        <v>199</v>
      </c>
      <c r="P19" t="s">
        <v>199</v>
      </c>
      <c r="Q19" t="s">
        <v>219</v>
      </c>
      <c r="R19" t="s">
        <v>174</v>
      </c>
      <c r="S19" t="s">
        <v>199</v>
      </c>
      <c r="U19" t="s">
        <v>234</v>
      </c>
      <c r="V19" t="s">
        <v>199</v>
      </c>
      <c r="W19" t="s">
        <v>219</v>
      </c>
      <c r="X19" t="s">
        <v>245</v>
      </c>
      <c r="Y19" t="s">
        <v>245</v>
      </c>
      <c r="Z19" t="s">
        <v>219</v>
      </c>
      <c r="AA19" t="s">
        <v>174</v>
      </c>
      <c r="AB19" t="s">
        <v>169</v>
      </c>
      <c r="AC19" t="s">
        <v>174</v>
      </c>
      <c r="AD19" t="s">
        <v>176</v>
      </c>
      <c r="AE19" t="s">
        <v>176</v>
      </c>
      <c r="AF19" t="s">
        <v>570</v>
      </c>
      <c r="AG19" t="s">
        <v>207</v>
      </c>
      <c r="AH19" t="s">
        <v>183</v>
      </c>
      <c r="AI19" t="s">
        <v>168</v>
      </c>
      <c r="AJ19" t="s">
        <v>176</v>
      </c>
      <c r="AK19" t="s">
        <v>189</v>
      </c>
    </row>
    <row r="20" spans="1:37" x14ac:dyDescent="0.3">
      <c r="A20" s="121" t="s">
        <v>747</v>
      </c>
      <c r="B20" s="24" t="s">
        <v>351</v>
      </c>
      <c r="C20" s="24" t="s">
        <v>831</v>
      </c>
      <c r="D20" s="122" t="s">
        <v>332</v>
      </c>
      <c r="E20" s="65"/>
      <c r="F20" s="31"/>
      <c r="G20" s="61" t="str">
        <f>Table_0[[#This Row],[Driver]]</f>
        <v>Valtteri BottasAlfa Romeo Racing</v>
      </c>
      <c r="H20" s="62">
        <f>IFERROR(VALUE(_xlfn.XLOOKUP(G20,Table_0[Driver],Table_0[Pos])),"R")</f>
        <v>19</v>
      </c>
      <c r="I20" s="55" t="str">
        <f>_xlfn.XLOOKUP(Table_0[[#This Row],[Driver]],DriverNameMapping!$A$1:$A$22,DriverNameMapping!$B$1:$B$22)</f>
        <v>Valtteri Bottas - Alfa Romeo Racing</v>
      </c>
      <c r="J20" s="56" t="str">
        <f>_xlfn.XLOOKUP(G20,Table_0[Driver],Table_0[Time])</f>
        <v>+ 1 LAP</v>
      </c>
      <c r="K20" s="56" t="str">
        <f>_xlfn.XLOOKUP(G20,Table_0[Driver],Table_0[Stops])</f>
        <v>1</v>
      </c>
      <c r="L20" s="64" cm="1">
        <f t="array" ref="L20">_xlfn.XLOOKUP(H20,VALUE(Table_0[Pos]),$E$3:$E$22,0)</f>
        <v>0</v>
      </c>
      <c r="N20" s="4">
        <v>18</v>
      </c>
      <c r="O20" t="s">
        <v>171</v>
      </c>
      <c r="P20" t="s">
        <v>176</v>
      </c>
      <c r="Q20" t="s">
        <v>169</v>
      </c>
      <c r="R20" t="s">
        <v>176</v>
      </c>
      <c r="S20" t="s">
        <v>245</v>
      </c>
      <c r="U20" t="s">
        <v>356</v>
      </c>
      <c r="V20" t="s">
        <v>219</v>
      </c>
      <c r="W20" t="s">
        <v>245</v>
      </c>
      <c r="X20" t="s">
        <v>219</v>
      </c>
      <c r="Y20" t="s">
        <v>197</v>
      </c>
      <c r="Z20" t="s">
        <v>171</v>
      </c>
      <c r="AA20" t="s">
        <v>356</v>
      </c>
      <c r="AB20" t="s">
        <v>273</v>
      </c>
      <c r="AC20" t="s">
        <v>219</v>
      </c>
      <c r="AD20" t="s">
        <v>171</v>
      </c>
      <c r="AE20" t="s">
        <v>183</v>
      </c>
      <c r="AF20" t="s">
        <v>207</v>
      </c>
      <c r="AG20" t="s">
        <v>171</v>
      </c>
      <c r="AH20" t="s">
        <v>205</v>
      </c>
      <c r="AI20" t="s">
        <v>176</v>
      </c>
      <c r="AJ20" t="s">
        <v>628</v>
      </c>
      <c r="AK20" t="s">
        <v>176</v>
      </c>
    </row>
    <row r="21" spans="1:37" x14ac:dyDescent="0.3">
      <c r="A21" s="121" t="s">
        <v>748</v>
      </c>
      <c r="B21" s="24" t="s">
        <v>363</v>
      </c>
      <c r="C21" s="24" t="s">
        <v>831</v>
      </c>
      <c r="D21" s="122" t="s">
        <v>334</v>
      </c>
      <c r="E21" s="65"/>
      <c r="F21" s="31"/>
      <c r="G21" s="61" t="str">
        <f>Table_0[[#This Row],[Driver]]</f>
        <v>Kevin MagnussenHaas</v>
      </c>
      <c r="H21" s="62">
        <f>IFERROR(VALUE(_xlfn.XLOOKUP(G21,Table_0[Driver],Table_0[Pos])),"R")</f>
        <v>20</v>
      </c>
      <c r="I21" s="55" t="str">
        <f>_xlfn.XLOOKUP(Table_0[[#This Row],[Driver]],DriverNameMapping!$A$1:$A$22,DriverNameMapping!$B$1:$B$22)</f>
        <v>Kevin Magnussen - Haas</v>
      </c>
      <c r="J21" s="56" t="str">
        <f>_xlfn.XLOOKUP(G21,Table_0[Driver],Table_0[Time])</f>
        <v>+ 1 LAP</v>
      </c>
      <c r="K21" s="56" t="str">
        <f>_xlfn.XLOOKUP(G21,Table_0[Driver],Table_0[Stops])</f>
        <v>2</v>
      </c>
      <c r="L21" s="64" cm="1">
        <f t="array" ref="L21">_xlfn.XLOOKUP(H21,VALUE(Table_0[Pos]),$E$3:$E$22,0)</f>
        <v>0</v>
      </c>
      <c r="N21" s="4">
        <v>19</v>
      </c>
      <c r="O21" t="s">
        <v>273</v>
      </c>
      <c r="P21" t="s">
        <v>168</v>
      </c>
      <c r="Q21" t="s">
        <v>168</v>
      </c>
      <c r="R21" t="s">
        <v>189</v>
      </c>
      <c r="S21" t="s">
        <v>172</v>
      </c>
      <c r="U21" t="s">
        <v>183</v>
      </c>
      <c r="V21" t="s">
        <v>176</v>
      </c>
      <c r="W21" t="s">
        <v>169</v>
      </c>
      <c r="X21" t="s">
        <v>179</v>
      </c>
      <c r="Y21" t="s">
        <v>171</v>
      </c>
      <c r="Z21" t="s">
        <v>197</v>
      </c>
      <c r="AA21" t="s">
        <v>172</v>
      </c>
      <c r="AB21" t="s">
        <v>356</v>
      </c>
      <c r="AC21" t="s">
        <v>171</v>
      </c>
      <c r="AD21" t="s">
        <v>179</v>
      </c>
      <c r="AE21" t="s">
        <v>356</v>
      </c>
      <c r="AF21" t="s">
        <v>202</v>
      </c>
      <c r="AG21" t="s">
        <v>172</v>
      </c>
      <c r="AH21" t="s">
        <v>219</v>
      </c>
      <c r="AI21" t="s">
        <v>189</v>
      </c>
      <c r="AJ21" t="s">
        <v>174</v>
      </c>
      <c r="AK21" t="s">
        <v>219</v>
      </c>
    </row>
    <row r="22" spans="1:37" x14ac:dyDescent="0.3">
      <c r="A22" s="121" t="s">
        <v>832</v>
      </c>
      <c r="B22" s="24" t="s">
        <v>341</v>
      </c>
      <c r="C22" s="24" t="s">
        <v>833</v>
      </c>
      <c r="D22" s="122" t="s">
        <v>336</v>
      </c>
      <c r="E22" s="65"/>
      <c r="F22" s="31"/>
      <c r="G22" s="61" t="str">
        <f>Table_0[[#This Row],[Driver]]</f>
        <v>Carlos SainzFerrari</v>
      </c>
      <c r="H22" s="62" t="str">
        <f>IFERROR(VALUE(_xlfn.XLOOKUP(G22,Table_0[Driver],Table_0[Pos])),"R")</f>
        <v>R</v>
      </c>
      <c r="I22" s="55" t="str">
        <f>_xlfn.XLOOKUP(Table_0[[#This Row],[Driver]],DriverNameMapping!$A$1:$A$22,DriverNameMapping!$B$1:$B$22)</f>
        <v>Carlos Sainz - Ferrari</v>
      </c>
      <c r="J22" s="56" t="str">
        <f>_xlfn.XLOOKUP(G22,Table_0[Driver],Table_0[Time])</f>
        <v>+ 1 LAPS</v>
      </c>
      <c r="K22" s="56" t="str">
        <f>_xlfn.XLOOKUP(G22,Table_0[Driver],Table_0[Stops])</f>
        <v>3</v>
      </c>
      <c r="L22" s="64" cm="1">
        <f t="array" ref="L22">_xlfn.XLOOKUP(H22,VALUE(Table_0[Pos]),$E$3:$E$22,0)</f>
        <v>0</v>
      </c>
      <c r="N22" s="4">
        <v>20</v>
      </c>
      <c r="O22" t="s">
        <v>172</v>
      </c>
      <c r="P22" t="s">
        <v>183</v>
      </c>
      <c r="Q22" t="s">
        <v>356</v>
      </c>
      <c r="R22" t="s">
        <v>245</v>
      </c>
      <c r="S22" t="s">
        <v>356</v>
      </c>
      <c r="U22" t="s">
        <v>219</v>
      </c>
      <c r="V22" t="s">
        <v>356</v>
      </c>
      <c r="W22" t="s">
        <v>356</v>
      </c>
      <c r="X22" t="s">
        <v>174</v>
      </c>
      <c r="Y22" t="s">
        <v>219</v>
      </c>
      <c r="Z22" t="s">
        <v>356</v>
      </c>
      <c r="AA22" t="s">
        <v>202</v>
      </c>
      <c r="AB22" t="s">
        <v>189</v>
      </c>
      <c r="AC22" t="s">
        <v>179</v>
      </c>
      <c r="AD22" t="s">
        <v>183</v>
      </c>
      <c r="AE22" t="s">
        <v>234</v>
      </c>
      <c r="AF22" t="s">
        <v>356</v>
      </c>
      <c r="AG22" t="s">
        <v>205</v>
      </c>
      <c r="AH22" t="s">
        <v>234</v>
      </c>
      <c r="AI22" t="s">
        <v>169</v>
      </c>
      <c r="AJ22" t="s">
        <v>199</v>
      </c>
      <c r="AK22" t="s">
        <v>202</v>
      </c>
    </row>
    <row r="24" spans="1:37" ht="18" x14ac:dyDescent="0.35">
      <c r="E24" s="31"/>
      <c r="G24" s="94"/>
      <c r="J24" s="13"/>
    </row>
    <row r="25" spans="1:37" x14ac:dyDescent="0.3">
      <c r="E25" s="31"/>
      <c r="J25" s="13"/>
      <c r="O25" s="46"/>
      <c r="P25" s="46"/>
      <c r="Q25" s="46"/>
      <c r="R25" s="46"/>
    </row>
    <row r="26" spans="1:37" x14ac:dyDescent="0.3">
      <c r="E26" s="31"/>
      <c r="J26" s="13"/>
      <c r="O26" s="46"/>
      <c r="P26" s="46"/>
      <c r="Q26" s="46"/>
      <c r="R26" s="46"/>
    </row>
    <row r="27" spans="1:37" x14ac:dyDescent="0.3">
      <c r="E27" s="31"/>
      <c r="J27" s="13"/>
      <c r="O27" s="46"/>
      <c r="P27" s="46"/>
      <c r="Q27" s="46"/>
      <c r="R27" s="46"/>
    </row>
    <row r="28" spans="1:37" x14ac:dyDescent="0.3">
      <c r="E28" s="32"/>
      <c r="J28" s="13"/>
      <c r="O28" s="46"/>
      <c r="P28" s="46"/>
      <c r="Q28" s="46"/>
      <c r="R28" s="46"/>
    </row>
    <row r="29" spans="1:37" x14ac:dyDescent="0.3">
      <c r="E29" s="32"/>
      <c r="J29" s="13"/>
      <c r="O29" s="46"/>
      <c r="P29" s="46"/>
      <c r="Q29" s="46"/>
      <c r="R29" s="46"/>
    </row>
    <row r="30" spans="1:37" x14ac:dyDescent="0.3">
      <c r="E30" s="32"/>
      <c r="J30" s="13"/>
      <c r="O30" s="46"/>
      <c r="P30" s="46"/>
      <c r="Q30" s="46"/>
      <c r="R30" s="46"/>
    </row>
    <row r="31" spans="1:37" x14ac:dyDescent="0.3">
      <c r="E31" s="32"/>
      <c r="J31" s="13"/>
      <c r="O31" s="46"/>
      <c r="P31" s="46"/>
      <c r="Q31" s="46"/>
      <c r="R31" s="46"/>
    </row>
    <row r="32" spans="1:37" x14ac:dyDescent="0.3">
      <c r="E32" s="32"/>
      <c r="J32" s="13"/>
      <c r="O32" s="46"/>
      <c r="P32" s="46"/>
      <c r="Q32" s="46"/>
      <c r="R32" s="46"/>
    </row>
    <row r="33" spans="5:18" x14ac:dyDescent="0.3">
      <c r="E33" s="32"/>
      <c r="J33" s="13"/>
      <c r="O33" s="46"/>
      <c r="P33" s="46"/>
      <c r="Q33" s="46"/>
      <c r="R33" s="46"/>
    </row>
    <row r="34" spans="5:18" x14ac:dyDescent="0.3">
      <c r="E34" s="32"/>
      <c r="J34" s="13"/>
      <c r="O34" s="46"/>
      <c r="P34" s="46"/>
      <c r="Q34" s="46"/>
      <c r="R34" s="46"/>
    </row>
    <row r="35" spans="5:18" x14ac:dyDescent="0.3">
      <c r="E35" s="32"/>
      <c r="J35" s="13"/>
      <c r="O35" s="46"/>
      <c r="P35" s="46"/>
      <c r="Q35" s="46"/>
      <c r="R35" s="46"/>
    </row>
    <row r="36" spans="5:18" x14ac:dyDescent="0.3">
      <c r="E36" s="32"/>
      <c r="J36" s="13"/>
      <c r="O36" s="46"/>
      <c r="P36" s="46"/>
      <c r="Q36" s="46"/>
      <c r="R36" s="46"/>
    </row>
    <row r="37" spans="5:18" x14ac:dyDescent="0.3">
      <c r="E37" s="32"/>
      <c r="J37" s="13"/>
      <c r="O37" s="46"/>
      <c r="P37" s="46"/>
      <c r="Q37" s="46"/>
      <c r="R37" s="46"/>
    </row>
    <row r="38" spans="5:18" x14ac:dyDescent="0.3">
      <c r="E38" s="32"/>
      <c r="J38" s="13"/>
      <c r="O38" s="46"/>
      <c r="P38" s="46"/>
      <c r="Q38" s="46"/>
      <c r="R38" s="46"/>
    </row>
    <row r="39" spans="5:18" x14ac:dyDescent="0.3">
      <c r="E39" s="31"/>
      <c r="J39" s="13"/>
      <c r="O39" s="46"/>
      <c r="P39" s="46"/>
      <c r="Q39" s="46"/>
      <c r="R39" s="46"/>
    </row>
    <row r="40" spans="5:18" x14ac:dyDescent="0.3">
      <c r="E40" s="31"/>
      <c r="J40" s="13"/>
      <c r="O40" s="46"/>
      <c r="P40" s="46"/>
      <c r="Q40" s="46"/>
      <c r="R40" s="46"/>
    </row>
    <row r="41" spans="5:18" x14ac:dyDescent="0.3">
      <c r="E41" s="31"/>
      <c r="J41" s="13"/>
      <c r="O41" s="46"/>
      <c r="P41" s="46"/>
      <c r="Q41" s="46"/>
      <c r="R41" s="46"/>
    </row>
    <row r="42" spans="5:18" x14ac:dyDescent="0.3">
      <c r="E42" s="31"/>
      <c r="J42" s="13"/>
      <c r="O42" s="46"/>
      <c r="P42" s="46"/>
      <c r="Q42" s="46"/>
      <c r="R42" s="46"/>
    </row>
    <row r="43" spans="5:18" x14ac:dyDescent="0.3">
      <c r="E43" s="31"/>
      <c r="J43" s="13"/>
      <c r="O43" s="46"/>
      <c r="P43" s="46"/>
      <c r="Q43" s="46"/>
      <c r="R43" s="46"/>
    </row>
    <row r="44" spans="5:18" x14ac:dyDescent="0.3">
      <c r="J44" s="13"/>
      <c r="O44" s="46"/>
      <c r="P44" s="46"/>
      <c r="Q44" s="46"/>
      <c r="R44" s="46"/>
    </row>
  </sheetData>
  <conditionalFormatting sqref="E3:G22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{766D1F58-81A9-4123-A621-CCD43B487173}</x14:id>
        </ext>
      </extLst>
    </cfRule>
  </conditionalFormatting>
  <conditionalFormatting sqref="L3:L2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{7D095C95-A787-4C2F-ADB7-8F1D1841AD2F}</x14:id>
        </ext>
      </extLst>
    </cfRule>
  </conditionalFormatting>
  <conditionalFormatting sqref="J25:J44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{FC453E05-C02F-48BE-9573-45EB2B5CB7D8}</x14:id>
        </ext>
      </extLst>
    </cfRule>
  </conditionalFormatting>
  <conditionalFormatting sqref="E24:E43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{A905B99E-B2FB-4F20-9452-A4A634E39C8A}</x14:id>
        </ext>
      </extLst>
    </cfRule>
  </conditionalFormatting>
  <conditionalFormatting sqref="L25:L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{C4FCB392-9AE7-4F22-AE15-9BB39996A67F}</x14:id>
        </ext>
      </extLst>
    </cfRule>
  </conditionalFormatting>
  <conditionalFormatting sqref="J24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{394FD8A5-89CD-4DCD-8945-42F21E96D324}</x14:id>
        </ext>
      </extLst>
    </cfRule>
  </conditionalFormatting>
  <conditionalFormatting sqref="L2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{A9AF8F63-F7D8-42FA-BE0C-F15CB8D55AE0}</x14:id>
        </ext>
      </extLst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D1F58-81A9-4123-A621-CCD43B4871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E3:G22</xm:sqref>
        </x14:conditionalFormatting>
        <x14:conditionalFormatting xmlns:xm="http://schemas.microsoft.com/office/excel/2006/main">
          <x14:cfRule type="dataBar" id="{7D095C95-A787-4C2F-ADB7-8F1D1841A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L3:L22</xm:sqref>
        </x14:conditionalFormatting>
        <x14:conditionalFormatting xmlns:xm="http://schemas.microsoft.com/office/excel/2006/main">
          <x14:cfRule type="dataBar" id="{FC453E05-C02F-48BE-9573-45EB2B5CB7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J25:J44</xm:sqref>
        </x14:conditionalFormatting>
        <x14:conditionalFormatting xmlns:xm="http://schemas.microsoft.com/office/excel/2006/main">
          <x14:cfRule type="dataBar" id="{A905B99E-B2FB-4F20-9452-A4A634E39C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E24:E43</xm:sqref>
        </x14:conditionalFormatting>
        <x14:conditionalFormatting xmlns:xm="http://schemas.microsoft.com/office/excel/2006/main">
          <x14:cfRule type="dataBar" id="{C4FCB392-9AE7-4F22-AE15-9BB39996A6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L25:L44</xm:sqref>
        </x14:conditionalFormatting>
        <x14:conditionalFormatting xmlns:xm="http://schemas.microsoft.com/office/excel/2006/main">
          <x14:cfRule type="dataBar" id="{394FD8A5-89CD-4DCD-8945-42F21E96D3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J24</xm:sqref>
        </x14:conditionalFormatting>
        <x14:conditionalFormatting xmlns:xm="http://schemas.microsoft.com/office/excel/2006/main">
          <x14:cfRule type="dataBar" id="{A9AF8F63-F7D8-42FA-BE0C-F15CB8D55A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EDC79-9B5D-48B1-93D5-D39A8194D4D1}">
  <dimension ref="B2:Z87"/>
  <sheetViews>
    <sheetView showGridLines="0" topLeftCell="A54" workbookViewId="0">
      <selection activeCell="C2" sqref="C2"/>
    </sheetView>
  </sheetViews>
  <sheetFormatPr defaultRowHeight="14.4" x14ac:dyDescent="0.3"/>
  <cols>
    <col min="1" max="1" width="3.44140625" customWidth="1"/>
    <col min="2" max="2" width="30.21875" bestFit="1" customWidth="1"/>
    <col min="3" max="3" width="17.33203125" bestFit="1" customWidth="1"/>
    <col min="5" max="5" width="11.44140625" customWidth="1"/>
    <col min="6" max="6" width="8.77734375" customWidth="1"/>
    <col min="7" max="7" width="10.21875" customWidth="1"/>
    <col min="9" max="9" width="1.5546875" hidden="1" customWidth="1"/>
    <col min="14" max="14" width="11.44140625" customWidth="1"/>
    <col min="17" max="17" width="11.21875" customWidth="1"/>
    <col min="19" max="19" width="9.77734375" customWidth="1"/>
    <col min="22" max="22" width="12" customWidth="1"/>
    <col min="25" max="25" width="9.44140625" customWidth="1"/>
    <col min="26" max="26" width="10" customWidth="1"/>
  </cols>
  <sheetData>
    <row r="2" spans="2:26" ht="60.6" thickBot="1" x14ac:dyDescent="0.35">
      <c r="B2" s="51" t="s">
        <v>367</v>
      </c>
      <c r="C2" s="52"/>
      <c r="D2" s="28" t="s">
        <v>321</v>
      </c>
      <c r="E2" s="28" t="s">
        <v>322</v>
      </c>
      <c r="F2" s="28" t="s">
        <v>323</v>
      </c>
      <c r="G2" s="28" t="s">
        <v>324</v>
      </c>
      <c r="H2" s="28" t="s">
        <v>325</v>
      </c>
      <c r="I2" s="28" t="s">
        <v>326</v>
      </c>
      <c r="J2" s="28" t="s">
        <v>327</v>
      </c>
      <c r="K2" s="28" t="s">
        <v>328</v>
      </c>
      <c r="L2" s="28" t="s">
        <v>329</v>
      </c>
      <c r="M2" s="28" t="s">
        <v>453</v>
      </c>
      <c r="N2" s="28" t="s">
        <v>331</v>
      </c>
      <c r="O2" s="28" t="s">
        <v>39</v>
      </c>
      <c r="P2" s="28" t="s">
        <v>40</v>
      </c>
      <c r="Q2" s="28" t="s">
        <v>41</v>
      </c>
      <c r="R2" s="28" t="s">
        <v>42</v>
      </c>
      <c r="S2" s="28" t="s">
        <v>43</v>
      </c>
      <c r="T2" s="28" t="s">
        <v>44</v>
      </c>
      <c r="U2" s="28" t="s">
        <v>45</v>
      </c>
      <c r="V2" s="28" t="s">
        <v>46</v>
      </c>
      <c r="W2" s="28" t="s">
        <v>47</v>
      </c>
      <c r="X2" s="28" t="s">
        <v>48</v>
      </c>
      <c r="Y2" s="28" t="s">
        <v>49</v>
      </c>
      <c r="Z2" s="29" t="s">
        <v>50</v>
      </c>
    </row>
    <row r="3" spans="2:26" ht="15" thickTop="1" x14ac:dyDescent="0.3">
      <c r="B3" t="s">
        <v>197</v>
      </c>
      <c r="C3" s="50">
        <f t="shared" ref="C3:C23" si="0">AVERAGE(D3:Z3)</f>
        <v>9.795454545454545</v>
      </c>
      <c r="D3">
        <f>IFERROR(_xlfn.XLOOKUP( IFERROR(_xlfn.XLOOKUP($B3,'Race Results'!O$3:O$22,'Race Results'!$N$3:$N$22),""), 'Race Results'!$N$3:$N$22, 'Race Results'!$E$3:$E$22),"")</f>
        <v>18</v>
      </c>
      <c r="E3">
        <f>IFERROR(_xlfn.XLOOKUP( IFERROR(_xlfn.XLOOKUP($B3,'Race Results'!P$3:P$22,'Race Results'!$N$3:$N$22),""), 'Race Results'!$N$3:$N$22, 'Race Results'!$E$3:$E$22),"")</f>
        <v>18</v>
      </c>
      <c r="F3">
        <f>IFERROR(_xlfn.XLOOKUP( IFERROR(_xlfn.XLOOKUP($B3,'Race Results'!Q$3:Q$22,'Race Results'!$N$3:$N$22),""), 'Race Results'!$N$3:$N$22, 'Race Results'!$E$3:$E$22),"")</f>
        <v>2</v>
      </c>
      <c r="G3">
        <f>IFERROR(_xlfn.XLOOKUP( IFERROR(_xlfn.XLOOKUP($B3,'Race Results'!R$3:R$22,'Race Results'!$N$3:$N$22),""), 'Race Results'!$N$3:$N$22, 'Race Results'!$E$3:$E$22),"")</f>
        <v>2</v>
      </c>
      <c r="H3">
        <f>IFERROR(_xlfn.XLOOKUP( IFERROR(_xlfn.XLOOKUP($B3,'Race Results'!S$3:S$22,'Race Results'!$N$3:$N$22),""), 'Race Results'!$N$3:$N$22, 'Race Results'!$E$3:$E$22),"")</f>
        <v>12</v>
      </c>
      <c r="I3" t="str">
        <f>IFERROR(_xlfn.XLOOKUP( IFERROR(_xlfn.XLOOKUP($B3,'Race Results'!T$3:T$22,'Race Results'!$N$3:$N$22),""), 'Race Results'!$N$3:$N$22, 'Race Results'!$E$3:$E$22),"")</f>
        <v/>
      </c>
      <c r="J3">
        <f>IFERROR(_xlfn.XLOOKUP( IFERROR(_xlfn.XLOOKUP($B3,'Race Results'!U$3:U$22,'Race Results'!$N$3:$N$22),""), 'Race Results'!$N$3:$N$22, 'Race Results'!$E$3:$E$22),"")</f>
        <v>8</v>
      </c>
      <c r="K3">
        <f>IFERROR(_xlfn.XLOOKUP( IFERROR(_xlfn.XLOOKUP($B3,'Race Results'!V$3:V$22,'Race Results'!$N$3:$N$22),""), 'Race Results'!$N$3:$N$22, 'Race Results'!$E$3:$E$22),"")</f>
        <v>25</v>
      </c>
      <c r="L3">
        <f>IFERROR(_xlfn.XLOOKUP( IFERROR(_xlfn.XLOOKUP($B3,'Race Results'!W$3:W$22,'Race Results'!$N$3:$N$22),""), 'Race Results'!$N$3:$N$22, 'Race Results'!$E$3:$E$22),"")</f>
        <v>10</v>
      </c>
      <c r="M3">
        <f>IFERROR(_xlfn.XLOOKUP( IFERROR(_xlfn.XLOOKUP($B3,'Race Results'!X$3:X$22,'Race Results'!$N$3:$N$22),""), 'Race Results'!$N$3:$N$22, 'Race Results'!$E$3:$E$22),"")</f>
        <v>25</v>
      </c>
      <c r="N3">
        <f>IFERROR(_xlfn.XLOOKUP( IFERROR(_xlfn.XLOOKUP($B3,'Race Results'!Y$3:Y$22,'Race Results'!$N$3:$N$22),""), 'Race Results'!$N$3:$N$22, 'Race Results'!$E$3:$E$22),"")</f>
        <v>0</v>
      </c>
      <c r="O3">
        <f>IFERROR(_xlfn.XLOOKUP( IFERROR(_xlfn.XLOOKUP($B3,'Race Results'!Z$3:Z$22,'Race Results'!$N$3:$N$22),""), 'Race Results'!$N$3:$N$22, 'Race Results'!$E$3:$E$22),"")</f>
        <v>0</v>
      </c>
      <c r="P3">
        <f>IFERROR(_xlfn.XLOOKUP( IFERROR(_xlfn.XLOOKUP($B3,'Race Results'!AA$3:AA$22,'Race Results'!$N$3:$N$22),""), 'Race Results'!$N$3:$N$22, 'Race Results'!$E$3:$E$22),"")</f>
        <v>15</v>
      </c>
      <c r="Q3">
        <f>IFERROR(_xlfn.XLOOKUP( IFERROR(_xlfn.XLOOKUP($B3,'Race Results'!AB$3:AB$22,'Race Results'!$N$3:$N$22),""), 'Race Results'!$N$3:$N$22, 'Race Results'!$E$3:$E$22),"")</f>
        <v>0</v>
      </c>
      <c r="R3">
        <f>IFERROR(_xlfn.XLOOKUP( IFERROR(_xlfn.XLOOKUP($B3,'Race Results'!AC$3:AC$22,'Race Results'!$N$3:$N$22),""), 'Race Results'!$N$3:$N$22, 'Race Results'!$E$3:$E$22),"")</f>
        <v>0.5</v>
      </c>
      <c r="S3">
        <f>IFERROR(_xlfn.XLOOKUP( IFERROR(_xlfn.XLOOKUP($B3,'Race Results'!AD$3:AD$22,'Race Results'!$N$3:$N$22),""), 'Race Results'!$N$3:$N$22, 'Race Results'!$E$3:$E$22),"")</f>
        <v>4</v>
      </c>
      <c r="T3">
        <f>IFERROR(_xlfn.XLOOKUP( IFERROR(_xlfn.XLOOKUP($B3,'Race Results'!AE$3:AE$22,'Race Results'!$N$3:$N$22),""), 'Race Results'!$N$3:$N$22, 'Race Results'!$E$3:$E$22),"")</f>
        <v>18</v>
      </c>
      <c r="U3">
        <f>IFERROR(_xlfn.XLOOKUP( IFERROR(_xlfn.XLOOKUP($B3,'Race Results'!AF$3:AF$22,'Race Results'!$N$3:$N$22),""), 'Race Results'!$N$3:$N$22, 'Race Results'!$E$3:$E$22),"")</f>
        <v>10</v>
      </c>
      <c r="V3">
        <f>IFERROR(_xlfn.XLOOKUP( IFERROR(_xlfn.XLOOKUP($B3,'Race Results'!AG$3:AG$22,'Race Results'!$N$3:$N$22),""), 'Race Results'!$N$3:$N$22, 'Race Results'!$E$3:$E$22),"")</f>
        <v>4</v>
      </c>
      <c r="W3">
        <f>IFERROR(_xlfn.XLOOKUP( IFERROR(_xlfn.XLOOKUP($B3,'Race Results'!AH$3:AH$22,'Race Results'!$N$3:$N$22),""), 'Race Results'!$N$3:$N$22, 'Race Results'!$E$3:$E$22),"")</f>
        <v>15</v>
      </c>
      <c r="X3">
        <f>IFERROR(_xlfn.XLOOKUP( IFERROR(_xlfn.XLOOKUP($B3,'Race Results'!AI$3:AI$22,'Race Results'!$N$3:$N$22),""), 'Race Results'!$N$3:$N$22, 'Race Results'!$E$3:$E$22),"")</f>
        <v>8</v>
      </c>
      <c r="Y3">
        <f>IFERROR(_xlfn.XLOOKUP( IFERROR(_xlfn.XLOOKUP($B3,'Race Results'!AJ$3:AJ$22,'Race Results'!$N$3:$N$22),""), 'Race Results'!$N$3:$N$22, 'Race Results'!$E$3:$E$22),"")</f>
        <v>15</v>
      </c>
      <c r="Z3">
        <f>IFERROR(_xlfn.XLOOKUP( IFERROR(_xlfn.XLOOKUP($B3,'Race Results'!AK$3:AK$22,'Race Results'!$N$3:$N$22),""), 'Race Results'!$N$3:$N$22, 'Race Results'!$E$3:$E$22),"")</f>
        <v>6</v>
      </c>
    </row>
    <row r="4" spans="2:26" x14ac:dyDescent="0.3">
      <c r="B4" t="s">
        <v>179</v>
      </c>
      <c r="C4" s="50">
        <f t="shared" si="0"/>
        <v>8.8666666666666671</v>
      </c>
      <c r="D4">
        <f>IFERROR(_xlfn.XLOOKUP( IFERROR(_xlfn.XLOOKUP($B4,'Race Results'!O$3:O$22,'Race Results'!$N$3:$N$22),""), 'Race Results'!$N$3:$N$22, 'Race Results'!$E$3:$E$22),"")</f>
        <v>15</v>
      </c>
      <c r="E4">
        <f>IFERROR(_xlfn.XLOOKUP( IFERROR(_xlfn.XLOOKUP($B4,'Race Results'!P$3:P$22,'Race Results'!$N$3:$N$22),""), 'Race Results'!$N$3:$N$22, 'Race Results'!$E$3:$E$22),"")</f>
        <v>15</v>
      </c>
      <c r="F4">
        <f>IFERROR(_xlfn.XLOOKUP( IFERROR(_xlfn.XLOOKUP($B4,'Race Results'!Q$3:Q$22,'Race Results'!$N$3:$N$22),""), 'Race Results'!$N$3:$N$22, 'Race Results'!$E$3:$E$22),"")</f>
        <v>25</v>
      </c>
      <c r="G4">
        <f>IFERROR(_xlfn.XLOOKUP( IFERROR(_xlfn.XLOOKUP($B4,'Race Results'!R$3:R$22,'Race Results'!$N$3:$N$22),""), 'Race Results'!$N$3:$N$22, 'Race Results'!$E$3:$E$22),"")</f>
        <v>25</v>
      </c>
      <c r="H4">
        <f>IFERROR(_xlfn.XLOOKUP( IFERROR(_xlfn.XLOOKUP($B4,'Race Results'!S$3:S$22,'Race Results'!$N$3:$N$22),""), 'Race Results'!$N$3:$N$22, 'Race Results'!$E$3:$E$22),"")</f>
        <v>15</v>
      </c>
      <c r="I4" t="str">
        <f>IFERROR(_xlfn.XLOOKUP( IFERROR(_xlfn.XLOOKUP($B4,'Race Results'!T$3:T$22,'Race Results'!$N$3:$N$22),""), 'Race Results'!$N$3:$N$22, 'Race Results'!$E$3:$E$22),"")</f>
        <v/>
      </c>
      <c r="J4">
        <f>IFERROR(_xlfn.XLOOKUP( IFERROR(_xlfn.XLOOKUP($B4,'Race Results'!U$3:U$22,'Race Results'!$N$3:$N$22),""), 'Race Results'!$N$3:$N$22, 'Race Results'!$E$3:$E$22),"")</f>
        <v>0.5</v>
      </c>
      <c r="K4">
        <f>IFERROR(_xlfn.XLOOKUP( IFERROR(_xlfn.XLOOKUP($B4,'Race Results'!V$3:V$22,'Race Results'!$N$3:$N$22),""), 'Race Results'!$N$3:$N$22, 'Race Results'!$E$3:$E$22),"")</f>
        <v>10</v>
      </c>
      <c r="L4">
        <f>IFERROR(_xlfn.XLOOKUP( IFERROR(_xlfn.XLOOKUP($B4,'Race Results'!W$3:W$22,'Race Results'!$N$3:$N$22),""), 'Race Results'!$N$3:$N$22, 'Race Results'!$E$3:$E$22),"")</f>
        <v>2</v>
      </c>
      <c r="M4">
        <f>IFERROR(_xlfn.XLOOKUP( IFERROR(_xlfn.XLOOKUP($B4,'Race Results'!X$3:X$22,'Race Results'!$N$3:$N$22),""), 'Race Results'!$N$3:$N$22, 'Race Results'!$E$3:$E$22),"")</f>
        <v>0</v>
      </c>
      <c r="N4">
        <f>IFERROR(_xlfn.XLOOKUP( IFERROR(_xlfn.XLOOKUP($B4,'Race Results'!Y$3:Y$22,'Race Results'!$N$3:$N$22),""), 'Race Results'!$N$3:$N$22, 'Race Results'!$E$3:$E$22),"")</f>
        <v>0</v>
      </c>
      <c r="O4">
        <f>IFERROR(_xlfn.XLOOKUP( IFERROR(_xlfn.XLOOKUP($B4,'Race Results'!Z$3:Z$22,'Race Results'!$N$3:$N$22),""), 'Race Results'!$N$3:$N$22, 'Race Results'!$E$3:$E$22),"")</f>
        <v>0.5</v>
      </c>
      <c r="P4">
        <f>IFERROR(_xlfn.XLOOKUP( IFERROR(_xlfn.XLOOKUP($B4,'Race Results'!AA$3:AA$22,'Race Results'!$N$3:$N$22),""), 'Race Results'!$N$3:$N$22, 'Race Results'!$E$3:$E$22),"")</f>
        <v>25</v>
      </c>
      <c r="Q4">
        <f>IFERROR(_xlfn.XLOOKUP( IFERROR(_xlfn.XLOOKUP($B4,'Race Results'!AB$3:AB$22,'Race Results'!$N$3:$N$22),""), 'Race Results'!$N$3:$N$22, 'Race Results'!$E$3:$E$22),"")</f>
        <v>0</v>
      </c>
      <c r="R4">
        <f>IFERROR(_xlfn.XLOOKUP( IFERROR(_xlfn.XLOOKUP($B4,'Race Results'!AC$3:AC$22,'Race Results'!$N$3:$N$22),""), 'Race Results'!$N$3:$N$22, 'Race Results'!$E$3:$E$22),"")</f>
        <v>0</v>
      </c>
      <c r="S4">
        <f>IFERROR(_xlfn.XLOOKUP( IFERROR(_xlfn.XLOOKUP($B4,'Race Results'!AD$3:AD$22,'Race Results'!$N$3:$N$22),""), 'Race Results'!$N$3:$N$22, 'Race Results'!$E$3:$E$22),"")</f>
        <v>0</v>
      </c>
      <c r="T4" t="str">
        <f>IFERROR(_xlfn.XLOOKUP( IFERROR(_xlfn.XLOOKUP($B4,'Race Results'!AE$3:AE$22,'Race Results'!$N$3:$N$22),""), 'Race Results'!$N$3:$N$22, 'Race Results'!$E$3:$E$22),"")</f>
        <v/>
      </c>
      <c r="U4" t="str">
        <f>IFERROR(_xlfn.XLOOKUP( IFERROR(_xlfn.XLOOKUP($B4,'Race Results'!AF$3:AF$22,'Race Results'!$N$3:$N$22),""), 'Race Results'!$N$3:$N$22, 'Race Results'!$E$3:$E$22),"")</f>
        <v/>
      </c>
      <c r="V4" t="str">
        <f>IFERROR(_xlfn.XLOOKUP( IFERROR(_xlfn.XLOOKUP($B4,'Race Results'!AG$3:AG$22,'Race Results'!$N$3:$N$22),""), 'Race Results'!$N$3:$N$22, 'Race Results'!$E$3:$E$22),"")</f>
        <v/>
      </c>
      <c r="W4" t="str">
        <f>IFERROR(_xlfn.XLOOKUP( IFERROR(_xlfn.XLOOKUP($B4,'Race Results'!AH$3:AH$22,'Race Results'!$N$3:$N$22),""), 'Race Results'!$N$3:$N$22, 'Race Results'!$E$3:$E$22),"")</f>
        <v/>
      </c>
      <c r="X4" t="str">
        <f>IFERROR(_xlfn.XLOOKUP( IFERROR(_xlfn.XLOOKUP($B4,'Race Results'!AI$3:AI$22,'Race Results'!$N$3:$N$22),""), 'Race Results'!$N$3:$N$22, 'Race Results'!$E$3:$E$22),"")</f>
        <v/>
      </c>
      <c r="Y4" t="str">
        <f>IFERROR(_xlfn.XLOOKUP( IFERROR(_xlfn.XLOOKUP($B4,'Race Results'!AJ$3:AJ$22,'Race Results'!$N$3:$N$22),""), 'Race Results'!$N$3:$N$22, 'Race Results'!$E$3:$E$22),"")</f>
        <v/>
      </c>
      <c r="Z4" t="str">
        <f>IFERROR(_xlfn.XLOOKUP( IFERROR(_xlfn.XLOOKUP($B4,'Race Results'!AK$3:AK$22,'Race Results'!$N$3:$N$22),""), 'Race Results'!$N$3:$N$22, 'Race Results'!$E$3:$E$22),"")</f>
        <v/>
      </c>
    </row>
    <row r="5" spans="2:26" x14ac:dyDescent="0.3">
      <c r="B5" t="s">
        <v>171</v>
      </c>
      <c r="C5" s="50">
        <f t="shared" si="0"/>
        <v>8.5</v>
      </c>
      <c r="D5">
        <f>IFERROR(_xlfn.XLOOKUP( IFERROR(_xlfn.XLOOKUP($B5,'Race Results'!O$3:O$22,'Race Results'!$N$3:$N$22),""), 'Race Results'!$N$3:$N$22, 'Race Results'!$E$3:$E$22),"")</f>
        <v>0</v>
      </c>
      <c r="E5">
        <f>IFERROR(_xlfn.XLOOKUP( IFERROR(_xlfn.XLOOKUP($B5,'Race Results'!P$3:P$22,'Race Results'!$N$3:$N$22),""), 'Race Results'!$N$3:$N$22, 'Race Results'!$E$3:$E$22),"")</f>
        <v>12</v>
      </c>
      <c r="F5">
        <f>IFERROR(_xlfn.XLOOKUP( IFERROR(_xlfn.XLOOKUP($B5,'Race Results'!Q$3:Q$22,'Race Results'!$N$3:$N$22),""), 'Race Results'!$N$3:$N$22, 'Race Results'!$E$3:$E$22),"")</f>
        <v>0.5</v>
      </c>
      <c r="G5">
        <f>IFERROR(_xlfn.XLOOKUP( IFERROR(_xlfn.XLOOKUP($B5,'Race Results'!R$3:R$22,'Race Results'!$N$3:$N$22),""), 'Race Results'!$N$3:$N$22, 'Race Results'!$E$3:$E$22),"")</f>
        <v>0.5</v>
      </c>
      <c r="H5">
        <f>IFERROR(_xlfn.XLOOKUP( IFERROR(_xlfn.XLOOKUP($B5,'Race Results'!S$3:S$22,'Race Results'!$N$3:$N$22),""), 'Race Results'!$N$3:$N$22, 'Race Results'!$E$3:$E$22),"")</f>
        <v>18</v>
      </c>
      <c r="I5" t="str">
        <f>IFERROR(_xlfn.XLOOKUP( IFERROR(_xlfn.XLOOKUP($B5,'Race Results'!T$3:T$22,'Race Results'!$N$3:$N$22),""), 'Race Results'!$N$3:$N$22, 'Race Results'!$E$3:$E$22),"")</f>
        <v/>
      </c>
      <c r="J5">
        <f>IFERROR(_xlfn.XLOOKUP( IFERROR(_xlfn.XLOOKUP($B5,'Race Results'!U$3:U$22,'Race Results'!$N$3:$N$22),""), 'Race Results'!$N$3:$N$22, 'Race Results'!$E$3:$E$22),"")</f>
        <v>0</v>
      </c>
      <c r="K5">
        <f>IFERROR(_xlfn.XLOOKUP( IFERROR(_xlfn.XLOOKUP($B5,'Race Results'!V$3:V$22,'Race Results'!$N$3:$N$22),""), 'Race Results'!$N$3:$N$22, 'Race Results'!$E$3:$E$22),"")</f>
        <v>12</v>
      </c>
      <c r="L5">
        <f>IFERROR(_xlfn.XLOOKUP( IFERROR(_xlfn.XLOOKUP($B5,'Race Results'!W$3:W$22,'Race Results'!$N$3:$N$22),""), 'Race Results'!$N$3:$N$22, 'Race Results'!$E$3:$E$22),"")</f>
        <v>12</v>
      </c>
      <c r="M5">
        <f>IFERROR(_xlfn.XLOOKUP( IFERROR(_xlfn.XLOOKUP($B5,'Race Results'!X$3:X$22,'Race Results'!$N$3:$N$22),""), 'Race Results'!$N$3:$N$22, 'Race Results'!$E$3:$E$22),"")</f>
        <v>2</v>
      </c>
      <c r="N5">
        <f>IFERROR(_xlfn.XLOOKUP( IFERROR(_xlfn.XLOOKUP($B5,'Race Results'!Y$3:Y$22,'Race Results'!$N$3:$N$22),""), 'Race Results'!$N$3:$N$22, 'Race Results'!$E$3:$E$22),"")</f>
        <v>0</v>
      </c>
      <c r="O5">
        <f>IFERROR(_xlfn.XLOOKUP( IFERROR(_xlfn.XLOOKUP($B5,'Race Results'!Z$3:Z$22,'Race Results'!$N$3:$N$22),""), 'Race Results'!$N$3:$N$22, 'Race Results'!$E$3:$E$22),"")</f>
        <v>0</v>
      </c>
      <c r="P5">
        <f>IFERROR(_xlfn.XLOOKUP( IFERROR(_xlfn.XLOOKUP($B5,'Race Results'!AA$3:AA$22,'Race Results'!$N$3:$N$22),""), 'Race Results'!$N$3:$N$22, 'Race Results'!$E$3:$E$22),"")</f>
        <v>12</v>
      </c>
      <c r="Q5">
        <f>IFERROR(_xlfn.XLOOKUP( IFERROR(_xlfn.XLOOKUP($B5,'Race Results'!AB$3:AB$22,'Race Results'!$N$3:$N$22),""), 'Race Results'!$N$3:$N$22, 'Race Results'!$E$3:$E$22),"")</f>
        <v>25</v>
      </c>
      <c r="R5">
        <f>IFERROR(_xlfn.XLOOKUP( IFERROR(_xlfn.XLOOKUP($B5,'Race Results'!AC$3:AC$22,'Race Results'!$N$3:$N$22),""), 'Race Results'!$N$3:$N$22, 'Race Results'!$E$3:$E$22),"")</f>
        <v>0</v>
      </c>
      <c r="S5">
        <f>IFERROR(_xlfn.XLOOKUP( IFERROR(_xlfn.XLOOKUP($B5,'Race Results'!AD$3:AD$22,'Race Results'!$N$3:$N$22),""), 'Race Results'!$N$3:$N$22, 'Race Results'!$E$3:$E$22),"")</f>
        <v>0</v>
      </c>
      <c r="T5">
        <f>IFERROR(_xlfn.XLOOKUP( IFERROR(_xlfn.XLOOKUP($B5,'Race Results'!AE$3:AE$22,'Race Results'!$N$3:$N$22),""), 'Race Results'!$N$3:$N$22, 'Race Results'!$E$3:$E$22),"")</f>
        <v>25</v>
      </c>
      <c r="U5">
        <f>IFERROR(_xlfn.XLOOKUP( IFERROR(_xlfn.XLOOKUP($B5,'Race Results'!AF$3:AF$22,'Race Results'!$N$3:$N$22),""), 'Race Results'!$N$3:$N$22, 'Race Results'!$E$3:$E$22),"")</f>
        <v>8</v>
      </c>
      <c r="V5">
        <f>IFERROR(_xlfn.XLOOKUP( IFERROR(_xlfn.XLOOKUP($B5,'Race Results'!AG$3:AG$22,'Race Results'!$N$3:$N$22),""), 'Race Results'!$N$3:$N$22, 'Race Results'!$E$3:$E$22),"")</f>
        <v>0</v>
      </c>
      <c r="W5">
        <f>IFERROR(_xlfn.XLOOKUP( IFERROR(_xlfn.XLOOKUP($B5,'Race Results'!AH$3:AH$22,'Race Results'!$N$3:$N$22),""), 'Race Results'!$N$3:$N$22, 'Race Results'!$E$3:$E$22),"")</f>
        <v>25</v>
      </c>
      <c r="X5">
        <f>IFERROR(_xlfn.XLOOKUP( IFERROR(_xlfn.XLOOKUP($B5,'Race Results'!AI$3:AI$22,'Race Results'!$N$3:$N$22),""), 'Race Results'!$N$3:$N$22, 'Race Results'!$E$3:$E$22),"")</f>
        <v>25</v>
      </c>
      <c r="Y5">
        <f>IFERROR(_xlfn.XLOOKUP( IFERROR(_xlfn.XLOOKUP($B5,'Race Results'!AJ$3:AJ$22,'Race Results'!$N$3:$N$22),""), 'Race Results'!$N$3:$N$22, 'Race Results'!$E$3:$E$22),"")</f>
        <v>0</v>
      </c>
      <c r="Z5">
        <f>IFERROR(_xlfn.XLOOKUP( IFERROR(_xlfn.XLOOKUP($B5,'Race Results'!AK$3:AK$22,'Race Results'!$N$3:$N$22),""), 'Race Results'!$N$3:$N$22, 'Race Results'!$E$3:$E$22),"")</f>
        <v>10</v>
      </c>
    </row>
    <row r="6" spans="2:26" x14ac:dyDescent="0.3">
      <c r="B6" t="s">
        <v>168</v>
      </c>
      <c r="C6" s="50">
        <f t="shared" si="0"/>
        <v>8.1818181818181817</v>
      </c>
      <c r="D6">
        <f>IFERROR(_xlfn.XLOOKUP( IFERROR(_xlfn.XLOOKUP($B6,'Race Results'!O$3:O$22,'Race Results'!$N$3:$N$22),""), 'Race Results'!$N$3:$N$22, 'Race Results'!$E$3:$E$22),"")</f>
        <v>25</v>
      </c>
      <c r="E6">
        <f>IFERROR(_xlfn.XLOOKUP( IFERROR(_xlfn.XLOOKUP($B6,'Race Results'!P$3:P$22,'Race Results'!$N$3:$N$22),""), 'Race Results'!$N$3:$N$22, 'Race Results'!$E$3:$E$22),"")</f>
        <v>0</v>
      </c>
      <c r="F6">
        <f>IFERROR(_xlfn.XLOOKUP( IFERROR(_xlfn.XLOOKUP($B6,'Race Results'!Q$3:Q$22,'Race Results'!$N$3:$N$22),""), 'Race Results'!$N$3:$N$22, 'Race Results'!$E$3:$E$22),"")</f>
        <v>0</v>
      </c>
      <c r="G6">
        <f>IFERROR(_xlfn.XLOOKUP( IFERROR(_xlfn.XLOOKUP($B6,'Race Results'!R$3:R$22,'Race Results'!$N$3:$N$22),""), 'Race Results'!$N$3:$N$22, 'Race Results'!$E$3:$E$22),"")</f>
        <v>10</v>
      </c>
      <c r="H6">
        <f>IFERROR(_xlfn.XLOOKUP( IFERROR(_xlfn.XLOOKUP($B6,'Race Results'!S$3:S$22,'Race Results'!$N$3:$N$22),""), 'Race Results'!$N$3:$N$22, 'Race Results'!$E$3:$E$22),"")</f>
        <v>2</v>
      </c>
      <c r="I6" t="str">
        <f>IFERROR(_xlfn.XLOOKUP( IFERROR(_xlfn.XLOOKUP($B6,'Race Results'!T$3:T$22,'Race Results'!$N$3:$N$22),""), 'Race Results'!$N$3:$N$22, 'Race Results'!$E$3:$E$22),"")</f>
        <v/>
      </c>
      <c r="J6">
        <f>IFERROR(_xlfn.XLOOKUP( IFERROR(_xlfn.XLOOKUP($B6,'Race Results'!U$3:U$22,'Race Results'!$N$3:$N$22),""), 'Race Results'!$N$3:$N$22, 'Race Results'!$E$3:$E$22),"")</f>
        <v>2</v>
      </c>
      <c r="K6">
        <f>IFERROR(_xlfn.XLOOKUP( IFERROR(_xlfn.XLOOKUP($B6,'Race Results'!V$3:V$22,'Race Results'!$N$3:$N$22),""), 'Race Results'!$N$3:$N$22, 'Race Results'!$E$3:$E$22),"")</f>
        <v>0</v>
      </c>
      <c r="L6">
        <f>IFERROR(_xlfn.XLOOKUP( IFERROR(_xlfn.XLOOKUP($B6,'Race Results'!W$3:W$22,'Race Results'!$N$3:$N$22),""), 'Race Results'!$N$3:$N$22, 'Race Results'!$E$3:$E$22),"")</f>
        <v>8</v>
      </c>
      <c r="M6">
        <f>IFERROR(_xlfn.XLOOKUP( IFERROR(_xlfn.XLOOKUP($B6,'Race Results'!X$3:X$22,'Race Results'!$N$3:$N$22),""), 'Race Results'!$N$3:$N$22, 'Race Results'!$E$3:$E$22),"")</f>
        <v>15</v>
      </c>
      <c r="N6">
        <f>IFERROR(_xlfn.XLOOKUP( IFERROR(_xlfn.XLOOKUP($B6,'Race Results'!Y$3:Y$22,'Race Results'!$N$3:$N$22),""), 'Race Results'!$N$3:$N$22, 'Race Results'!$E$3:$E$22),"")</f>
        <v>12</v>
      </c>
      <c r="O6">
        <f>IFERROR(_xlfn.XLOOKUP( IFERROR(_xlfn.XLOOKUP($B6,'Race Results'!Z$3:Z$22,'Race Results'!$N$3:$N$22),""), 'Race Results'!$N$3:$N$22, 'Race Results'!$E$3:$E$22),"")</f>
        <v>15</v>
      </c>
      <c r="P6">
        <f>IFERROR(_xlfn.XLOOKUP( IFERROR(_xlfn.XLOOKUP($B6,'Race Results'!AA$3:AA$22,'Race Results'!$N$3:$N$22),""), 'Race Results'!$N$3:$N$22, 'Race Results'!$E$3:$E$22),"")</f>
        <v>2</v>
      </c>
      <c r="Q6">
        <f>IFERROR(_xlfn.XLOOKUP( IFERROR(_xlfn.XLOOKUP($B6,'Race Results'!AB$3:AB$22,'Race Results'!$N$3:$N$22),""), 'Race Results'!$N$3:$N$22, 'Race Results'!$E$3:$E$22),"")</f>
        <v>12</v>
      </c>
      <c r="R6">
        <f>IFERROR(_xlfn.XLOOKUP( IFERROR(_xlfn.XLOOKUP($B6,'Race Results'!AC$3:AC$22,'Race Results'!$N$3:$N$22),""), 'Race Results'!$N$3:$N$22, 'Race Results'!$E$3:$E$22),"")</f>
        <v>8</v>
      </c>
      <c r="S6">
        <f>IFERROR(_xlfn.XLOOKUP( IFERROR(_xlfn.XLOOKUP($B6,'Race Results'!AD$3:AD$22,'Race Results'!$N$3:$N$22),""), 'Race Results'!$N$3:$N$22, 'Race Results'!$E$3:$E$22),"")</f>
        <v>15</v>
      </c>
      <c r="T6">
        <f>IFERROR(_xlfn.XLOOKUP( IFERROR(_xlfn.XLOOKUP($B6,'Race Results'!AE$3:AE$22,'Race Results'!$N$3:$N$22),""), 'Race Results'!$N$3:$N$22, 'Race Results'!$E$3:$E$22),"")</f>
        <v>0</v>
      </c>
      <c r="U6">
        <f>IFERROR(_xlfn.XLOOKUP( IFERROR(_xlfn.XLOOKUP($B6,'Race Results'!AF$3:AF$22,'Race Results'!$N$3:$N$22),""), 'Race Results'!$N$3:$N$22, 'Race Results'!$E$3:$E$22),"")</f>
        <v>6</v>
      </c>
      <c r="V6">
        <f>IFERROR(_xlfn.XLOOKUP( IFERROR(_xlfn.XLOOKUP($B6,'Race Results'!AG$3:AG$22,'Race Results'!$N$3:$N$22),""), 'Race Results'!$N$3:$N$22, 'Race Results'!$E$3:$E$22),"")</f>
        <v>18</v>
      </c>
      <c r="W6">
        <f>IFERROR(_xlfn.XLOOKUP( IFERROR(_xlfn.XLOOKUP($B6,'Race Results'!AH$3:AH$22,'Race Results'!$N$3:$N$22),""), 'Race Results'!$N$3:$N$22, 'Race Results'!$E$3:$E$22),"")</f>
        <v>18</v>
      </c>
      <c r="X6">
        <f>IFERROR(_xlfn.XLOOKUP( IFERROR(_xlfn.XLOOKUP($B6,'Race Results'!AI$3:AI$22,'Race Results'!$N$3:$N$22),""), 'Race Results'!$N$3:$N$22, 'Race Results'!$E$3:$E$22),"")</f>
        <v>0</v>
      </c>
      <c r="Y6">
        <f>IFERROR(_xlfn.XLOOKUP( IFERROR(_xlfn.XLOOKUP($B6,'Race Results'!AJ$3:AJ$22,'Race Results'!$N$3:$N$22),""), 'Race Results'!$N$3:$N$22, 'Race Results'!$E$3:$E$22),"")</f>
        <v>10</v>
      </c>
      <c r="Z6">
        <f>IFERROR(_xlfn.XLOOKUP( IFERROR(_xlfn.XLOOKUP($B6,'Race Results'!AK$3:AK$22,'Race Results'!$N$3:$N$22),""), 'Race Results'!$N$3:$N$22, 'Race Results'!$E$3:$E$22),"")</f>
        <v>2</v>
      </c>
    </row>
    <row r="7" spans="2:26" x14ac:dyDescent="0.3">
      <c r="B7" t="s">
        <v>176</v>
      </c>
      <c r="C7" s="50">
        <f t="shared" si="0"/>
        <v>6.8636363636363633</v>
      </c>
      <c r="D7">
        <f>IFERROR(_xlfn.XLOOKUP( IFERROR(_xlfn.XLOOKUP($B7,'Race Results'!O$3:O$22,'Race Results'!$N$3:$N$22),""), 'Race Results'!$N$3:$N$22, 'Race Results'!$E$3:$E$22),"")</f>
        <v>12</v>
      </c>
      <c r="E7">
        <f>IFERROR(_xlfn.XLOOKUP( IFERROR(_xlfn.XLOOKUP($B7,'Race Results'!P$3:P$22,'Race Results'!$N$3:$N$22),""), 'Race Results'!$N$3:$N$22, 'Race Results'!$E$3:$E$22),"")</f>
        <v>0</v>
      </c>
      <c r="F7">
        <f>IFERROR(_xlfn.XLOOKUP( IFERROR(_xlfn.XLOOKUP($B7,'Race Results'!Q$3:Q$22,'Race Results'!$N$3:$N$22),""), 'Race Results'!$N$3:$N$22, 'Race Results'!$E$3:$E$22),"")</f>
        <v>15</v>
      </c>
      <c r="G7">
        <f>IFERROR(_xlfn.XLOOKUP( IFERROR(_xlfn.XLOOKUP($B7,'Race Results'!R$3:R$22,'Race Results'!$N$3:$N$22),""), 'Race Results'!$N$3:$N$22, 'Race Results'!$E$3:$E$22),"")</f>
        <v>0</v>
      </c>
      <c r="H7">
        <f>IFERROR(_xlfn.XLOOKUP( IFERROR(_xlfn.XLOOKUP($B7,'Race Results'!S$3:S$22,'Race Results'!$N$3:$N$22),""), 'Race Results'!$N$3:$N$22, 'Race Results'!$E$3:$E$22),"")</f>
        <v>6</v>
      </c>
      <c r="I7" t="str">
        <f>IFERROR(_xlfn.XLOOKUP( IFERROR(_xlfn.XLOOKUP($B7,'Race Results'!T$3:T$22,'Race Results'!$N$3:$N$22),""), 'Race Results'!$N$3:$N$22, 'Race Results'!$E$3:$E$22),"")</f>
        <v/>
      </c>
      <c r="J7">
        <f>IFERROR(_xlfn.XLOOKUP( IFERROR(_xlfn.XLOOKUP($B7,'Race Results'!U$3:U$22,'Race Results'!$N$3:$N$22),""), 'Race Results'!$N$3:$N$22, 'Race Results'!$E$3:$E$22),"")</f>
        <v>15</v>
      </c>
      <c r="K7">
        <f>IFERROR(_xlfn.XLOOKUP( IFERROR(_xlfn.XLOOKUP($B7,'Race Results'!V$3:V$22,'Race Results'!$N$3:$N$22),""), 'Race Results'!$N$3:$N$22, 'Race Results'!$E$3:$E$22),"")</f>
        <v>0</v>
      </c>
      <c r="L7">
        <f>IFERROR(_xlfn.XLOOKUP( IFERROR(_xlfn.XLOOKUP($B7,'Race Results'!W$3:W$22,'Race Results'!$N$3:$N$22),""), 'Race Results'!$N$3:$N$22, 'Race Results'!$E$3:$E$22),"")</f>
        <v>25</v>
      </c>
      <c r="M7">
        <f>IFERROR(_xlfn.XLOOKUP( IFERROR(_xlfn.XLOOKUP($B7,'Race Results'!X$3:X$22,'Race Results'!$N$3:$N$22),""), 'Race Results'!$N$3:$N$22, 'Race Results'!$E$3:$E$22),"")</f>
        <v>0.5</v>
      </c>
      <c r="N7">
        <f>IFERROR(_xlfn.XLOOKUP( IFERROR(_xlfn.XLOOKUP($B7,'Race Results'!Y$3:Y$22,'Race Results'!$N$3:$N$22),""), 'Race Results'!$N$3:$N$22, 'Race Results'!$E$3:$E$22),"")</f>
        <v>10</v>
      </c>
      <c r="O7">
        <f>IFERROR(_xlfn.XLOOKUP( IFERROR(_xlfn.XLOOKUP($B7,'Race Results'!Z$3:Z$22,'Race Results'!$N$3:$N$22),""), 'Race Results'!$N$3:$N$22, 'Race Results'!$E$3:$E$22),"")</f>
        <v>10</v>
      </c>
      <c r="P7">
        <f>IFERROR(_xlfn.XLOOKUP( IFERROR(_xlfn.XLOOKUP($B7,'Race Results'!AA$3:AA$22,'Race Results'!$N$3:$N$22),""), 'Race Results'!$N$3:$N$22, 'Race Results'!$E$3:$E$22),"")</f>
        <v>10</v>
      </c>
      <c r="Q7">
        <f>IFERROR(_xlfn.XLOOKUP( IFERROR(_xlfn.XLOOKUP($B7,'Race Results'!AB$3:AB$22,'Race Results'!$N$3:$N$22),""), 'Race Results'!$N$3:$N$22, 'Race Results'!$E$3:$E$22),"")</f>
        <v>0.5</v>
      </c>
      <c r="R7">
        <f>IFERROR(_xlfn.XLOOKUP( IFERROR(_xlfn.XLOOKUP($B7,'Race Results'!AC$3:AC$22,'Race Results'!$N$3:$N$22),""), 'Race Results'!$N$3:$N$22, 'Race Results'!$E$3:$E$22),"")</f>
        <v>25</v>
      </c>
      <c r="S7">
        <f>IFERROR(_xlfn.XLOOKUP( IFERROR(_xlfn.XLOOKUP($B7,'Race Results'!AD$3:AD$22,'Race Results'!$N$3:$N$22),""), 'Race Results'!$N$3:$N$22, 'Race Results'!$E$3:$E$22),"")</f>
        <v>0</v>
      </c>
      <c r="T7">
        <f>IFERROR(_xlfn.XLOOKUP( IFERROR(_xlfn.XLOOKUP($B7,'Race Results'!AE$3:AE$22,'Race Results'!$N$3:$N$22),""), 'Race Results'!$N$3:$N$22, 'Race Results'!$E$3:$E$22),"")</f>
        <v>0</v>
      </c>
      <c r="U7">
        <f>IFERROR(_xlfn.XLOOKUP( IFERROR(_xlfn.XLOOKUP($B7,'Race Results'!AF$3:AF$22,'Race Results'!$N$3:$N$22),""), 'Race Results'!$N$3:$N$22, 'Race Results'!$E$3:$E$22),"")</f>
        <v>12</v>
      </c>
      <c r="V7">
        <f>IFERROR(_xlfn.XLOOKUP( IFERROR(_xlfn.XLOOKUP($B7,'Race Results'!AG$3:AG$22,'Race Results'!$N$3:$N$22),""), 'Race Results'!$N$3:$N$22, 'Race Results'!$E$3:$E$22),"")</f>
        <v>10</v>
      </c>
      <c r="W7">
        <f>IFERROR(_xlfn.XLOOKUP( IFERROR(_xlfn.XLOOKUP($B7,'Race Results'!AH$3:AH$22,'Race Results'!$N$3:$N$22),""), 'Race Results'!$N$3:$N$22, 'Race Results'!$E$3:$E$22),"")</f>
        <v>0</v>
      </c>
      <c r="X7">
        <f>IFERROR(_xlfn.XLOOKUP( IFERROR(_xlfn.XLOOKUP($B7,'Race Results'!AI$3:AI$22,'Race Results'!$N$3:$N$22),""), 'Race Results'!$N$3:$N$22, 'Race Results'!$E$3:$E$22),"")</f>
        <v>0</v>
      </c>
      <c r="Y7">
        <f>IFERROR(_xlfn.XLOOKUP( IFERROR(_xlfn.XLOOKUP($B7,'Race Results'!AJ$3:AJ$22,'Race Results'!$N$3:$N$22),""), 'Race Results'!$N$3:$N$22, 'Race Results'!$E$3:$E$22),"")</f>
        <v>0</v>
      </c>
      <c r="Z7">
        <f>IFERROR(_xlfn.XLOOKUP( IFERROR(_xlfn.XLOOKUP($B7,'Race Results'!AK$3:AK$22,'Race Results'!$N$3:$N$22),""), 'Race Results'!$N$3:$N$22, 'Race Results'!$E$3:$E$22),"")</f>
        <v>0</v>
      </c>
    </row>
    <row r="8" spans="2:26" x14ac:dyDescent="0.3">
      <c r="B8" t="s">
        <v>183</v>
      </c>
      <c r="C8" s="50">
        <f t="shared" si="0"/>
        <v>7.8181818181818183</v>
      </c>
      <c r="D8">
        <f>IFERROR(_xlfn.XLOOKUP( IFERROR(_xlfn.XLOOKUP($B8,'Race Results'!O$3:O$22,'Race Results'!$N$3:$N$22),""), 'Race Results'!$N$3:$N$22, 'Race Results'!$E$3:$E$22),"")</f>
        <v>4</v>
      </c>
      <c r="E8">
        <f>IFERROR(_xlfn.XLOOKUP( IFERROR(_xlfn.XLOOKUP($B8,'Race Results'!P$3:P$22,'Race Results'!$N$3:$N$22),""), 'Race Results'!$N$3:$N$22, 'Race Results'!$E$3:$E$22),"")</f>
        <v>0</v>
      </c>
      <c r="F8">
        <f>IFERROR(_xlfn.XLOOKUP( IFERROR(_xlfn.XLOOKUP($B8,'Race Results'!Q$3:Q$22,'Race Results'!$N$3:$N$22),""), 'Race Results'!$N$3:$N$22, 'Race Results'!$E$3:$E$22),"")</f>
        <v>0</v>
      </c>
      <c r="G8">
        <f>IFERROR(_xlfn.XLOOKUP( IFERROR(_xlfn.XLOOKUP($B8,'Race Results'!R$3:R$22,'Race Results'!$N$3:$N$22),""), 'Race Results'!$N$3:$N$22, 'Race Results'!$E$3:$E$22),"")</f>
        <v>8</v>
      </c>
      <c r="H8">
        <f>IFERROR(_xlfn.XLOOKUP( IFERROR(_xlfn.XLOOKUP($B8,'Race Results'!S$3:S$22,'Race Results'!$N$3:$N$22),""), 'Race Results'!$N$3:$N$22, 'Race Results'!$E$3:$E$22),"")</f>
        <v>10</v>
      </c>
      <c r="I8" t="str">
        <f>IFERROR(_xlfn.XLOOKUP( IFERROR(_xlfn.XLOOKUP($B8,'Race Results'!T$3:T$22,'Race Results'!$N$3:$N$22),""), 'Race Results'!$N$3:$N$22, 'Race Results'!$E$3:$E$22),"")</f>
        <v/>
      </c>
      <c r="J8">
        <f>IFERROR(_xlfn.XLOOKUP( IFERROR(_xlfn.XLOOKUP($B8,'Race Results'!U$3:U$22,'Race Results'!$N$3:$N$22),""), 'Race Results'!$N$3:$N$22, 'Race Results'!$E$3:$E$22),"")</f>
        <v>0</v>
      </c>
      <c r="K8">
        <f>IFERROR(_xlfn.XLOOKUP( IFERROR(_xlfn.XLOOKUP($B8,'Race Results'!V$3:V$22,'Race Results'!$N$3:$N$22),""), 'Race Results'!$N$3:$N$22, 'Race Results'!$E$3:$E$22),"")</f>
        <v>4</v>
      </c>
      <c r="L8">
        <f>IFERROR(_xlfn.XLOOKUP( IFERROR(_xlfn.XLOOKUP($B8,'Race Results'!W$3:W$22,'Race Results'!$N$3:$N$22),""), 'Race Results'!$N$3:$N$22, 'Race Results'!$E$3:$E$22),"")</f>
        <v>18</v>
      </c>
      <c r="M8">
        <f>IFERROR(_xlfn.XLOOKUP( IFERROR(_xlfn.XLOOKUP($B8,'Race Results'!X$3:X$22,'Race Results'!$N$3:$N$22),""), 'Race Results'!$N$3:$N$22, 'Race Results'!$E$3:$E$22),"")</f>
        <v>18</v>
      </c>
      <c r="N8">
        <f>IFERROR(_xlfn.XLOOKUP( IFERROR(_xlfn.XLOOKUP($B8,'Race Results'!Y$3:Y$22,'Race Results'!$N$3:$N$22),""), 'Race Results'!$N$3:$N$22, 'Race Results'!$E$3:$E$22),"")</f>
        <v>2</v>
      </c>
      <c r="O8">
        <f>IFERROR(_xlfn.XLOOKUP( IFERROR(_xlfn.XLOOKUP($B8,'Race Results'!Z$3:Z$22,'Race Results'!$N$3:$N$22),""), 'Race Results'!$N$3:$N$22, 'Race Results'!$E$3:$E$22),"")</f>
        <v>25</v>
      </c>
      <c r="P8">
        <f>IFERROR(_xlfn.XLOOKUP( IFERROR(_xlfn.XLOOKUP($B8,'Race Results'!AA$3:AA$22,'Race Results'!$N$3:$N$22),""), 'Race Results'!$N$3:$N$22, 'Race Results'!$E$3:$E$22),"")</f>
        <v>18</v>
      </c>
      <c r="Q8">
        <f>IFERROR(_xlfn.XLOOKUP( IFERROR(_xlfn.XLOOKUP($B8,'Race Results'!AB$3:AB$22,'Race Results'!$N$3:$N$22),""), 'Race Results'!$N$3:$N$22, 'Race Results'!$E$3:$E$22),"")</f>
        <v>15</v>
      </c>
      <c r="R8">
        <f>IFERROR(_xlfn.XLOOKUP( IFERROR(_xlfn.XLOOKUP($B8,'Race Results'!AC$3:AC$22,'Race Results'!$N$3:$N$22),""), 'Race Results'!$N$3:$N$22, 'Race Results'!$E$3:$E$22),"")</f>
        <v>0</v>
      </c>
      <c r="S8">
        <f>IFERROR(_xlfn.XLOOKUP( IFERROR(_xlfn.XLOOKUP($B8,'Race Results'!AD$3:AD$22,'Race Results'!$N$3:$N$22),""), 'Race Results'!$N$3:$N$22, 'Race Results'!$E$3:$E$22),"")</f>
        <v>0</v>
      </c>
      <c r="T8">
        <f>IFERROR(_xlfn.XLOOKUP( IFERROR(_xlfn.XLOOKUP($B8,'Race Results'!AE$3:AE$22,'Race Results'!$N$3:$N$22),""), 'Race Results'!$N$3:$N$22, 'Race Results'!$E$3:$E$22),"")</f>
        <v>0</v>
      </c>
      <c r="U8">
        <f>IFERROR(_xlfn.XLOOKUP( IFERROR(_xlfn.XLOOKUP($B8,'Race Results'!AF$3:AF$22,'Race Results'!$N$3:$N$22),""), 'Race Results'!$N$3:$N$22, 'Race Results'!$E$3:$E$22),"")</f>
        <v>15</v>
      </c>
      <c r="V8">
        <f>IFERROR(_xlfn.XLOOKUP( IFERROR(_xlfn.XLOOKUP($B8,'Race Results'!AG$3:AG$22,'Race Results'!$N$3:$N$22),""), 'Race Results'!$N$3:$N$22, 'Race Results'!$E$3:$E$22),"")</f>
        <v>8</v>
      </c>
      <c r="W8">
        <f>IFERROR(_xlfn.XLOOKUP( IFERROR(_xlfn.XLOOKUP($B8,'Race Results'!AH$3:AH$22,'Race Results'!$N$3:$N$22),""), 'Race Results'!$N$3:$N$22, 'Race Results'!$E$3:$E$22),"")</f>
        <v>0</v>
      </c>
      <c r="X8">
        <f>IFERROR(_xlfn.XLOOKUP( IFERROR(_xlfn.XLOOKUP($B8,'Race Results'!AI$3:AI$22,'Race Results'!$N$3:$N$22),""), 'Race Results'!$N$3:$N$22, 'Race Results'!$E$3:$E$22),"")</f>
        <v>1</v>
      </c>
      <c r="Y8">
        <f>IFERROR(_xlfn.XLOOKUP( IFERROR(_xlfn.XLOOKUP($B8,'Race Results'!AJ$3:AJ$22,'Race Results'!$N$3:$N$22),""), 'Race Results'!$N$3:$N$22, 'Race Results'!$E$3:$E$22),"")</f>
        <v>1</v>
      </c>
      <c r="Z8">
        <f>IFERROR(_xlfn.XLOOKUP( IFERROR(_xlfn.XLOOKUP($B8,'Race Results'!AK$3:AK$22,'Race Results'!$N$3:$N$22),""), 'Race Results'!$N$3:$N$22, 'Race Results'!$E$3:$E$22),"")</f>
        <v>25</v>
      </c>
    </row>
    <row r="9" spans="2:26" x14ac:dyDescent="0.3">
      <c r="B9" t="s">
        <v>172</v>
      </c>
      <c r="C9" s="50">
        <f t="shared" si="0"/>
        <v>6.9772727272727275</v>
      </c>
      <c r="D9">
        <f>IFERROR(_xlfn.XLOOKUP( IFERROR(_xlfn.XLOOKUP($B9,'Race Results'!O$3:O$22,'Race Results'!$N$3:$N$22),""), 'Race Results'!$N$3:$N$22, 'Race Results'!$E$3:$E$22),"")</f>
        <v>0</v>
      </c>
      <c r="E9">
        <f>IFERROR(_xlfn.XLOOKUP( IFERROR(_xlfn.XLOOKUP($B9,'Race Results'!P$3:P$22,'Race Results'!$N$3:$N$22),""), 'Race Results'!$N$3:$N$22, 'Race Results'!$E$3:$E$22),"")</f>
        <v>0.5</v>
      </c>
      <c r="F9">
        <f>IFERROR(_xlfn.XLOOKUP( IFERROR(_xlfn.XLOOKUP($B9,'Race Results'!Q$3:Q$22,'Race Results'!$N$3:$N$22),""), 'Race Results'!$N$3:$N$22, 'Race Results'!$E$3:$E$22),"")</f>
        <v>12</v>
      </c>
      <c r="G9">
        <f>IFERROR(_xlfn.XLOOKUP( IFERROR(_xlfn.XLOOKUP($B9,'Race Results'!R$3:R$22,'Race Results'!$N$3:$N$22),""), 'Race Results'!$N$3:$N$22, 'Race Results'!$E$3:$E$22),"")</f>
        <v>15</v>
      </c>
      <c r="H9">
        <f>IFERROR(_xlfn.XLOOKUP( IFERROR(_xlfn.XLOOKUP($B9,'Race Results'!S$3:S$22,'Race Results'!$N$3:$N$22),""), 'Race Results'!$N$3:$N$22, 'Race Results'!$E$3:$E$22),"")</f>
        <v>0</v>
      </c>
      <c r="I9" t="str">
        <f>IFERROR(_xlfn.XLOOKUP( IFERROR(_xlfn.XLOOKUP($B9,'Race Results'!T$3:T$22,'Race Results'!$N$3:$N$22),""), 'Race Results'!$N$3:$N$22, 'Race Results'!$E$3:$E$22),"")</f>
        <v/>
      </c>
      <c r="J9">
        <f>IFERROR(_xlfn.XLOOKUP( IFERROR(_xlfn.XLOOKUP($B9,'Race Results'!U$3:U$22,'Race Results'!$N$3:$N$22),""), 'Race Results'!$N$3:$N$22, 'Race Results'!$E$3:$E$22),"")</f>
        <v>25</v>
      </c>
      <c r="K9">
        <f>IFERROR(_xlfn.XLOOKUP( IFERROR(_xlfn.XLOOKUP($B9,'Race Results'!V$3:V$22,'Race Results'!$N$3:$N$22),""), 'Race Results'!$N$3:$N$22, 'Race Results'!$E$3:$E$22),"")</f>
        <v>6</v>
      </c>
      <c r="L9">
        <f>IFERROR(_xlfn.XLOOKUP( IFERROR(_xlfn.XLOOKUP($B9,'Race Results'!W$3:W$22,'Race Results'!$N$3:$N$22),""), 'Race Results'!$N$3:$N$22, 'Race Results'!$E$3:$E$22),"")</f>
        <v>15</v>
      </c>
      <c r="M9">
        <f>IFERROR(_xlfn.XLOOKUP( IFERROR(_xlfn.XLOOKUP($B9,'Race Results'!X$3:X$22,'Race Results'!$N$3:$N$22),""), 'Race Results'!$N$3:$N$22, 'Race Results'!$E$3:$E$22),"")</f>
        <v>0</v>
      </c>
      <c r="N9">
        <f>IFERROR(_xlfn.XLOOKUP( IFERROR(_xlfn.XLOOKUP($B9,'Race Results'!Y$3:Y$22,'Race Results'!$N$3:$N$22),""), 'Race Results'!$N$3:$N$22, 'Race Results'!$E$3:$E$22),"")</f>
        <v>0</v>
      </c>
      <c r="O9">
        <f>IFERROR(_xlfn.XLOOKUP( IFERROR(_xlfn.XLOOKUP($B9,'Race Results'!Z$3:Z$22,'Race Results'!$N$3:$N$22),""), 'Race Results'!$N$3:$N$22, 'Race Results'!$E$3:$E$22),"")</f>
        <v>1</v>
      </c>
      <c r="P9">
        <f>IFERROR(_xlfn.XLOOKUP( IFERROR(_xlfn.XLOOKUP($B9,'Race Results'!AA$3:AA$22,'Race Results'!$N$3:$N$22),""), 'Race Results'!$N$3:$N$22, 'Race Results'!$E$3:$E$22),"")</f>
        <v>0</v>
      </c>
      <c r="Q9">
        <f>IFERROR(_xlfn.XLOOKUP( IFERROR(_xlfn.XLOOKUP($B9,'Race Results'!AB$3:AB$22,'Race Results'!$N$3:$N$22),""), 'Race Results'!$N$3:$N$22, 'Race Results'!$E$3:$E$22),"")</f>
        <v>18</v>
      </c>
      <c r="R9">
        <f>IFERROR(_xlfn.XLOOKUP( IFERROR(_xlfn.XLOOKUP($B9,'Race Results'!AC$3:AC$22,'Race Results'!$N$3:$N$22),""), 'Race Results'!$N$3:$N$22, 'Race Results'!$E$3:$E$22),"")</f>
        <v>10</v>
      </c>
      <c r="S9">
        <f>IFERROR(_xlfn.XLOOKUP( IFERROR(_xlfn.XLOOKUP($B9,'Race Results'!AD$3:AD$22,'Race Results'!$N$3:$N$22),""), 'Race Results'!$N$3:$N$22, 'Race Results'!$E$3:$E$22),"")</f>
        <v>8</v>
      </c>
      <c r="T9">
        <f>IFERROR(_xlfn.XLOOKUP( IFERROR(_xlfn.XLOOKUP($B9,'Race Results'!AE$3:AE$22,'Race Results'!$N$3:$N$22),""), 'Race Results'!$N$3:$N$22, 'Race Results'!$E$3:$E$22),"")</f>
        <v>0</v>
      </c>
      <c r="U9">
        <f>IFERROR(_xlfn.XLOOKUP( IFERROR(_xlfn.XLOOKUP($B9,'Race Results'!AF$3:AF$22,'Race Results'!$N$3:$N$22),""), 'Race Results'!$N$3:$N$22, 'Race Results'!$E$3:$E$22),"")</f>
        <v>0</v>
      </c>
      <c r="V9">
        <f>IFERROR(_xlfn.XLOOKUP( IFERROR(_xlfn.XLOOKUP($B9,'Race Results'!AG$3:AG$22,'Race Results'!$N$3:$N$22),""), 'Race Results'!$N$3:$N$22, 'Race Results'!$E$3:$E$22),"")</f>
        <v>0</v>
      </c>
      <c r="W9">
        <f>IFERROR(_xlfn.XLOOKUP( IFERROR(_xlfn.XLOOKUP($B9,'Race Results'!AH$3:AH$22,'Race Results'!$N$3:$N$22),""), 'Race Results'!$N$3:$N$22, 'Race Results'!$E$3:$E$22),"")</f>
        <v>12</v>
      </c>
      <c r="X9">
        <f>IFERROR(_xlfn.XLOOKUP( IFERROR(_xlfn.XLOOKUP($B9,'Race Results'!AI$3:AI$22,'Race Results'!$N$3:$N$22),""), 'Race Results'!$N$3:$N$22, 'Race Results'!$E$3:$E$22),"")</f>
        <v>2</v>
      </c>
      <c r="Y9">
        <f>IFERROR(_xlfn.XLOOKUP( IFERROR(_xlfn.XLOOKUP($B9,'Race Results'!AJ$3:AJ$22,'Race Results'!$N$3:$N$22),""), 'Race Results'!$N$3:$N$22, 'Race Results'!$E$3:$E$22),"")</f>
        <v>25</v>
      </c>
      <c r="Z9">
        <f>IFERROR(_xlfn.XLOOKUP( IFERROR(_xlfn.XLOOKUP($B9,'Race Results'!AK$3:AK$22,'Race Results'!$N$3:$N$22),""), 'Race Results'!$N$3:$N$22, 'Race Results'!$E$3:$E$22),"")</f>
        <v>4</v>
      </c>
    </row>
    <row r="10" spans="2:26" x14ac:dyDescent="0.3">
      <c r="B10" t="s">
        <v>189</v>
      </c>
      <c r="C10" s="50">
        <f t="shared" si="0"/>
        <v>4.9545454545454541</v>
      </c>
      <c r="D10">
        <f>IFERROR(_xlfn.XLOOKUP( IFERROR(_xlfn.XLOOKUP($B10,'Race Results'!O$3:O$22,'Race Results'!$N$3:$N$22),""), 'Race Results'!$N$3:$N$22, 'Race Results'!$E$3:$E$22),"")</f>
        <v>0</v>
      </c>
      <c r="E10">
        <f>IFERROR(_xlfn.XLOOKUP( IFERROR(_xlfn.XLOOKUP($B10,'Race Results'!P$3:P$22,'Race Results'!$N$3:$N$22),""), 'Race Results'!$N$3:$N$22, 'Race Results'!$E$3:$E$22),"")</f>
        <v>6</v>
      </c>
      <c r="F10">
        <f>IFERROR(_xlfn.XLOOKUP( IFERROR(_xlfn.XLOOKUP($B10,'Race Results'!Q$3:Q$22,'Race Results'!$N$3:$N$22),""), 'Race Results'!$N$3:$N$22, 'Race Results'!$E$3:$E$22),"")</f>
        <v>18</v>
      </c>
      <c r="G10">
        <f>IFERROR(_xlfn.XLOOKUP( IFERROR(_xlfn.XLOOKUP($B10,'Race Results'!R$3:R$22,'Race Results'!$N$3:$N$22),""), 'Race Results'!$N$3:$N$22, 'Race Results'!$E$3:$E$22),"")</f>
        <v>0</v>
      </c>
      <c r="H10">
        <f>IFERROR(_xlfn.XLOOKUP( IFERROR(_xlfn.XLOOKUP($B10,'Race Results'!S$3:S$22,'Race Results'!$N$3:$N$22),""), 'Race Results'!$N$3:$N$22, 'Race Results'!$E$3:$E$22),"")</f>
        <v>0</v>
      </c>
      <c r="I10" t="str">
        <f>IFERROR(_xlfn.XLOOKUP( IFERROR(_xlfn.XLOOKUP($B10,'Race Results'!T$3:T$22,'Race Results'!$N$3:$N$22),""), 'Race Results'!$N$3:$N$22, 'Race Results'!$E$3:$E$22),"")</f>
        <v/>
      </c>
      <c r="J10">
        <f>IFERROR(_xlfn.XLOOKUP( IFERROR(_xlfn.XLOOKUP($B10,'Race Results'!U$3:U$22,'Race Results'!$N$3:$N$22),""), 'Race Results'!$N$3:$N$22, 'Race Results'!$E$3:$E$22),"")</f>
        <v>6</v>
      </c>
      <c r="K10">
        <f>IFERROR(_xlfn.XLOOKUP( IFERROR(_xlfn.XLOOKUP($B10,'Race Results'!V$3:V$22,'Race Results'!$N$3:$N$22),""), 'Race Results'!$N$3:$N$22, 'Race Results'!$E$3:$E$22),"")</f>
        <v>18</v>
      </c>
      <c r="L10">
        <f>IFERROR(_xlfn.XLOOKUP( IFERROR(_xlfn.XLOOKUP($B10,'Race Results'!W$3:W$22,'Race Results'!$N$3:$N$22),""), 'Race Results'!$N$3:$N$22, 'Race Results'!$E$3:$E$22),"")</f>
        <v>0</v>
      </c>
      <c r="M10">
        <f>IFERROR(_xlfn.XLOOKUP( IFERROR(_xlfn.XLOOKUP($B10,'Race Results'!X$3:X$22,'Race Results'!$N$3:$N$22),""), 'Race Results'!$N$3:$N$22, 'Race Results'!$E$3:$E$22),"")</f>
        <v>10</v>
      </c>
      <c r="N10">
        <f>IFERROR(_xlfn.XLOOKUP( IFERROR(_xlfn.XLOOKUP($B10,'Race Results'!Y$3:Y$22,'Race Results'!$N$3:$N$22),""), 'Race Results'!$N$3:$N$22, 'Race Results'!$E$3:$E$22),"")</f>
        <v>0.5</v>
      </c>
      <c r="O10">
        <f>IFERROR(_xlfn.XLOOKUP( IFERROR(_xlfn.XLOOKUP($B10,'Race Results'!Z$3:Z$22,'Race Results'!$N$3:$N$22),""), 'Race Results'!$N$3:$N$22, 'Race Results'!$E$3:$E$22),"")</f>
        <v>0</v>
      </c>
      <c r="P10">
        <f>IFERROR(_xlfn.XLOOKUP( IFERROR(_xlfn.XLOOKUP($B10,'Race Results'!AA$3:AA$22,'Race Results'!$N$3:$N$22),""), 'Race Results'!$N$3:$N$22, 'Race Results'!$E$3:$E$22),"")</f>
        <v>6</v>
      </c>
      <c r="Q10">
        <f>IFERROR(_xlfn.XLOOKUP( IFERROR(_xlfn.XLOOKUP($B10,'Race Results'!AB$3:AB$22,'Race Results'!$N$3:$N$22),""), 'Race Results'!$N$3:$N$22, 'Race Results'!$E$3:$E$22),"")</f>
        <v>0</v>
      </c>
      <c r="R10">
        <f>IFERROR(_xlfn.XLOOKUP( IFERROR(_xlfn.XLOOKUP($B10,'Race Results'!AC$3:AC$22,'Race Results'!$N$3:$N$22),""), 'Race Results'!$N$3:$N$22, 'Race Results'!$E$3:$E$22),"")</f>
        <v>2</v>
      </c>
      <c r="S10">
        <f>IFERROR(_xlfn.XLOOKUP( IFERROR(_xlfn.XLOOKUP($B10,'Race Results'!AD$3:AD$22,'Race Results'!$N$3:$N$22),""), 'Race Results'!$N$3:$N$22, 'Race Results'!$E$3:$E$22),"")</f>
        <v>10</v>
      </c>
      <c r="T10">
        <f>IFERROR(_xlfn.XLOOKUP( IFERROR(_xlfn.XLOOKUP($B10,'Race Results'!AE$3:AE$22,'Race Results'!$N$3:$N$22),""), 'Race Results'!$N$3:$N$22, 'Race Results'!$E$3:$E$22),"")</f>
        <v>6</v>
      </c>
      <c r="U10">
        <f>IFERROR(_xlfn.XLOOKUP( IFERROR(_xlfn.XLOOKUP($B10,'Race Results'!AF$3:AF$22,'Race Results'!$N$3:$N$22),""), 'Race Results'!$N$3:$N$22, 'Race Results'!$E$3:$E$22),"")</f>
        <v>18</v>
      </c>
      <c r="V10">
        <f>IFERROR(_xlfn.XLOOKUP( IFERROR(_xlfn.XLOOKUP($B10,'Race Results'!AG$3:AG$22,'Race Results'!$N$3:$N$22),""), 'Race Results'!$N$3:$N$22, 'Race Results'!$E$3:$E$22),"")</f>
        <v>6</v>
      </c>
      <c r="W10">
        <f>IFERROR(_xlfn.XLOOKUP( IFERROR(_xlfn.XLOOKUP($B10,'Race Results'!AH$3:AH$22,'Race Results'!$N$3:$N$22),""), 'Race Results'!$N$3:$N$22, 'Race Results'!$E$3:$E$22),"")</f>
        <v>2</v>
      </c>
      <c r="X10">
        <f>IFERROR(_xlfn.XLOOKUP( IFERROR(_xlfn.XLOOKUP($B10,'Race Results'!AI$3:AI$22,'Race Results'!$N$3:$N$22),""), 'Race Results'!$N$3:$N$22, 'Race Results'!$E$3:$E$22),"")</f>
        <v>0</v>
      </c>
      <c r="Y10">
        <f>IFERROR(_xlfn.XLOOKUP( IFERROR(_xlfn.XLOOKUP($B10,'Race Results'!AJ$3:AJ$22,'Race Results'!$N$3:$N$22),""), 'Race Results'!$N$3:$N$22, 'Race Results'!$E$3:$E$22),"")</f>
        <v>0.5</v>
      </c>
      <c r="Z10">
        <f>IFERROR(_xlfn.XLOOKUP( IFERROR(_xlfn.XLOOKUP($B10,'Race Results'!AK$3:AK$22,'Race Results'!$N$3:$N$22),""), 'Race Results'!$N$3:$N$22, 'Race Results'!$E$3:$E$22),"")</f>
        <v>0</v>
      </c>
    </row>
    <row r="11" spans="2:26" x14ac:dyDescent="0.3">
      <c r="B11" t="s">
        <v>219</v>
      </c>
      <c r="C11" s="50">
        <f t="shared" si="0"/>
        <v>4.5454545454545459</v>
      </c>
      <c r="D11">
        <f>IFERROR(_xlfn.XLOOKUP( IFERROR(_xlfn.XLOOKUP($B11,'Race Results'!O$3:O$22,'Race Results'!$N$3:$N$22),""), 'Race Results'!$N$3:$N$22, 'Race Results'!$E$3:$E$22),"")</f>
        <v>6</v>
      </c>
      <c r="E11">
        <f>IFERROR(_xlfn.XLOOKUP( IFERROR(_xlfn.XLOOKUP($B11,'Race Results'!P$3:P$22,'Race Results'!$N$3:$N$22),""), 'Race Results'!$N$3:$N$22, 'Race Results'!$E$3:$E$22),"")</f>
        <v>25</v>
      </c>
      <c r="F11">
        <f>IFERROR(_xlfn.XLOOKUP( IFERROR(_xlfn.XLOOKUP($B11,'Race Results'!Q$3:Q$22,'Race Results'!$N$3:$N$22),""), 'Race Results'!$N$3:$N$22, 'Race Results'!$E$3:$E$22),"")</f>
        <v>0</v>
      </c>
      <c r="G11">
        <f>IFERROR(_xlfn.XLOOKUP( IFERROR(_xlfn.XLOOKUP($B11,'Race Results'!R$3:R$22,'Race Results'!$N$3:$N$22),""), 'Race Results'!$N$3:$N$22, 'Race Results'!$E$3:$E$22),"")</f>
        <v>6</v>
      </c>
      <c r="H11">
        <f>IFERROR(_xlfn.XLOOKUP( IFERROR(_xlfn.XLOOKUP($B11,'Race Results'!S$3:S$22,'Race Results'!$N$3:$N$22),""), 'Race Results'!$N$3:$N$22, 'Race Results'!$E$3:$E$22),"")</f>
        <v>25</v>
      </c>
      <c r="I11" t="str">
        <f>IFERROR(_xlfn.XLOOKUP( IFERROR(_xlfn.XLOOKUP($B11,'Race Results'!T$3:T$22,'Race Results'!$N$3:$N$22),""), 'Race Results'!$N$3:$N$22, 'Race Results'!$E$3:$E$22),"")</f>
        <v/>
      </c>
      <c r="J11">
        <f>IFERROR(_xlfn.XLOOKUP( IFERROR(_xlfn.XLOOKUP($B11,'Race Results'!U$3:U$22,'Race Results'!$N$3:$N$22),""), 'Race Results'!$N$3:$N$22, 'Race Results'!$E$3:$E$22),"")</f>
        <v>0</v>
      </c>
      <c r="K11">
        <f>IFERROR(_xlfn.XLOOKUP( IFERROR(_xlfn.XLOOKUP($B11,'Race Results'!V$3:V$22,'Race Results'!$N$3:$N$22),""), 'Race Results'!$N$3:$N$22, 'Race Results'!$E$3:$E$22),"")</f>
        <v>0</v>
      </c>
      <c r="L11">
        <f>IFERROR(_xlfn.XLOOKUP( IFERROR(_xlfn.XLOOKUP($B11,'Race Results'!W$3:W$22,'Race Results'!$N$3:$N$22),""), 'Race Results'!$N$3:$N$22, 'Race Results'!$E$3:$E$22),"")</f>
        <v>0</v>
      </c>
      <c r="M11">
        <f>IFERROR(_xlfn.XLOOKUP( IFERROR(_xlfn.XLOOKUP($B11,'Race Results'!X$3:X$22,'Race Results'!$N$3:$N$22),""), 'Race Results'!$N$3:$N$22, 'Race Results'!$E$3:$E$22),"")</f>
        <v>0</v>
      </c>
      <c r="N11">
        <f>IFERROR(_xlfn.XLOOKUP( IFERROR(_xlfn.XLOOKUP($B11,'Race Results'!Y$3:Y$22,'Race Results'!$N$3:$N$22),""), 'Race Results'!$N$3:$N$22, 'Race Results'!$E$3:$E$22),"")</f>
        <v>0</v>
      </c>
      <c r="O11">
        <f>IFERROR(_xlfn.XLOOKUP( IFERROR(_xlfn.XLOOKUP($B11,'Race Results'!Z$3:Z$22,'Race Results'!$N$3:$N$22),""), 'Race Results'!$N$3:$N$22, 'Race Results'!$E$3:$E$22),"")</f>
        <v>0</v>
      </c>
      <c r="P11">
        <f>IFERROR(_xlfn.XLOOKUP( IFERROR(_xlfn.XLOOKUP($B11,'Race Results'!AA$3:AA$22,'Race Results'!$N$3:$N$22),""), 'Race Results'!$N$3:$N$22, 'Race Results'!$E$3:$E$22),"")</f>
        <v>0.5</v>
      </c>
      <c r="Q11">
        <f>IFERROR(_xlfn.XLOOKUP( IFERROR(_xlfn.XLOOKUP($B11,'Race Results'!AB$3:AB$22,'Race Results'!$N$3:$N$22),""), 'Race Results'!$N$3:$N$22, 'Race Results'!$E$3:$E$22),"")</f>
        <v>2</v>
      </c>
      <c r="R11">
        <f>IFERROR(_xlfn.XLOOKUP( IFERROR(_xlfn.XLOOKUP($B11,'Race Results'!AC$3:AC$22,'Race Results'!$N$3:$N$22),""), 'Race Results'!$N$3:$N$22, 'Race Results'!$E$3:$E$22),"")</f>
        <v>0</v>
      </c>
      <c r="S11">
        <f>IFERROR(_xlfn.XLOOKUP( IFERROR(_xlfn.XLOOKUP($B11,'Race Results'!AD$3:AD$22,'Race Results'!$N$3:$N$22),""), 'Race Results'!$N$3:$N$22, 'Race Results'!$E$3:$E$22),"")</f>
        <v>25</v>
      </c>
      <c r="T11">
        <f>IFERROR(_xlfn.XLOOKUP( IFERROR(_xlfn.XLOOKUP($B11,'Race Results'!AE$3:AE$22,'Race Results'!$N$3:$N$22),""), 'Race Results'!$N$3:$N$22, 'Race Results'!$E$3:$E$22),"")</f>
        <v>0.5</v>
      </c>
      <c r="U11">
        <f>IFERROR(_xlfn.XLOOKUP( IFERROR(_xlfn.XLOOKUP($B11,'Race Results'!AF$3:AF$22,'Race Results'!$N$3:$N$22),""), 'Race Results'!$N$3:$N$22, 'Race Results'!$E$3:$E$22),"")</f>
        <v>2</v>
      </c>
      <c r="V11">
        <f>IFERROR(_xlfn.XLOOKUP( IFERROR(_xlfn.XLOOKUP($B11,'Race Results'!AG$3:AG$22,'Race Results'!$N$3:$N$22),""), 'Race Results'!$N$3:$N$22, 'Race Results'!$E$3:$E$22),"")</f>
        <v>2</v>
      </c>
      <c r="W11">
        <f>IFERROR(_xlfn.XLOOKUP( IFERROR(_xlfn.XLOOKUP($B11,'Race Results'!AH$3:AH$22,'Race Results'!$N$3:$N$22),""), 'Race Results'!$N$3:$N$22, 'Race Results'!$E$3:$E$22),"")</f>
        <v>0</v>
      </c>
      <c r="X11">
        <f>IFERROR(_xlfn.XLOOKUP( IFERROR(_xlfn.XLOOKUP($B11,'Race Results'!AI$3:AI$22,'Race Results'!$N$3:$N$22),""), 'Race Results'!$N$3:$N$22, 'Race Results'!$E$3:$E$22),"")</f>
        <v>0</v>
      </c>
      <c r="Y11">
        <f>IFERROR(_xlfn.XLOOKUP( IFERROR(_xlfn.XLOOKUP($B11,'Race Results'!AJ$3:AJ$22,'Race Results'!$N$3:$N$22),""), 'Race Results'!$N$3:$N$22, 'Race Results'!$E$3:$E$22),"")</f>
        <v>6</v>
      </c>
      <c r="Z11">
        <f>IFERROR(_xlfn.XLOOKUP( IFERROR(_xlfn.XLOOKUP($B11,'Race Results'!AK$3:AK$22,'Race Results'!$N$3:$N$22),""), 'Race Results'!$N$3:$N$22, 'Race Results'!$E$3:$E$22),"")</f>
        <v>0</v>
      </c>
    </row>
    <row r="12" spans="2:26" x14ac:dyDescent="0.3">
      <c r="B12" t="s">
        <v>495</v>
      </c>
      <c r="C12" s="50">
        <f t="shared" si="0"/>
        <v>5.3571428571428568</v>
      </c>
      <c r="D12" t="str">
        <f>IFERROR(_xlfn.XLOOKUP( IFERROR(_xlfn.XLOOKUP($B12,'Race Results'!O$3:O$22,'Race Results'!$N$3:$N$22),""), 'Race Results'!$N$3:$N$22, 'Race Results'!$E$3:$E$22),"")</f>
        <v/>
      </c>
      <c r="E12" t="str">
        <f>IFERROR(_xlfn.XLOOKUP( IFERROR(_xlfn.XLOOKUP($B12,'Race Results'!P$3:P$22,'Race Results'!$N$3:$N$22),""), 'Race Results'!$N$3:$N$22, 'Race Results'!$E$3:$E$22),"")</f>
        <v/>
      </c>
      <c r="F12" t="str">
        <f>IFERROR(_xlfn.XLOOKUP( IFERROR(_xlfn.XLOOKUP($B12,'Race Results'!Q$3:Q$22,'Race Results'!$N$3:$N$22),""), 'Race Results'!$N$3:$N$22, 'Race Results'!$E$3:$E$22),"")</f>
        <v/>
      </c>
      <c r="G12" t="str">
        <f>IFERROR(_xlfn.XLOOKUP( IFERROR(_xlfn.XLOOKUP($B12,'Race Results'!R$3:R$22,'Race Results'!$N$3:$N$22),""), 'Race Results'!$N$3:$N$22, 'Race Results'!$E$3:$E$22),"")</f>
        <v/>
      </c>
      <c r="H12" t="str">
        <f>IFERROR(_xlfn.XLOOKUP( IFERROR(_xlfn.XLOOKUP($B12,'Race Results'!S$3:S$22,'Race Results'!$N$3:$N$22),""), 'Race Results'!$N$3:$N$22, 'Race Results'!$E$3:$E$22),"")</f>
        <v/>
      </c>
      <c r="I12" t="str">
        <f>IFERROR(_xlfn.XLOOKUP( IFERROR(_xlfn.XLOOKUP($B12,'Race Results'!T$3:T$22,'Race Results'!$N$3:$N$22),""), 'Race Results'!$N$3:$N$22, 'Race Results'!$E$3:$E$22),"")</f>
        <v/>
      </c>
      <c r="J12" t="str">
        <f>IFERROR(_xlfn.XLOOKUP( IFERROR(_xlfn.XLOOKUP($B12,'Race Results'!U$3:U$22,'Race Results'!$N$3:$N$22),""), 'Race Results'!$N$3:$N$22, 'Race Results'!$E$3:$E$22),"")</f>
        <v/>
      </c>
      <c r="K12" t="str">
        <f>IFERROR(_xlfn.XLOOKUP( IFERROR(_xlfn.XLOOKUP($B12,'Race Results'!V$3:V$22,'Race Results'!$N$3:$N$22),""), 'Race Results'!$N$3:$N$22, 'Race Results'!$E$3:$E$22),"")</f>
        <v/>
      </c>
      <c r="L12" t="str">
        <f>IFERROR(_xlfn.XLOOKUP( IFERROR(_xlfn.XLOOKUP($B12,'Race Results'!W$3:W$22,'Race Results'!$N$3:$N$22),""), 'Race Results'!$N$3:$N$22, 'Race Results'!$E$3:$E$22),"")</f>
        <v/>
      </c>
      <c r="M12" t="str">
        <f>IFERROR(_xlfn.XLOOKUP( IFERROR(_xlfn.XLOOKUP($B12,'Race Results'!X$3:X$22,'Race Results'!$N$3:$N$22),""), 'Race Results'!$N$3:$N$22, 'Race Results'!$E$3:$E$22),"")</f>
        <v/>
      </c>
      <c r="N12" t="str">
        <f>IFERROR(_xlfn.XLOOKUP( IFERROR(_xlfn.XLOOKUP($B12,'Race Results'!Y$3:Y$22,'Race Results'!$N$3:$N$22),""), 'Race Results'!$N$3:$N$22, 'Race Results'!$E$3:$E$22),"")</f>
        <v/>
      </c>
      <c r="O12">
        <f>IFERROR(_xlfn.XLOOKUP( IFERROR(_xlfn.XLOOKUP($B12,'Race Results'!Z$3:Z$22,'Race Results'!$N$3:$N$22),""), 'Race Results'!$N$3:$N$22, 'Race Results'!$E$3:$E$22),"")</f>
        <v>6</v>
      </c>
      <c r="P12">
        <f>IFERROR(_xlfn.XLOOKUP( IFERROR(_xlfn.XLOOKUP($B12,'Race Results'!AA$3:AA$22,'Race Results'!$N$3:$N$22),""), 'Race Results'!$N$3:$N$22, 'Race Results'!$E$3:$E$22),"")</f>
        <v>0</v>
      </c>
      <c r="Q12" t="str">
        <f>IFERROR(_xlfn.XLOOKUP( IFERROR(_xlfn.XLOOKUP($B12,'Race Results'!AB$3:AB$22,'Race Results'!$N$3:$N$22),""), 'Race Results'!$N$3:$N$22, 'Race Results'!$E$3:$E$22),"")</f>
        <v/>
      </c>
      <c r="R12" t="str">
        <f>IFERROR(_xlfn.XLOOKUP( IFERROR(_xlfn.XLOOKUP($B12,'Race Results'!AC$3:AC$22,'Race Results'!$N$3:$N$22),""), 'Race Results'!$N$3:$N$22, 'Race Results'!$E$3:$E$22),"")</f>
        <v/>
      </c>
      <c r="S12" t="str">
        <f>IFERROR(_xlfn.XLOOKUP( IFERROR(_xlfn.XLOOKUP($B12,'Race Results'!AD$3:AD$22,'Race Results'!$N$3:$N$22),""), 'Race Results'!$N$3:$N$22, 'Race Results'!$E$3:$E$22),"")</f>
        <v/>
      </c>
      <c r="T12" t="str">
        <f>IFERROR(_xlfn.XLOOKUP( IFERROR(_xlfn.XLOOKUP($B12,'Race Results'!AE$3:AE$22,'Race Results'!$N$3:$N$22),""), 'Race Results'!$N$3:$N$22, 'Race Results'!$E$3:$E$22),"")</f>
        <v/>
      </c>
      <c r="U12" t="str">
        <f>IFERROR(_xlfn.XLOOKUP( IFERROR(_xlfn.XLOOKUP($B12,'Race Results'!AF$3:AF$22,'Race Results'!$N$3:$N$22),""), 'Race Results'!$N$3:$N$22, 'Race Results'!$E$3:$E$22),"")</f>
        <v/>
      </c>
      <c r="V12">
        <f>IFERROR(_xlfn.XLOOKUP( IFERROR(_xlfn.XLOOKUP($B12,'Race Results'!AG$3:AG$22,'Race Results'!$N$3:$N$22),""), 'Race Results'!$N$3:$N$22, 'Race Results'!$E$3:$E$22),"")</f>
        <v>0.5</v>
      </c>
      <c r="W12">
        <f>IFERROR(_xlfn.XLOOKUP( IFERROR(_xlfn.XLOOKUP($B12,'Race Results'!AH$3:AH$22,'Race Results'!$N$3:$N$22),""), 'Race Results'!$N$3:$N$22, 'Race Results'!$E$3:$E$22),"")</f>
        <v>8</v>
      </c>
      <c r="X12">
        <f>IFERROR(_xlfn.XLOOKUP( IFERROR(_xlfn.XLOOKUP($B12,'Race Results'!AI$3:AI$22,'Race Results'!$N$3:$N$22),""), 'Race Results'!$N$3:$N$22, 'Race Results'!$E$3:$E$22),"")</f>
        <v>6</v>
      </c>
      <c r="Y12">
        <f>IFERROR(_xlfn.XLOOKUP( IFERROR(_xlfn.XLOOKUP($B12,'Race Results'!AJ$3:AJ$22,'Race Results'!$N$3:$N$22),""), 'Race Results'!$N$3:$N$22, 'Race Results'!$E$3:$E$22),"")</f>
        <v>2</v>
      </c>
      <c r="Z12">
        <f>IFERROR(_xlfn.XLOOKUP( IFERROR(_xlfn.XLOOKUP($B12,'Race Results'!AK$3:AK$22,'Race Results'!$N$3:$N$22),""), 'Race Results'!$N$3:$N$22, 'Race Results'!$E$3:$E$22),"")</f>
        <v>15</v>
      </c>
    </row>
    <row r="13" spans="2:26" x14ac:dyDescent="0.3">
      <c r="B13" t="s">
        <v>202</v>
      </c>
      <c r="C13" s="50">
        <f t="shared" si="0"/>
        <v>3.8181818181818183</v>
      </c>
      <c r="D13">
        <f>IFERROR(_xlfn.XLOOKUP( IFERROR(_xlfn.XLOOKUP($B13,'Race Results'!O$3:O$22,'Race Results'!$N$3:$N$22),""), 'Race Results'!$N$3:$N$22, 'Race Results'!$E$3:$E$22),"")</f>
        <v>0</v>
      </c>
      <c r="E13">
        <f>IFERROR(_xlfn.XLOOKUP( IFERROR(_xlfn.XLOOKUP($B13,'Race Results'!P$3:P$22,'Race Results'!$N$3:$N$22),""), 'Race Results'!$N$3:$N$22, 'Race Results'!$E$3:$E$22),"")</f>
        <v>4</v>
      </c>
      <c r="F13">
        <f>IFERROR(_xlfn.XLOOKUP( IFERROR(_xlfn.XLOOKUP($B13,'Race Results'!Q$3:Q$22,'Race Results'!$N$3:$N$22),""), 'Race Results'!$N$3:$N$22, 'Race Results'!$E$3:$E$22),"")</f>
        <v>10</v>
      </c>
      <c r="G13">
        <f>IFERROR(_xlfn.XLOOKUP( IFERROR(_xlfn.XLOOKUP($B13,'Race Results'!R$3:R$22,'Race Results'!$N$3:$N$22),""), 'Race Results'!$N$3:$N$22, 'Race Results'!$E$3:$E$22),"")</f>
        <v>1</v>
      </c>
      <c r="H13">
        <f>IFERROR(_xlfn.XLOOKUP( IFERROR(_xlfn.XLOOKUP($B13,'Race Results'!S$3:S$22,'Race Results'!$N$3:$N$22),""), 'Race Results'!$N$3:$N$22, 'Race Results'!$E$3:$E$22),"")</f>
        <v>1</v>
      </c>
      <c r="I13" t="str">
        <f>IFERROR(_xlfn.XLOOKUP( IFERROR(_xlfn.XLOOKUP($B13,'Race Results'!T$3:T$22,'Race Results'!$N$3:$N$22),""), 'Race Results'!$N$3:$N$22, 'Race Results'!$E$3:$E$22),"")</f>
        <v/>
      </c>
      <c r="J13">
        <f>IFERROR(_xlfn.XLOOKUP( IFERROR(_xlfn.XLOOKUP($B13,'Race Results'!U$3:U$22,'Race Results'!$N$3:$N$22),""), 'Race Results'!$N$3:$N$22, 'Race Results'!$E$3:$E$22),"")</f>
        <v>12</v>
      </c>
      <c r="K13">
        <f>IFERROR(_xlfn.XLOOKUP( IFERROR(_xlfn.XLOOKUP($B13,'Race Results'!V$3:V$22,'Race Results'!$N$3:$N$22),""), 'Race Results'!$N$3:$N$22, 'Race Results'!$E$3:$E$22),"")</f>
        <v>1</v>
      </c>
      <c r="L13">
        <f>IFERROR(_xlfn.XLOOKUP( IFERROR(_xlfn.XLOOKUP($B13,'Race Results'!W$3:W$22,'Race Results'!$N$3:$N$22),""), 'Race Results'!$N$3:$N$22, 'Race Results'!$E$3:$E$22),"")</f>
        <v>1</v>
      </c>
      <c r="M13">
        <f>IFERROR(_xlfn.XLOOKUP( IFERROR(_xlfn.XLOOKUP($B13,'Race Results'!X$3:X$22,'Race Results'!$N$3:$N$22),""), 'Race Results'!$N$3:$N$22, 'Race Results'!$E$3:$E$22),"")</f>
        <v>4</v>
      </c>
      <c r="N13">
        <f>IFERROR(_xlfn.XLOOKUP( IFERROR(_xlfn.XLOOKUP($B13,'Race Results'!Y$3:Y$22,'Race Results'!$N$3:$N$22),""), 'Race Results'!$N$3:$N$22, 'Race Results'!$E$3:$E$22),"")</f>
        <v>25</v>
      </c>
      <c r="O13">
        <f>IFERROR(_xlfn.XLOOKUP( IFERROR(_xlfn.XLOOKUP($B13,'Race Results'!Z$3:Z$22,'Race Results'!$N$3:$N$22),""), 'Race Results'!$N$3:$N$22, 'Race Results'!$E$3:$E$22),"")</f>
        <v>12</v>
      </c>
      <c r="P13">
        <f>IFERROR(_xlfn.XLOOKUP( IFERROR(_xlfn.XLOOKUP($B13,'Race Results'!AA$3:AA$22,'Race Results'!$N$3:$N$22),""), 'Race Results'!$N$3:$N$22, 'Race Results'!$E$3:$E$22),"")</f>
        <v>0</v>
      </c>
      <c r="Q13">
        <f>IFERROR(_xlfn.XLOOKUP( IFERROR(_xlfn.XLOOKUP($B13,'Race Results'!AB$3:AB$22,'Race Results'!$N$3:$N$22),""), 'Race Results'!$N$3:$N$22, 'Race Results'!$E$3:$E$22),"")</f>
        <v>1</v>
      </c>
      <c r="R13">
        <f>IFERROR(_xlfn.XLOOKUP( IFERROR(_xlfn.XLOOKUP($B13,'Race Results'!AC$3:AC$22,'Race Results'!$N$3:$N$22),""), 'Race Results'!$N$3:$N$22, 'Race Results'!$E$3:$E$22),"")</f>
        <v>0</v>
      </c>
      <c r="S13">
        <f>IFERROR(_xlfn.XLOOKUP( IFERROR(_xlfn.XLOOKUP($B13,'Race Results'!AD$3:AD$22,'Race Results'!$N$3:$N$22),""), 'Race Results'!$N$3:$N$22, 'Race Results'!$E$3:$E$22),"")</f>
        <v>0</v>
      </c>
      <c r="T13">
        <f>IFERROR(_xlfn.XLOOKUP( IFERROR(_xlfn.XLOOKUP($B13,'Race Results'!AE$3:AE$22,'Race Results'!$N$3:$N$22),""), 'Race Results'!$N$3:$N$22, 'Race Results'!$E$3:$E$22),"")</f>
        <v>4</v>
      </c>
      <c r="U13">
        <f>IFERROR(_xlfn.XLOOKUP( IFERROR(_xlfn.XLOOKUP($B13,'Race Results'!AF$3:AF$22,'Race Results'!$N$3:$N$22),""), 'Race Results'!$N$3:$N$22, 'Race Results'!$E$3:$E$22),"")</f>
        <v>0</v>
      </c>
      <c r="V13">
        <f>IFERROR(_xlfn.XLOOKUP( IFERROR(_xlfn.XLOOKUP($B13,'Race Results'!AG$3:AG$22,'Race Results'!$N$3:$N$22),""), 'Race Results'!$N$3:$N$22, 'Race Results'!$E$3:$E$22),"")</f>
        <v>0</v>
      </c>
      <c r="W13">
        <f>IFERROR(_xlfn.XLOOKUP( IFERROR(_xlfn.XLOOKUP($B13,'Race Results'!AH$3:AH$22,'Race Results'!$N$3:$N$22),""), 'Race Results'!$N$3:$N$22, 'Race Results'!$E$3:$E$22),"")</f>
        <v>0</v>
      </c>
      <c r="X13">
        <f>IFERROR(_xlfn.XLOOKUP( IFERROR(_xlfn.XLOOKUP($B13,'Race Results'!AI$3:AI$22,'Race Results'!$N$3:$N$22),""), 'Race Results'!$N$3:$N$22, 'Race Results'!$E$3:$E$22),"")</f>
        <v>4</v>
      </c>
      <c r="Y13">
        <f>IFERROR(_xlfn.XLOOKUP( IFERROR(_xlfn.XLOOKUP($B13,'Race Results'!AJ$3:AJ$22,'Race Results'!$N$3:$N$22),""), 'Race Results'!$N$3:$N$22, 'Race Results'!$E$3:$E$22),"")</f>
        <v>4</v>
      </c>
      <c r="Z13">
        <f>IFERROR(_xlfn.XLOOKUP( IFERROR(_xlfn.XLOOKUP($B13,'Race Results'!AK$3:AK$22,'Race Results'!$N$3:$N$22),""), 'Race Results'!$N$3:$N$22, 'Race Results'!$E$3:$E$22),"")</f>
        <v>0</v>
      </c>
    </row>
    <row r="14" spans="2:26" x14ac:dyDescent="0.3">
      <c r="B14" t="s">
        <v>356</v>
      </c>
      <c r="C14" s="50">
        <f t="shared" si="0"/>
        <v>3.6136363636363638</v>
      </c>
      <c r="D14">
        <f>IFERROR(_xlfn.XLOOKUP( IFERROR(_xlfn.XLOOKUP($B14,'Race Results'!O$3:O$22,'Race Results'!$N$3:$N$22),""), 'Race Results'!$N$3:$N$22, 'Race Results'!$E$3:$E$22),"")</f>
        <v>10</v>
      </c>
      <c r="E14">
        <f>IFERROR(_xlfn.XLOOKUP( IFERROR(_xlfn.XLOOKUP($B14,'Race Results'!P$3:P$22,'Race Results'!$N$3:$N$22),""), 'Race Results'!$N$3:$N$22, 'Race Results'!$E$3:$E$22),"")</f>
        <v>0</v>
      </c>
      <c r="F14">
        <f>IFERROR(_xlfn.XLOOKUP( IFERROR(_xlfn.XLOOKUP($B14,'Race Results'!Q$3:Q$22,'Race Results'!$N$3:$N$22),""), 'Race Results'!$N$3:$N$22, 'Race Results'!$E$3:$E$22),"")</f>
        <v>0</v>
      </c>
      <c r="G14">
        <f>IFERROR(_xlfn.XLOOKUP( IFERROR(_xlfn.XLOOKUP($B14,'Race Results'!R$3:R$22,'Race Results'!$N$3:$N$22),""), 'Race Results'!$N$3:$N$22, 'Race Results'!$E$3:$E$22),"")</f>
        <v>0</v>
      </c>
      <c r="H14">
        <f>IFERROR(_xlfn.XLOOKUP( IFERROR(_xlfn.XLOOKUP($B14,'Race Results'!S$3:S$22,'Race Results'!$N$3:$N$22),""), 'Race Results'!$N$3:$N$22, 'Race Results'!$E$3:$E$22),"")</f>
        <v>0</v>
      </c>
      <c r="I14" t="str">
        <f>IFERROR(_xlfn.XLOOKUP( IFERROR(_xlfn.XLOOKUP($B14,'Race Results'!T$3:T$22,'Race Results'!$N$3:$N$22),""), 'Race Results'!$N$3:$N$22, 'Race Results'!$E$3:$E$22),"")</f>
        <v/>
      </c>
      <c r="J14">
        <f>IFERROR(_xlfn.XLOOKUP( IFERROR(_xlfn.XLOOKUP($B14,'Race Results'!U$3:U$22,'Race Results'!$N$3:$N$22),""), 'Race Results'!$N$3:$N$22, 'Race Results'!$E$3:$E$22),"")</f>
        <v>0</v>
      </c>
      <c r="K14">
        <f>IFERROR(_xlfn.XLOOKUP( IFERROR(_xlfn.XLOOKUP($B14,'Race Results'!V$3:V$22,'Race Results'!$N$3:$N$22),""), 'Race Results'!$N$3:$N$22, 'Race Results'!$E$3:$E$22),"")</f>
        <v>0</v>
      </c>
      <c r="L14">
        <f>IFERROR(_xlfn.XLOOKUP( IFERROR(_xlfn.XLOOKUP($B14,'Race Results'!W$3:W$22,'Race Results'!$N$3:$N$22),""), 'Race Results'!$N$3:$N$22, 'Race Results'!$E$3:$E$22),"")</f>
        <v>0</v>
      </c>
      <c r="M14">
        <f>IFERROR(_xlfn.XLOOKUP( IFERROR(_xlfn.XLOOKUP($B14,'Race Results'!X$3:X$22,'Race Results'!$N$3:$N$22),""), 'Race Results'!$N$3:$N$22, 'Race Results'!$E$3:$E$22),"")</f>
        <v>6</v>
      </c>
      <c r="N14">
        <f>IFERROR(_xlfn.XLOOKUP( IFERROR(_xlfn.XLOOKUP($B14,'Race Results'!Y$3:Y$22,'Race Results'!$N$3:$N$22),""), 'Race Results'!$N$3:$N$22, 'Race Results'!$E$3:$E$22),"")</f>
        <v>15</v>
      </c>
      <c r="O14">
        <f>IFERROR(_xlfn.XLOOKUP( IFERROR(_xlfn.XLOOKUP($B14,'Race Results'!Z$3:Z$22,'Race Results'!$N$3:$N$22),""), 'Race Results'!$N$3:$N$22, 'Race Results'!$E$3:$E$22),"")</f>
        <v>0</v>
      </c>
      <c r="P14">
        <f>IFERROR(_xlfn.XLOOKUP( IFERROR(_xlfn.XLOOKUP($B14,'Race Results'!AA$3:AA$22,'Race Results'!$N$3:$N$22),""), 'Race Results'!$N$3:$N$22, 'Race Results'!$E$3:$E$22),"")</f>
        <v>0</v>
      </c>
      <c r="Q14">
        <f>IFERROR(_xlfn.XLOOKUP( IFERROR(_xlfn.XLOOKUP($B14,'Race Results'!AB$3:AB$22,'Race Results'!$N$3:$N$22),""), 'Race Results'!$N$3:$N$22, 'Race Results'!$E$3:$E$22),"")</f>
        <v>0</v>
      </c>
      <c r="R14">
        <f>IFERROR(_xlfn.XLOOKUP( IFERROR(_xlfn.XLOOKUP($B14,'Race Results'!AC$3:AC$22,'Race Results'!$N$3:$N$22),""), 'Race Results'!$N$3:$N$22, 'Race Results'!$E$3:$E$22),"")</f>
        <v>6</v>
      </c>
      <c r="S14">
        <f>IFERROR(_xlfn.XLOOKUP( IFERROR(_xlfn.XLOOKUP($B14,'Race Results'!AD$3:AD$22,'Race Results'!$N$3:$N$22),""), 'Race Results'!$N$3:$N$22, 'Race Results'!$E$3:$E$22),"")</f>
        <v>2</v>
      </c>
      <c r="T14">
        <f>IFERROR(_xlfn.XLOOKUP( IFERROR(_xlfn.XLOOKUP($B14,'Race Results'!AE$3:AE$22,'Race Results'!$N$3:$N$22),""), 'Race Results'!$N$3:$N$22, 'Race Results'!$E$3:$E$22),"")</f>
        <v>0</v>
      </c>
      <c r="U14">
        <f>IFERROR(_xlfn.XLOOKUP( IFERROR(_xlfn.XLOOKUP($B14,'Race Results'!AF$3:AF$22,'Race Results'!$N$3:$N$22),""), 'Race Results'!$N$3:$N$22, 'Race Results'!$E$3:$E$22),"")</f>
        <v>0</v>
      </c>
      <c r="V14">
        <f>IFERROR(_xlfn.XLOOKUP( IFERROR(_xlfn.XLOOKUP($B14,'Race Results'!AG$3:AG$22,'Race Results'!$N$3:$N$22),""), 'Race Results'!$N$3:$N$22, 'Race Results'!$E$3:$E$22),"")</f>
        <v>25</v>
      </c>
      <c r="W14">
        <f>IFERROR(_xlfn.XLOOKUP( IFERROR(_xlfn.XLOOKUP($B14,'Race Results'!AH$3:AH$22,'Race Results'!$N$3:$N$22),""), 'Race Results'!$N$3:$N$22, 'Race Results'!$E$3:$E$22),"")</f>
        <v>0.5</v>
      </c>
      <c r="X14">
        <f>IFERROR(_xlfn.XLOOKUP( IFERROR(_xlfn.XLOOKUP($B14,'Race Results'!AI$3:AI$22,'Race Results'!$N$3:$N$22),""), 'Race Results'!$N$3:$N$22, 'Race Results'!$E$3:$E$22),"")</f>
        <v>15</v>
      </c>
      <c r="Y14">
        <f>IFERROR(_xlfn.XLOOKUP( IFERROR(_xlfn.XLOOKUP($B14,'Race Results'!AJ$3:AJ$22,'Race Results'!$N$3:$N$22),""), 'Race Results'!$N$3:$N$22, 'Race Results'!$E$3:$E$22),"")</f>
        <v>0</v>
      </c>
      <c r="Z14">
        <f>IFERROR(_xlfn.XLOOKUP( IFERROR(_xlfn.XLOOKUP($B14,'Race Results'!AK$3:AK$22,'Race Results'!$N$3:$N$22),""), 'Race Results'!$N$3:$N$22, 'Race Results'!$E$3:$E$22),"")</f>
        <v>0</v>
      </c>
    </row>
    <row r="15" spans="2:26" x14ac:dyDescent="0.3">
      <c r="B15" t="s">
        <v>174</v>
      </c>
      <c r="C15" s="50">
        <f t="shared" si="0"/>
        <v>3.5227272727272729</v>
      </c>
      <c r="D15">
        <f>IFERROR(_xlfn.XLOOKUP( IFERROR(_xlfn.XLOOKUP($B15,'Race Results'!O$3:O$22,'Race Results'!$N$3:$N$22),""), 'Race Results'!$N$3:$N$22, 'Race Results'!$E$3:$E$22),"")</f>
        <v>0.5</v>
      </c>
      <c r="E15">
        <f>IFERROR(_xlfn.XLOOKUP( IFERROR(_xlfn.XLOOKUP($B15,'Race Results'!P$3:P$22,'Race Results'!$N$3:$N$22),""), 'Race Results'!$N$3:$N$22, 'Race Results'!$E$3:$E$22),"")</f>
        <v>10</v>
      </c>
      <c r="F15">
        <f>IFERROR(_xlfn.XLOOKUP( IFERROR(_xlfn.XLOOKUP($B15,'Race Results'!Q$3:Q$22,'Race Results'!$N$3:$N$22),""), 'Race Results'!$N$3:$N$22, 'Race Results'!$E$3:$E$22),"")</f>
        <v>8</v>
      </c>
      <c r="G15">
        <f>IFERROR(_xlfn.XLOOKUP( IFERROR(_xlfn.XLOOKUP($B15,'Race Results'!R$3:R$22,'Race Results'!$N$3:$N$22),""), 'Race Results'!$N$3:$N$22, 'Race Results'!$E$3:$E$22),"")</f>
        <v>0</v>
      </c>
      <c r="H15">
        <f>IFERROR(_xlfn.XLOOKUP( IFERROR(_xlfn.XLOOKUP($B15,'Race Results'!S$3:S$22,'Race Results'!$N$3:$N$22),""), 'Race Results'!$N$3:$N$22, 'Race Results'!$E$3:$E$22),"")</f>
        <v>0.5</v>
      </c>
      <c r="I15" t="str">
        <f>IFERROR(_xlfn.XLOOKUP( IFERROR(_xlfn.XLOOKUP($B15,'Race Results'!T$3:T$22,'Race Results'!$N$3:$N$22),""), 'Race Results'!$N$3:$N$22, 'Race Results'!$E$3:$E$22),"")</f>
        <v/>
      </c>
      <c r="J15">
        <f>IFERROR(_xlfn.XLOOKUP( IFERROR(_xlfn.XLOOKUP($B15,'Race Results'!U$3:U$22,'Race Results'!$N$3:$N$22),""), 'Race Results'!$N$3:$N$22, 'Race Results'!$E$3:$E$22),"")</f>
        <v>0</v>
      </c>
      <c r="K15">
        <f>IFERROR(_xlfn.XLOOKUP( IFERROR(_xlfn.XLOOKUP($B15,'Race Results'!V$3:V$22,'Race Results'!$N$3:$N$22),""), 'Race Results'!$N$3:$N$22, 'Race Results'!$E$3:$E$22),"")</f>
        <v>0.5</v>
      </c>
      <c r="L15">
        <f>IFERROR(_xlfn.XLOOKUP( IFERROR(_xlfn.XLOOKUP($B15,'Race Results'!W$3:W$22,'Race Results'!$N$3:$N$22),""), 'Race Results'!$N$3:$N$22, 'Race Results'!$E$3:$E$22),"")</f>
        <v>0.5</v>
      </c>
      <c r="M15">
        <f>IFERROR(_xlfn.XLOOKUP( IFERROR(_xlfn.XLOOKUP($B15,'Race Results'!X$3:X$22,'Race Results'!$N$3:$N$22),""), 'Race Results'!$N$3:$N$22, 'Race Results'!$E$3:$E$22),"")</f>
        <v>0</v>
      </c>
      <c r="N15">
        <f>IFERROR(_xlfn.XLOOKUP( IFERROR(_xlfn.XLOOKUP($B15,'Race Results'!Y$3:Y$22,'Race Results'!$N$3:$N$22),""), 'Race Results'!$N$3:$N$22, 'Race Results'!$E$3:$E$22),"")</f>
        <v>6</v>
      </c>
      <c r="O15">
        <f>IFERROR(_xlfn.XLOOKUP( IFERROR(_xlfn.XLOOKUP($B15,'Race Results'!Z$3:Z$22,'Race Results'!$N$3:$N$22),""), 'Race Results'!$N$3:$N$22, 'Race Results'!$E$3:$E$22),"")</f>
        <v>2</v>
      </c>
      <c r="P15">
        <f>IFERROR(_xlfn.XLOOKUP( IFERROR(_xlfn.XLOOKUP($B15,'Race Results'!AA$3:AA$22,'Race Results'!$N$3:$N$22),""), 'Race Results'!$N$3:$N$22, 'Race Results'!$E$3:$E$22),"")</f>
        <v>0</v>
      </c>
      <c r="Q15">
        <f>IFERROR(_xlfn.XLOOKUP( IFERROR(_xlfn.XLOOKUP($B15,'Race Results'!AB$3:AB$22,'Race Results'!$N$3:$N$22),""), 'Race Results'!$N$3:$N$22, 'Race Results'!$E$3:$E$22),"")</f>
        <v>10</v>
      </c>
      <c r="R15">
        <f>IFERROR(_xlfn.XLOOKUP( IFERROR(_xlfn.XLOOKUP($B15,'Race Results'!AC$3:AC$22,'Race Results'!$N$3:$N$22),""), 'Race Results'!$N$3:$N$22, 'Race Results'!$E$3:$E$22),"")</f>
        <v>0</v>
      </c>
      <c r="S15">
        <f>IFERROR(_xlfn.XLOOKUP( IFERROR(_xlfn.XLOOKUP($B15,'Race Results'!AD$3:AD$22,'Race Results'!$N$3:$N$22),""), 'Race Results'!$N$3:$N$22, 'Race Results'!$E$3:$E$22),"")</f>
        <v>6</v>
      </c>
      <c r="T15">
        <f>IFERROR(_xlfn.XLOOKUP( IFERROR(_xlfn.XLOOKUP($B15,'Race Results'!AE$3:AE$22,'Race Results'!$N$3:$N$22),""), 'Race Results'!$N$3:$N$22, 'Race Results'!$E$3:$E$22),"")</f>
        <v>2</v>
      </c>
      <c r="U15">
        <f>IFERROR(_xlfn.XLOOKUP( IFERROR(_xlfn.XLOOKUP($B15,'Race Results'!AF$3:AF$22,'Race Results'!$N$3:$N$22),""), 'Race Results'!$N$3:$N$22, 'Race Results'!$E$3:$E$22),"")</f>
        <v>0</v>
      </c>
      <c r="V15">
        <f>IFERROR(_xlfn.XLOOKUP( IFERROR(_xlfn.XLOOKUP($B15,'Race Results'!AG$3:AG$22,'Race Results'!$N$3:$N$22),""), 'Race Results'!$N$3:$N$22, 'Race Results'!$E$3:$E$22),"")</f>
        <v>15</v>
      </c>
      <c r="W15">
        <f>IFERROR(_xlfn.XLOOKUP( IFERROR(_xlfn.XLOOKUP($B15,'Race Results'!AH$3:AH$22,'Race Results'!$N$3:$N$22),""), 'Race Results'!$N$3:$N$22, 'Race Results'!$E$3:$E$22),"")</f>
        <v>6</v>
      </c>
      <c r="X15">
        <f>IFERROR(_xlfn.XLOOKUP( IFERROR(_xlfn.XLOOKUP($B15,'Race Results'!AI$3:AI$22,'Race Results'!$N$3:$N$22),""), 'Race Results'!$N$3:$N$22, 'Race Results'!$E$3:$E$22),"")</f>
        <v>10</v>
      </c>
      <c r="Y15">
        <f>IFERROR(_xlfn.XLOOKUP( IFERROR(_xlfn.XLOOKUP($B15,'Race Results'!AJ$3:AJ$22,'Race Results'!$N$3:$N$22),""), 'Race Results'!$N$3:$N$22, 'Race Results'!$E$3:$E$22),"")</f>
        <v>0</v>
      </c>
      <c r="Z15">
        <f>IFERROR(_xlfn.XLOOKUP( IFERROR(_xlfn.XLOOKUP($B15,'Race Results'!AK$3:AK$22,'Race Results'!$N$3:$N$22),""), 'Race Results'!$N$3:$N$22, 'Race Results'!$E$3:$E$22),"")</f>
        <v>0.5</v>
      </c>
    </row>
    <row r="16" spans="2:26" x14ac:dyDescent="0.3">
      <c r="B16" t="s">
        <v>199</v>
      </c>
      <c r="C16" s="50">
        <f t="shared" si="0"/>
        <v>3.4545454545454546</v>
      </c>
      <c r="D16">
        <f>IFERROR(_xlfn.XLOOKUP( IFERROR(_xlfn.XLOOKUP($B16,'Race Results'!O$3:O$22,'Race Results'!$N$3:$N$22),""), 'Race Results'!$N$3:$N$22, 'Race Results'!$E$3:$E$22),"")</f>
        <v>0</v>
      </c>
      <c r="E16">
        <f>IFERROR(_xlfn.XLOOKUP( IFERROR(_xlfn.XLOOKUP($B16,'Race Results'!P$3:P$22,'Race Results'!$N$3:$N$22),""), 'Race Results'!$N$3:$N$22, 'Race Results'!$E$3:$E$22),"")</f>
        <v>0</v>
      </c>
      <c r="F16">
        <f>IFERROR(_xlfn.XLOOKUP( IFERROR(_xlfn.XLOOKUP($B16,'Race Results'!Q$3:Q$22,'Race Results'!$N$3:$N$22),""), 'Race Results'!$N$3:$N$22, 'Race Results'!$E$3:$E$22),"")</f>
        <v>4</v>
      </c>
      <c r="G16">
        <f>IFERROR(_xlfn.XLOOKUP( IFERROR(_xlfn.XLOOKUP($B16,'Race Results'!R$3:R$22,'Race Results'!$N$3:$N$22),""), 'Race Results'!$N$3:$N$22, 'Race Results'!$E$3:$E$22),"")</f>
        <v>18</v>
      </c>
      <c r="H16">
        <f>IFERROR(_xlfn.XLOOKUP( IFERROR(_xlfn.XLOOKUP($B16,'Race Results'!S$3:S$22,'Race Results'!$N$3:$N$22),""), 'Race Results'!$N$3:$N$22, 'Race Results'!$E$3:$E$22),"")</f>
        <v>0</v>
      </c>
      <c r="I16" t="str">
        <f>IFERROR(_xlfn.XLOOKUP( IFERROR(_xlfn.XLOOKUP($B16,'Race Results'!T$3:T$22,'Race Results'!$N$3:$N$22),""), 'Race Results'!$N$3:$N$22, 'Race Results'!$E$3:$E$22),"")</f>
        <v/>
      </c>
      <c r="J16">
        <f>IFERROR(_xlfn.XLOOKUP( IFERROR(_xlfn.XLOOKUP($B16,'Race Results'!U$3:U$22,'Race Results'!$N$3:$N$22),""), 'Race Results'!$N$3:$N$22, 'Race Results'!$E$3:$E$22),"")</f>
        <v>18</v>
      </c>
      <c r="K16">
        <f>IFERROR(_xlfn.XLOOKUP( IFERROR(_xlfn.XLOOKUP($B16,'Race Results'!V$3:V$22,'Race Results'!$N$3:$N$22),""), 'Race Results'!$N$3:$N$22, 'Race Results'!$E$3:$E$22),"")</f>
        <v>0</v>
      </c>
      <c r="L16">
        <f>IFERROR(_xlfn.XLOOKUP( IFERROR(_xlfn.XLOOKUP($B16,'Race Results'!W$3:W$22,'Race Results'!$N$3:$N$22),""), 'Race Results'!$N$3:$N$22, 'Race Results'!$E$3:$E$22),"")</f>
        <v>6</v>
      </c>
      <c r="M16">
        <f>IFERROR(_xlfn.XLOOKUP( IFERROR(_xlfn.XLOOKUP($B16,'Race Results'!X$3:X$22,'Race Results'!$N$3:$N$22),""), 'Race Results'!$N$3:$N$22, 'Race Results'!$E$3:$E$22),"")</f>
        <v>0</v>
      </c>
      <c r="N16">
        <f>IFERROR(_xlfn.XLOOKUP( IFERROR(_xlfn.XLOOKUP($B16,'Race Results'!Y$3:Y$22,'Race Results'!$N$3:$N$22),""), 'Race Results'!$N$3:$N$22, 'Race Results'!$E$3:$E$22),"")</f>
        <v>0</v>
      </c>
      <c r="O16">
        <f>IFERROR(_xlfn.XLOOKUP( IFERROR(_xlfn.XLOOKUP($B16,'Race Results'!Z$3:Z$22,'Race Results'!$N$3:$N$22),""), 'Race Results'!$N$3:$N$22, 'Race Results'!$E$3:$E$22),"")</f>
        <v>0</v>
      </c>
      <c r="P16">
        <f>IFERROR(_xlfn.XLOOKUP( IFERROR(_xlfn.XLOOKUP($B16,'Race Results'!AA$3:AA$22,'Race Results'!$N$3:$N$22),""), 'Race Results'!$N$3:$N$22, 'Race Results'!$E$3:$E$22),"")</f>
        <v>8</v>
      </c>
      <c r="Q16">
        <f>IFERROR(_xlfn.XLOOKUP( IFERROR(_xlfn.XLOOKUP($B16,'Race Results'!AB$3:AB$22,'Race Results'!$N$3:$N$22),""), 'Race Results'!$N$3:$N$22, 'Race Results'!$E$3:$E$22),"")</f>
        <v>8</v>
      </c>
      <c r="R16">
        <f>IFERROR(_xlfn.XLOOKUP( IFERROR(_xlfn.XLOOKUP($B16,'Race Results'!AC$3:AC$22,'Race Results'!$N$3:$N$22),""), 'Race Results'!$N$3:$N$22, 'Race Results'!$E$3:$E$22),"")</f>
        <v>12</v>
      </c>
      <c r="S16">
        <f>IFERROR(_xlfn.XLOOKUP( IFERROR(_xlfn.XLOOKUP($B16,'Race Results'!AD$3:AD$22,'Race Results'!$N$3:$N$22),""), 'Race Results'!$N$3:$N$22, 'Race Results'!$E$3:$E$22),"")</f>
        <v>0</v>
      </c>
      <c r="T16">
        <f>IFERROR(_xlfn.XLOOKUP( IFERROR(_xlfn.XLOOKUP($B16,'Race Results'!AE$3:AE$22,'Race Results'!$N$3:$N$22),""), 'Race Results'!$N$3:$N$22, 'Race Results'!$E$3:$E$22),"")</f>
        <v>0</v>
      </c>
      <c r="U16">
        <f>IFERROR(_xlfn.XLOOKUP( IFERROR(_xlfn.XLOOKUP($B16,'Race Results'!AF$3:AF$22,'Race Results'!$N$3:$N$22),""), 'Race Results'!$N$3:$N$22, 'Race Results'!$E$3:$E$22),"")</f>
        <v>0</v>
      </c>
      <c r="V16">
        <f>IFERROR(_xlfn.XLOOKUP( IFERROR(_xlfn.XLOOKUP($B16,'Race Results'!AG$3:AG$22,'Race Results'!$N$3:$N$22),""), 'Race Results'!$N$3:$N$22, 'Race Results'!$E$3:$E$22),"")</f>
        <v>0</v>
      </c>
      <c r="W16">
        <f>IFERROR(_xlfn.XLOOKUP( IFERROR(_xlfn.XLOOKUP($B16,'Race Results'!AH$3:AH$22,'Race Results'!$N$3:$N$22),""), 'Race Results'!$N$3:$N$22, 'Race Results'!$E$3:$E$22),"")</f>
        <v>1</v>
      </c>
      <c r="X16">
        <f>IFERROR(_xlfn.XLOOKUP( IFERROR(_xlfn.XLOOKUP($B16,'Race Results'!AI$3:AI$22,'Race Results'!$N$3:$N$22),""), 'Race Results'!$N$3:$N$22, 'Race Results'!$E$3:$E$22),"")</f>
        <v>0</v>
      </c>
      <c r="Y16">
        <f>IFERROR(_xlfn.XLOOKUP( IFERROR(_xlfn.XLOOKUP($B16,'Race Results'!AJ$3:AJ$22,'Race Results'!$N$3:$N$22),""), 'Race Results'!$N$3:$N$22, 'Race Results'!$E$3:$E$22),"")</f>
        <v>0</v>
      </c>
      <c r="Z16">
        <f>IFERROR(_xlfn.XLOOKUP( IFERROR(_xlfn.XLOOKUP($B16,'Race Results'!AK$3:AK$22,'Race Results'!$N$3:$N$22),""), 'Race Results'!$N$3:$N$22, 'Race Results'!$E$3:$E$22),"")</f>
        <v>1</v>
      </c>
    </row>
    <row r="17" spans="2:26" x14ac:dyDescent="0.3">
      <c r="B17" t="s">
        <v>205</v>
      </c>
      <c r="C17" s="50">
        <f t="shared" si="0"/>
        <v>4.3863636363636367</v>
      </c>
      <c r="D17">
        <f>IFERROR(_xlfn.XLOOKUP( IFERROR(_xlfn.XLOOKUP($B17,'Race Results'!O$3:O$22,'Race Results'!$N$3:$N$22),""), 'Race Results'!$N$3:$N$22, 'Race Results'!$E$3:$E$22),"")</f>
        <v>0</v>
      </c>
      <c r="E17">
        <f>IFERROR(_xlfn.XLOOKUP( IFERROR(_xlfn.XLOOKUP($B17,'Race Results'!P$3:P$22,'Race Results'!$N$3:$N$22),""), 'Race Results'!$N$3:$N$22, 'Race Results'!$E$3:$E$22),"")</f>
        <v>0</v>
      </c>
      <c r="F17">
        <f>IFERROR(_xlfn.XLOOKUP( IFERROR(_xlfn.XLOOKUP($B17,'Race Results'!Q$3:Q$22,'Race Results'!$N$3:$N$22),""), 'Race Results'!$N$3:$N$22, 'Race Results'!$E$3:$E$22),"")</f>
        <v>0</v>
      </c>
      <c r="G17">
        <f>IFERROR(_xlfn.XLOOKUP( IFERROR(_xlfn.XLOOKUP($B17,'Race Results'!R$3:R$22,'Race Results'!$N$3:$N$22),""), 'Race Results'!$N$3:$N$22, 'Race Results'!$E$3:$E$22),"")</f>
        <v>0</v>
      </c>
      <c r="H17">
        <f>IFERROR(_xlfn.XLOOKUP( IFERROR(_xlfn.XLOOKUP($B17,'Race Results'!S$3:S$22,'Race Results'!$N$3:$N$22),""), 'Race Results'!$N$3:$N$22, 'Race Results'!$E$3:$E$22),"")</f>
        <v>0</v>
      </c>
      <c r="I17" t="str">
        <f>IFERROR(_xlfn.XLOOKUP( IFERROR(_xlfn.XLOOKUP($B17,'Race Results'!T$3:T$22,'Race Results'!$N$3:$N$22),""), 'Race Results'!$N$3:$N$22, 'Race Results'!$E$3:$E$22),"")</f>
        <v/>
      </c>
      <c r="J17">
        <f>IFERROR(_xlfn.XLOOKUP( IFERROR(_xlfn.XLOOKUP($B17,'Race Results'!U$3:U$22,'Race Results'!$N$3:$N$22),""), 'Race Results'!$N$3:$N$22, 'Race Results'!$E$3:$E$22),"")</f>
        <v>0</v>
      </c>
      <c r="K17">
        <f>IFERROR(_xlfn.XLOOKUP( IFERROR(_xlfn.XLOOKUP($B17,'Race Results'!V$3:V$22,'Race Results'!$N$3:$N$22),""), 'Race Results'!$N$3:$N$22, 'Race Results'!$E$3:$E$22),"")</f>
        <v>8</v>
      </c>
      <c r="L17">
        <f>IFERROR(_xlfn.XLOOKUP( IFERROR(_xlfn.XLOOKUP($B17,'Race Results'!W$3:W$22,'Race Results'!$N$3:$N$22),""), 'Race Results'!$N$3:$N$22, 'Race Results'!$E$3:$E$22),"")</f>
        <v>0</v>
      </c>
      <c r="M17">
        <f>IFERROR(_xlfn.XLOOKUP( IFERROR(_xlfn.XLOOKUP($B17,'Race Results'!X$3:X$22,'Race Results'!$N$3:$N$22),""), 'Race Results'!$N$3:$N$22, 'Race Results'!$E$3:$E$22),"")</f>
        <v>1</v>
      </c>
      <c r="N17">
        <f>IFERROR(_xlfn.XLOOKUP( IFERROR(_xlfn.XLOOKUP($B17,'Race Results'!Y$3:Y$22,'Race Results'!$N$3:$N$22),""), 'Race Results'!$N$3:$N$22, 'Race Results'!$E$3:$E$22),"")</f>
        <v>8</v>
      </c>
      <c r="O17">
        <f>IFERROR(_xlfn.XLOOKUP( IFERROR(_xlfn.XLOOKUP($B17,'Race Results'!Z$3:Z$22,'Race Results'!$N$3:$N$22),""), 'Race Results'!$N$3:$N$22, 'Race Results'!$E$3:$E$22),"")</f>
        <v>18</v>
      </c>
      <c r="P17">
        <f>IFERROR(_xlfn.XLOOKUP( IFERROR(_xlfn.XLOOKUP($B17,'Race Results'!AA$3:AA$22,'Race Results'!$N$3:$N$22),""), 'Race Results'!$N$3:$N$22, 'Race Results'!$E$3:$E$22),"")</f>
        <v>1</v>
      </c>
      <c r="Q17">
        <f>IFERROR(_xlfn.XLOOKUP( IFERROR(_xlfn.XLOOKUP($B17,'Race Results'!AB$3:AB$22,'Race Results'!$N$3:$N$22),""), 'Race Results'!$N$3:$N$22, 'Race Results'!$E$3:$E$22),"")</f>
        <v>0</v>
      </c>
      <c r="R17">
        <f>IFERROR(_xlfn.XLOOKUP( IFERROR(_xlfn.XLOOKUP($B17,'Race Results'!AC$3:AC$22,'Race Results'!$N$3:$N$22),""), 'Race Results'!$N$3:$N$22, 'Race Results'!$E$3:$E$22),"")</f>
        <v>18</v>
      </c>
      <c r="S17">
        <f>IFERROR(_xlfn.XLOOKUP( IFERROR(_xlfn.XLOOKUP($B17,'Race Results'!AD$3:AD$22,'Race Results'!$N$3:$N$22),""), 'Race Results'!$N$3:$N$22, 'Race Results'!$E$3:$E$22),"")</f>
        <v>0.5</v>
      </c>
      <c r="T17">
        <f>IFERROR(_xlfn.XLOOKUP( IFERROR(_xlfn.XLOOKUP($B17,'Race Results'!AE$3:AE$22,'Race Results'!$N$3:$N$22),""), 'Race Results'!$N$3:$N$22, 'Race Results'!$E$3:$E$22),"")</f>
        <v>12</v>
      </c>
      <c r="U17">
        <f>IFERROR(_xlfn.XLOOKUP( IFERROR(_xlfn.XLOOKUP($B17,'Race Results'!AF$3:AF$22,'Race Results'!$N$3:$N$22),""), 'Race Results'!$N$3:$N$22, 'Race Results'!$E$3:$E$22),"")</f>
        <v>4</v>
      </c>
      <c r="V17">
        <f>IFERROR(_xlfn.XLOOKUP( IFERROR(_xlfn.XLOOKUP($B17,'Race Results'!AG$3:AG$22,'Race Results'!$N$3:$N$22),""), 'Race Results'!$N$3:$N$22, 'Race Results'!$E$3:$E$22),"")</f>
        <v>0</v>
      </c>
      <c r="W17">
        <f>IFERROR(_xlfn.XLOOKUP( IFERROR(_xlfn.XLOOKUP($B17,'Race Results'!AH$3:AH$22,'Race Results'!$N$3:$N$22),""), 'Race Results'!$N$3:$N$22, 'Race Results'!$E$3:$E$22),"")</f>
        <v>0</v>
      </c>
      <c r="X17">
        <f>IFERROR(_xlfn.XLOOKUP( IFERROR(_xlfn.XLOOKUP($B17,'Race Results'!AI$3:AI$22,'Race Results'!$N$3:$N$22),""), 'Race Results'!$N$3:$N$22, 'Race Results'!$E$3:$E$22),"")</f>
        <v>0</v>
      </c>
      <c r="Y17">
        <f>IFERROR(_xlfn.XLOOKUP( IFERROR(_xlfn.XLOOKUP($B17,'Race Results'!AJ$3:AJ$22,'Race Results'!$N$3:$N$22),""), 'Race Results'!$N$3:$N$22, 'Race Results'!$E$3:$E$22),"")</f>
        <v>18</v>
      </c>
      <c r="Z17">
        <f>IFERROR(_xlfn.XLOOKUP( IFERROR(_xlfn.XLOOKUP($B17,'Race Results'!AK$3:AK$22,'Race Results'!$N$3:$N$22),""), 'Race Results'!$N$3:$N$22, 'Race Results'!$E$3:$E$22),"")</f>
        <v>8</v>
      </c>
    </row>
    <row r="18" spans="2:26" x14ac:dyDescent="0.3">
      <c r="B18" t="s">
        <v>273</v>
      </c>
      <c r="C18" s="50">
        <f t="shared" si="0"/>
        <v>2.8409090909090908</v>
      </c>
      <c r="D18">
        <f>IFERROR(_xlfn.XLOOKUP( IFERROR(_xlfn.XLOOKUP($B18,'Race Results'!O$3:O$22,'Race Results'!$N$3:$N$22),""), 'Race Results'!$N$3:$N$22, 'Race Results'!$E$3:$E$22),"")</f>
        <v>0</v>
      </c>
      <c r="E18">
        <f>IFERROR(_xlfn.XLOOKUP( IFERROR(_xlfn.XLOOKUP($B18,'Race Results'!P$3:P$22,'Race Results'!$N$3:$N$22),""), 'Race Results'!$N$3:$N$22, 'Race Results'!$E$3:$E$22),"")</f>
        <v>8</v>
      </c>
      <c r="F18">
        <f>IFERROR(_xlfn.XLOOKUP( IFERROR(_xlfn.XLOOKUP($B18,'Race Results'!Q$3:Q$22,'Race Results'!$N$3:$N$22),""), 'Race Results'!$N$3:$N$22, 'Race Results'!$E$3:$E$22),"")</f>
        <v>0</v>
      </c>
      <c r="G18">
        <f>IFERROR(_xlfn.XLOOKUP( IFERROR(_xlfn.XLOOKUP($B18,'Race Results'!R$3:R$22,'Race Results'!$N$3:$N$22),""), 'Race Results'!$N$3:$N$22, 'Race Results'!$E$3:$E$22),"")</f>
        <v>0</v>
      </c>
      <c r="H18">
        <f>IFERROR(_xlfn.XLOOKUP( IFERROR(_xlfn.XLOOKUP($B18,'Race Results'!S$3:S$22,'Race Results'!$N$3:$N$22),""), 'Race Results'!$N$3:$N$22, 'Race Results'!$E$3:$E$22),"")</f>
        <v>8</v>
      </c>
      <c r="I18" t="str">
        <f>IFERROR(_xlfn.XLOOKUP( IFERROR(_xlfn.XLOOKUP($B18,'Race Results'!T$3:T$22,'Race Results'!$N$3:$N$22),""), 'Race Results'!$N$3:$N$22, 'Race Results'!$E$3:$E$22),"")</f>
        <v/>
      </c>
      <c r="J18">
        <f>IFERROR(_xlfn.XLOOKUP( IFERROR(_xlfn.XLOOKUP($B18,'Race Results'!U$3:U$22,'Race Results'!$N$3:$N$22),""), 'Race Results'!$N$3:$N$22, 'Race Results'!$E$3:$E$22),"")</f>
        <v>4</v>
      </c>
      <c r="K18">
        <f>IFERROR(_xlfn.XLOOKUP( IFERROR(_xlfn.XLOOKUP($B18,'Race Results'!V$3:V$22,'Race Results'!$N$3:$N$22),""), 'Race Results'!$N$3:$N$22, 'Race Results'!$E$3:$E$22),"")</f>
        <v>15</v>
      </c>
      <c r="L18">
        <f>IFERROR(_xlfn.XLOOKUP( IFERROR(_xlfn.XLOOKUP($B18,'Race Results'!W$3:W$22,'Race Results'!$N$3:$N$22),""), 'Race Results'!$N$3:$N$22, 'Race Results'!$E$3:$E$22),"")</f>
        <v>0</v>
      </c>
      <c r="M18">
        <f>IFERROR(_xlfn.XLOOKUP( IFERROR(_xlfn.XLOOKUP($B18,'Race Results'!X$3:X$22,'Race Results'!$N$3:$N$22),""), 'Race Results'!$N$3:$N$22, 'Race Results'!$E$3:$E$22),"")</f>
        <v>0</v>
      </c>
      <c r="N18">
        <f>IFERROR(_xlfn.XLOOKUP( IFERROR(_xlfn.XLOOKUP($B18,'Race Results'!Y$3:Y$22,'Race Results'!$N$3:$N$22),""), 'Race Results'!$N$3:$N$22, 'Race Results'!$E$3:$E$22),"")</f>
        <v>18</v>
      </c>
      <c r="O18">
        <f>IFERROR(_xlfn.XLOOKUP( IFERROR(_xlfn.XLOOKUP($B18,'Race Results'!Z$3:Z$22,'Race Results'!$N$3:$N$22),""), 'Race Results'!$N$3:$N$22, 'Race Results'!$E$3:$E$22),"")</f>
        <v>8</v>
      </c>
      <c r="P18">
        <f>IFERROR(_xlfn.XLOOKUP( IFERROR(_xlfn.XLOOKUP($B18,'Race Results'!AA$3:AA$22,'Race Results'!$N$3:$N$22),""), 'Race Results'!$N$3:$N$22, 'Race Results'!$E$3:$E$22),"")</f>
        <v>0</v>
      </c>
      <c r="Q18">
        <f>IFERROR(_xlfn.XLOOKUP( IFERROR(_xlfn.XLOOKUP($B18,'Race Results'!AB$3:AB$22,'Race Results'!$N$3:$N$22),""), 'Race Results'!$N$3:$N$22, 'Race Results'!$E$3:$E$22),"")</f>
        <v>0</v>
      </c>
      <c r="R18">
        <f>IFERROR(_xlfn.XLOOKUP( IFERROR(_xlfn.XLOOKUP($B18,'Race Results'!AC$3:AC$22,'Race Results'!$N$3:$N$22),""), 'Race Results'!$N$3:$N$22, 'Race Results'!$E$3:$E$22),"")</f>
        <v>0</v>
      </c>
      <c r="S18">
        <f>IFERROR(_xlfn.XLOOKUP( IFERROR(_xlfn.XLOOKUP($B18,'Race Results'!AD$3:AD$22,'Race Results'!$N$3:$N$22),""), 'Race Results'!$N$3:$N$22, 'Race Results'!$E$3:$E$22),"")</f>
        <v>0</v>
      </c>
      <c r="T18">
        <f>IFERROR(_xlfn.XLOOKUP( IFERROR(_xlfn.XLOOKUP($B18,'Race Results'!AE$3:AE$22,'Race Results'!$N$3:$N$22),""), 'Race Results'!$N$3:$N$22, 'Race Results'!$E$3:$E$22),"")</f>
        <v>0</v>
      </c>
      <c r="U18">
        <f>IFERROR(_xlfn.XLOOKUP( IFERROR(_xlfn.XLOOKUP($B18,'Race Results'!AF$3:AF$22,'Race Results'!$N$3:$N$22),""), 'Race Results'!$N$3:$N$22, 'Race Results'!$E$3:$E$22),"")</f>
        <v>1</v>
      </c>
      <c r="V18">
        <f>IFERROR(_xlfn.XLOOKUP( IFERROR(_xlfn.XLOOKUP($B18,'Race Results'!AG$3:AG$22,'Race Results'!$N$3:$N$22),""), 'Race Results'!$N$3:$N$22, 'Race Results'!$E$3:$E$22),"")</f>
        <v>0</v>
      </c>
      <c r="W18">
        <f>IFERROR(_xlfn.XLOOKUP( IFERROR(_xlfn.XLOOKUP($B18,'Race Results'!AH$3:AH$22,'Race Results'!$N$3:$N$22),""), 'Race Results'!$N$3:$N$22, 'Race Results'!$E$3:$E$22),"")</f>
        <v>0</v>
      </c>
      <c r="X18">
        <f>IFERROR(_xlfn.XLOOKUP( IFERROR(_xlfn.XLOOKUP($B18,'Race Results'!AI$3:AI$22,'Race Results'!$N$3:$N$22),""), 'Race Results'!$N$3:$N$22, 'Race Results'!$E$3:$E$22),"")</f>
        <v>0.5</v>
      </c>
      <c r="Y18">
        <f>IFERROR(_xlfn.XLOOKUP( IFERROR(_xlfn.XLOOKUP($B18,'Race Results'!AJ$3:AJ$22,'Race Results'!$N$3:$N$22),""), 'Race Results'!$N$3:$N$22, 'Race Results'!$E$3:$E$22),"")</f>
        <v>0</v>
      </c>
      <c r="Z18">
        <f>IFERROR(_xlfn.XLOOKUP( IFERROR(_xlfn.XLOOKUP($B18,'Race Results'!AK$3:AK$22,'Race Results'!$N$3:$N$22),""), 'Race Results'!$N$3:$N$22, 'Race Results'!$E$3:$E$22),"")</f>
        <v>0</v>
      </c>
    </row>
    <row r="19" spans="2:26" x14ac:dyDescent="0.3">
      <c r="B19" t="s">
        <v>169</v>
      </c>
      <c r="C19" s="50">
        <f t="shared" si="0"/>
        <v>2.9090909090909092</v>
      </c>
      <c r="D19">
        <f>IFERROR(_xlfn.XLOOKUP( IFERROR(_xlfn.XLOOKUP($B19,'Race Results'!O$3:O$22,'Race Results'!$N$3:$N$22),""), 'Race Results'!$N$3:$N$22, 'Race Results'!$E$3:$E$22),"")</f>
        <v>8</v>
      </c>
      <c r="E19">
        <f>IFERROR(_xlfn.XLOOKUP( IFERROR(_xlfn.XLOOKUP($B19,'Race Results'!P$3:P$22,'Race Results'!$N$3:$N$22),""), 'Race Results'!$N$3:$N$22, 'Race Results'!$E$3:$E$22),"")</f>
        <v>0</v>
      </c>
      <c r="F19">
        <f>IFERROR(_xlfn.XLOOKUP( IFERROR(_xlfn.XLOOKUP($B19,'Race Results'!Q$3:Q$22,'Race Results'!$N$3:$N$22),""), 'Race Results'!$N$3:$N$22, 'Race Results'!$E$3:$E$22),"")</f>
        <v>0</v>
      </c>
      <c r="G19">
        <f>IFERROR(_xlfn.XLOOKUP( IFERROR(_xlfn.XLOOKUP($B19,'Race Results'!R$3:R$22,'Race Results'!$N$3:$N$22),""), 'Race Results'!$N$3:$N$22, 'Race Results'!$E$3:$E$22),"")</f>
        <v>12</v>
      </c>
      <c r="H19">
        <f>IFERROR(_xlfn.XLOOKUP( IFERROR(_xlfn.XLOOKUP($B19,'Race Results'!S$3:S$22,'Race Results'!$N$3:$N$22),""), 'Race Results'!$N$3:$N$22, 'Race Results'!$E$3:$E$22),"")</f>
        <v>0</v>
      </c>
      <c r="I19" t="str">
        <f>IFERROR(_xlfn.XLOOKUP( IFERROR(_xlfn.XLOOKUP($B19,'Race Results'!T$3:T$22,'Race Results'!$N$3:$N$22),""), 'Race Results'!$N$3:$N$22, 'Race Results'!$E$3:$E$22),"")</f>
        <v/>
      </c>
      <c r="J19">
        <f>IFERROR(_xlfn.XLOOKUP( IFERROR(_xlfn.XLOOKUP($B19,'Race Results'!U$3:U$22,'Race Results'!$N$3:$N$22),""), 'Race Results'!$N$3:$N$22, 'Race Results'!$E$3:$E$22),"")</f>
        <v>1</v>
      </c>
      <c r="K19">
        <f>IFERROR(_xlfn.XLOOKUP( IFERROR(_xlfn.XLOOKUP($B19,'Race Results'!V$3:V$22,'Race Results'!$N$3:$N$22),""), 'Race Results'!$N$3:$N$22, 'Race Results'!$E$3:$E$22),"")</f>
        <v>0</v>
      </c>
      <c r="L19">
        <f>IFERROR(_xlfn.XLOOKUP( IFERROR(_xlfn.XLOOKUP($B19,'Race Results'!W$3:W$22,'Race Results'!$N$3:$N$22),""), 'Race Results'!$N$3:$N$22, 'Race Results'!$E$3:$E$22),"")</f>
        <v>0</v>
      </c>
      <c r="M19">
        <f>IFERROR(_xlfn.XLOOKUP( IFERROR(_xlfn.XLOOKUP($B19,'Race Results'!X$3:X$22,'Race Results'!$N$3:$N$22),""), 'Race Results'!$N$3:$N$22, 'Race Results'!$E$3:$E$22),"")</f>
        <v>8</v>
      </c>
      <c r="N19">
        <f>IFERROR(_xlfn.XLOOKUP( IFERROR(_xlfn.XLOOKUP($B19,'Race Results'!Y$3:Y$22,'Race Results'!$N$3:$N$22),""), 'Race Results'!$N$3:$N$22, 'Race Results'!$E$3:$E$22),"")</f>
        <v>1</v>
      </c>
      <c r="O19">
        <f>IFERROR(_xlfn.XLOOKUP( IFERROR(_xlfn.XLOOKUP($B19,'Race Results'!Z$3:Z$22,'Race Results'!$N$3:$N$22),""), 'Race Results'!$N$3:$N$22, 'Race Results'!$E$3:$E$22),"")</f>
        <v>4</v>
      </c>
      <c r="P19">
        <f>IFERROR(_xlfn.XLOOKUP( IFERROR(_xlfn.XLOOKUP($B19,'Race Results'!AA$3:AA$22,'Race Results'!$N$3:$N$22),""), 'Race Results'!$N$3:$N$22, 'Race Results'!$E$3:$E$22),"")</f>
        <v>4</v>
      </c>
      <c r="Q19">
        <f>IFERROR(_xlfn.XLOOKUP( IFERROR(_xlfn.XLOOKUP($B19,'Race Results'!AB$3:AB$22,'Race Results'!$N$3:$N$22),""), 'Race Results'!$N$3:$N$22, 'Race Results'!$E$3:$E$22),"")</f>
        <v>0</v>
      </c>
      <c r="R19">
        <f>IFERROR(_xlfn.XLOOKUP( IFERROR(_xlfn.XLOOKUP($B19,'Race Results'!AC$3:AC$22,'Race Results'!$N$3:$N$22),""), 'Race Results'!$N$3:$N$22, 'Race Results'!$E$3:$E$22),"")</f>
        <v>1</v>
      </c>
      <c r="S19">
        <f>IFERROR(_xlfn.XLOOKUP( IFERROR(_xlfn.XLOOKUP($B19,'Race Results'!AD$3:AD$22,'Race Results'!$N$3:$N$22),""), 'Race Results'!$N$3:$N$22, 'Race Results'!$E$3:$E$22),"")</f>
        <v>0</v>
      </c>
      <c r="T19">
        <f>IFERROR(_xlfn.XLOOKUP( IFERROR(_xlfn.XLOOKUP($B19,'Race Results'!AE$3:AE$22,'Race Results'!$N$3:$N$22),""), 'Race Results'!$N$3:$N$22, 'Race Results'!$E$3:$E$22),"")</f>
        <v>8</v>
      </c>
      <c r="U19">
        <f>IFERROR(_xlfn.XLOOKUP( IFERROR(_xlfn.XLOOKUP($B19,'Race Results'!AF$3:AF$22,'Race Results'!$N$3:$N$22),""), 'Race Results'!$N$3:$N$22, 'Race Results'!$E$3:$E$22),"")</f>
        <v>0</v>
      </c>
      <c r="V19">
        <f>IFERROR(_xlfn.XLOOKUP( IFERROR(_xlfn.XLOOKUP($B19,'Race Results'!AG$3:AG$22,'Race Results'!$N$3:$N$22),""), 'Race Results'!$N$3:$N$22, 'Race Results'!$E$3:$E$22),"")</f>
        <v>1</v>
      </c>
      <c r="W19">
        <f>IFERROR(_xlfn.XLOOKUP( IFERROR(_xlfn.XLOOKUP($B19,'Race Results'!AH$3:AH$22,'Race Results'!$N$3:$N$22),""), 'Race Results'!$N$3:$N$22, 'Race Results'!$E$3:$E$22),"")</f>
        <v>4</v>
      </c>
      <c r="X19">
        <f>IFERROR(_xlfn.XLOOKUP( IFERROR(_xlfn.XLOOKUP($B19,'Race Results'!AI$3:AI$22,'Race Results'!$N$3:$N$22),""), 'Race Results'!$N$3:$N$22, 'Race Results'!$E$3:$E$22),"")</f>
        <v>0</v>
      </c>
      <c r="Y19">
        <f>IFERROR(_xlfn.XLOOKUP( IFERROR(_xlfn.XLOOKUP($B19,'Race Results'!AJ$3:AJ$22,'Race Results'!$N$3:$N$22),""), 'Race Results'!$N$3:$N$22, 'Race Results'!$E$3:$E$22),"")</f>
        <v>12</v>
      </c>
      <c r="Z19">
        <f>IFERROR(_xlfn.XLOOKUP( IFERROR(_xlfn.XLOOKUP($B19,'Race Results'!AK$3:AK$22,'Race Results'!$N$3:$N$22),""), 'Race Results'!$N$3:$N$22, 'Race Results'!$E$3:$E$22),"")</f>
        <v>0</v>
      </c>
    </row>
    <row r="20" spans="2:26" x14ac:dyDescent="0.3">
      <c r="B20" t="s">
        <v>234</v>
      </c>
      <c r="C20" s="50">
        <f t="shared" si="0"/>
        <v>2.0909090909090908</v>
      </c>
      <c r="D20">
        <f>IFERROR(_xlfn.XLOOKUP( IFERROR(_xlfn.XLOOKUP($B20,'Race Results'!O$3:O$22,'Race Results'!$N$3:$N$22),""), 'Race Results'!$N$3:$N$22, 'Race Results'!$E$3:$E$22),"")</f>
        <v>0</v>
      </c>
      <c r="E20">
        <f>IFERROR(_xlfn.XLOOKUP( IFERROR(_xlfn.XLOOKUP($B20,'Race Results'!P$3:P$22,'Race Results'!$N$3:$N$22),""), 'Race Results'!$N$3:$N$22, 'Race Results'!$E$3:$E$22),"")</f>
        <v>0</v>
      </c>
      <c r="F20">
        <f>IFERROR(_xlfn.XLOOKUP( IFERROR(_xlfn.XLOOKUP($B20,'Race Results'!Q$3:Q$22,'Race Results'!$N$3:$N$22),""), 'Race Results'!$N$3:$N$22, 'Race Results'!$E$3:$E$22),"")</f>
        <v>1</v>
      </c>
      <c r="G20">
        <f>IFERROR(_xlfn.XLOOKUP( IFERROR(_xlfn.XLOOKUP($B20,'Race Results'!R$3:R$22,'Race Results'!$N$3:$N$22),""), 'Race Results'!$N$3:$N$22, 'Race Results'!$E$3:$E$22),"")</f>
        <v>0</v>
      </c>
      <c r="H20">
        <f>IFERROR(_xlfn.XLOOKUP( IFERROR(_xlfn.XLOOKUP($B20,'Race Results'!S$3:S$22,'Race Results'!$N$3:$N$22),""), 'Race Results'!$N$3:$N$22, 'Race Results'!$E$3:$E$22),"")</f>
        <v>0</v>
      </c>
      <c r="I20" t="str">
        <f>IFERROR(_xlfn.XLOOKUP( IFERROR(_xlfn.XLOOKUP($B20,'Race Results'!T$3:T$22,'Race Results'!$N$3:$N$22),""), 'Race Results'!$N$3:$N$22, 'Race Results'!$E$3:$E$22),"")</f>
        <v/>
      </c>
      <c r="J20">
        <f>IFERROR(_xlfn.XLOOKUP( IFERROR(_xlfn.XLOOKUP($B20,'Race Results'!U$3:U$22,'Race Results'!$N$3:$N$22),""), 'Race Results'!$N$3:$N$22, 'Race Results'!$E$3:$E$22),"")</f>
        <v>0</v>
      </c>
      <c r="K20">
        <f>IFERROR(_xlfn.XLOOKUP( IFERROR(_xlfn.XLOOKUP($B20,'Race Results'!V$3:V$22,'Race Results'!$N$3:$N$22),""), 'Race Results'!$N$3:$N$22, 'Race Results'!$E$3:$E$22),"")</f>
        <v>0</v>
      </c>
      <c r="L20">
        <f>IFERROR(_xlfn.XLOOKUP( IFERROR(_xlfn.XLOOKUP($B20,'Race Results'!W$3:W$22,'Race Results'!$N$3:$N$22),""), 'Race Results'!$N$3:$N$22, 'Race Results'!$E$3:$E$22),"")</f>
        <v>4</v>
      </c>
      <c r="M20">
        <f>IFERROR(_xlfn.XLOOKUP( IFERROR(_xlfn.XLOOKUP($B20,'Race Results'!X$3:X$22,'Race Results'!$N$3:$N$22),""), 'Race Results'!$N$3:$N$22, 'Race Results'!$E$3:$E$22),"")</f>
        <v>0</v>
      </c>
      <c r="N20">
        <f>IFERROR(_xlfn.XLOOKUP( IFERROR(_xlfn.XLOOKUP($B20,'Race Results'!Y$3:Y$22,'Race Results'!$N$3:$N$22),""), 'Race Results'!$N$3:$N$22, 'Race Results'!$E$3:$E$22),"")</f>
        <v>4</v>
      </c>
      <c r="O20">
        <f>IFERROR(_xlfn.XLOOKUP( IFERROR(_xlfn.XLOOKUP($B20,'Race Results'!Z$3:Z$22,'Race Results'!$N$3:$N$22),""), 'Race Results'!$N$3:$N$22, 'Race Results'!$E$3:$E$22),"")</f>
        <v>0</v>
      </c>
      <c r="P20">
        <f>IFERROR(_xlfn.XLOOKUP( IFERROR(_xlfn.XLOOKUP($B20,'Race Results'!AA$3:AA$22,'Race Results'!$N$3:$N$22),""), 'Race Results'!$N$3:$N$22, 'Race Results'!$E$3:$E$22),"")</f>
        <v>0</v>
      </c>
      <c r="Q20">
        <f>IFERROR(_xlfn.XLOOKUP( IFERROR(_xlfn.XLOOKUP($B20,'Race Results'!AB$3:AB$22,'Race Results'!$N$3:$N$22),""), 'Race Results'!$N$3:$N$22, 'Race Results'!$E$3:$E$22),"")</f>
        <v>0</v>
      </c>
      <c r="R20">
        <f>IFERROR(_xlfn.XLOOKUP( IFERROR(_xlfn.XLOOKUP($B20,'Race Results'!AC$3:AC$22,'Race Results'!$N$3:$N$22),""), 'Race Results'!$N$3:$N$22, 'Race Results'!$E$3:$E$22),"")</f>
        <v>0</v>
      </c>
      <c r="S20">
        <f>IFERROR(_xlfn.XLOOKUP( IFERROR(_xlfn.XLOOKUP($B20,'Race Results'!AD$3:AD$22,'Race Results'!$N$3:$N$22),""), 'Race Results'!$N$3:$N$22, 'Race Results'!$E$3:$E$22),"")</f>
        <v>12</v>
      </c>
      <c r="T20">
        <f>IFERROR(_xlfn.XLOOKUP( IFERROR(_xlfn.XLOOKUP($B20,'Race Results'!AE$3:AE$22,'Race Results'!$N$3:$N$22),""), 'Race Results'!$N$3:$N$22, 'Race Results'!$E$3:$E$22),"")</f>
        <v>0</v>
      </c>
      <c r="U20">
        <f>IFERROR(_xlfn.XLOOKUP( IFERROR(_xlfn.XLOOKUP($B20,'Race Results'!AF$3:AF$22,'Race Results'!$N$3:$N$22),""), 'Race Results'!$N$3:$N$22, 'Race Results'!$E$3:$E$22),"")</f>
        <v>25</v>
      </c>
      <c r="V20">
        <f>IFERROR(_xlfn.XLOOKUP( IFERROR(_xlfn.XLOOKUP($B20,'Race Results'!AG$3:AG$22,'Race Results'!$N$3:$N$22),""), 'Race Results'!$N$3:$N$22, 'Race Results'!$E$3:$E$22),"")</f>
        <v>0</v>
      </c>
      <c r="W20">
        <f>IFERROR(_xlfn.XLOOKUP( IFERROR(_xlfn.XLOOKUP($B20,'Race Results'!AH$3:AH$22,'Race Results'!$N$3:$N$22),""), 'Race Results'!$N$3:$N$22, 'Race Results'!$E$3:$E$22),"")</f>
        <v>0</v>
      </c>
      <c r="X20">
        <f>IFERROR(_xlfn.XLOOKUP( IFERROR(_xlfn.XLOOKUP($B20,'Race Results'!AI$3:AI$22,'Race Results'!$N$3:$N$22),""), 'Race Results'!$N$3:$N$22, 'Race Results'!$E$3:$E$22),"")</f>
        <v>0</v>
      </c>
      <c r="Y20">
        <f>IFERROR(_xlfn.XLOOKUP( IFERROR(_xlfn.XLOOKUP($B20,'Race Results'!AJ$3:AJ$22,'Race Results'!$N$3:$N$22),""), 'Race Results'!$N$3:$N$22, 'Race Results'!$E$3:$E$22),"")</f>
        <v>0</v>
      </c>
      <c r="Z20">
        <f>IFERROR(_xlfn.XLOOKUP( IFERROR(_xlfn.XLOOKUP($B20,'Race Results'!AK$3:AK$22,'Race Results'!$N$3:$N$22),""), 'Race Results'!$N$3:$N$22, 'Race Results'!$E$3:$E$22),"")</f>
        <v>0</v>
      </c>
    </row>
    <row r="21" spans="2:26" x14ac:dyDescent="0.3">
      <c r="B21" t="s">
        <v>245</v>
      </c>
      <c r="C21" s="50">
        <f t="shared" si="0"/>
        <v>2.2000000000000002</v>
      </c>
      <c r="D21">
        <f>IFERROR(_xlfn.XLOOKUP( IFERROR(_xlfn.XLOOKUP($B21,'Race Results'!O$3:O$22,'Race Results'!$N$3:$N$22),""), 'Race Results'!$N$3:$N$22, 'Race Results'!$E$3:$E$22),"")</f>
        <v>2</v>
      </c>
      <c r="E21">
        <f>IFERROR(_xlfn.XLOOKUP( IFERROR(_xlfn.XLOOKUP($B21,'Race Results'!P$3:P$22,'Race Results'!$N$3:$N$22),""), 'Race Results'!$N$3:$N$22, 'Race Results'!$E$3:$E$22),"")</f>
        <v>2</v>
      </c>
      <c r="F21">
        <f>IFERROR(_xlfn.XLOOKUP( IFERROR(_xlfn.XLOOKUP($B21,'Race Results'!Q$3:Q$22,'Race Results'!$N$3:$N$22),""), 'Race Results'!$N$3:$N$22, 'Race Results'!$E$3:$E$22),"")</f>
        <v>6</v>
      </c>
      <c r="G21">
        <f>IFERROR(_xlfn.XLOOKUP( IFERROR(_xlfn.XLOOKUP($B21,'Race Results'!R$3:R$22,'Race Results'!$N$3:$N$22),""), 'Race Results'!$N$3:$N$22, 'Race Results'!$E$3:$E$22),"")</f>
        <v>0</v>
      </c>
      <c r="H21">
        <f>IFERROR(_xlfn.XLOOKUP( IFERROR(_xlfn.XLOOKUP($B21,'Race Results'!S$3:S$22,'Race Results'!$N$3:$N$22),""), 'Race Results'!$N$3:$N$22, 'Race Results'!$E$3:$E$22),"")</f>
        <v>0</v>
      </c>
      <c r="I21" t="str">
        <f>IFERROR(_xlfn.XLOOKUP( IFERROR(_xlfn.XLOOKUP($B21,'Race Results'!T$3:T$22,'Race Results'!$N$3:$N$22),""), 'Race Results'!$N$3:$N$22, 'Race Results'!$E$3:$E$22),"")</f>
        <v/>
      </c>
      <c r="J21">
        <f>IFERROR(_xlfn.XLOOKUP( IFERROR(_xlfn.XLOOKUP($B21,'Race Results'!U$3:U$22,'Race Results'!$N$3:$N$22),""), 'Race Results'!$N$3:$N$22, 'Race Results'!$E$3:$E$22),"")</f>
        <v>10</v>
      </c>
      <c r="K21">
        <f>IFERROR(_xlfn.XLOOKUP( IFERROR(_xlfn.XLOOKUP($B21,'Race Results'!V$3:V$22,'Race Results'!$N$3:$N$22),""), 'Race Results'!$N$3:$N$22, 'Race Results'!$E$3:$E$22),"")</f>
        <v>2</v>
      </c>
      <c r="L21">
        <f>IFERROR(_xlfn.XLOOKUP( IFERROR(_xlfn.XLOOKUP($B21,'Race Results'!W$3:W$22,'Race Results'!$N$3:$N$22),""), 'Race Results'!$N$3:$N$22, 'Race Results'!$E$3:$E$22),"")</f>
        <v>0</v>
      </c>
      <c r="M21">
        <f>IFERROR(_xlfn.XLOOKUP( IFERROR(_xlfn.XLOOKUP($B21,'Race Results'!X$3:X$22,'Race Results'!$N$3:$N$22),""), 'Race Results'!$N$3:$N$22, 'Race Results'!$E$3:$E$22),"")</f>
        <v>0</v>
      </c>
      <c r="N21">
        <f>IFERROR(_xlfn.XLOOKUP( IFERROR(_xlfn.XLOOKUP($B21,'Race Results'!Y$3:Y$22,'Race Results'!$N$3:$N$22),""), 'Race Results'!$N$3:$N$22, 'Race Results'!$E$3:$E$22),"")</f>
        <v>0</v>
      </c>
      <c r="O21" t="str">
        <f>IFERROR(_xlfn.XLOOKUP( IFERROR(_xlfn.XLOOKUP($B21,'Race Results'!Z$3:Z$22,'Race Results'!$N$3:$N$22),""), 'Race Results'!$N$3:$N$22, 'Race Results'!$E$3:$E$22),"")</f>
        <v/>
      </c>
      <c r="P21" t="str">
        <f>IFERROR(_xlfn.XLOOKUP( IFERROR(_xlfn.XLOOKUP($B21,'Race Results'!AA$3:AA$22,'Race Results'!$N$3:$N$22),""), 'Race Results'!$N$3:$N$22, 'Race Results'!$E$3:$E$22),"")</f>
        <v/>
      </c>
      <c r="Q21" t="str">
        <f>IFERROR(_xlfn.XLOOKUP( IFERROR(_xlfn.XLOOKUP($B21,'Race Results'!AB$3:AB$22,'Race Results'!$N$3:$N$22),""), 'Race Results'!$N$3:$N$22, 'Race Results'!$E$3:$E$22),"")</f>
        <v/>
      </c>
      <c r="R21" t="str">
        <f>IFERROR(_xlfn.XLOOKUP( IFERROR(_xlfn.XLOOKUP($B21,'Race Results'!AC$3:AC$22,'Race Results'!$N$3:$N$22),""), 'Race Results'!$N$3:$N$22, 'Race Results'!$E$3:$E$22),"")</f>
        <v/>
      </c>
      <c r="S21" t="str">
        <f>IFERROR(_xlfn.XLOOKUP( IFERROR(_xlfn.XLOOKUP($B21,'Race Results'!AD$3:AD$22,'Race Results'!$N$3:$N$22),""), 'Race Results'!$N$3:$N$22, 'Race Results'!$E$3:$E$22),"")</f>
        <v/>
      </c>
      <c r="T21" t="str">
        <f>IFERROR(_xlfn.XLOOKUP( IFERROR(_xlfn.XLOOKUP($B21,'Race Results'!AE$3:AE$22,'Race Results'!$N$3:$N$22),""), 'Race Results'!$N$3:$N$22, 'Race Results'!$E$3:$E$22),"")</f>
        <v/>
      </c>
      <c r="U21" t="str">
        <f>IFERROR(_xlfn.XLOOKUP( IFERROR(_xlfn.XLOOKUP($B21,'Race Results'!AF$3:AF$22,'Race Results'!$N$3:$N$22),""), 'Race Results'!$N$3:$N$22, 'Race Results'!$E$3:$E$22),"")</f>
        <v/>
      </c>
      <c r="V21" t="str">
        <f>IFERROR(_xlfn.XLOOKUP( IFERROR(_xlfn.XLOOKUP($B21,'Race Results'!AG$3:AG$22,'Race Results'!$N$3:$N$22),""), 'Race Results'!$N$3:$N$22, 'Race Results'!$E$3:$E$22),"")</f>
        <v/>
      </c>
      <c r="W21" t="str">
        <f>IFERROR(_xlfn.XLOOKUP( IFERROR(_xlfn.XLOOKUP($B21,'Race Results'!AH$3:AH$22,'Race Results'!$N$3:$N$22),""), 'Race Results'!$N$3:$N$22, 'Race Results'!$E$3:$E$22),"")</f>
        <v/>
      </c>
      <c r="X21" t="str">
        <f>IFERROR(_xlfn.XLOOKUP( IFERROR(_xlfn.XLOOKUP($B21,'Race Results'!AI$3:AI$22,'Race Results'!$N$3:$N$22),""), 'Race Results'!$N$3:$N$22, 'Race Results'!$E$3:$E$22),"")</f>
        <v/>
      </c>
      <c r="Y21" t="str">
        <f>IFERROR(_xlfn.XLOOKUP( IFERROR(_xlfn.XLOOKUP($B21,'Race Results'!AJ$3:AJ$22,'Race Results'!$N$3:$N$22),""), 'Race Results'!$N$3:$N$22, 'Race Results'!$E$3:$E$22),"")</f>
        <v/>
      </c>
      <c r="Z21" t="str">
        <f>IFERROR(_xlfn.XLOOKUP( IFERROR(_xlfn.XLOOKUP($B21,'Race Results'!AK$3:AK$22,'Race Results'!$N$3:$N$22),""), 'Race Results'!$N$3:$N$22, 'Race Results'!$E$3:$E$22),"")</f>
        <v/>
      </c>
    </row>
    <row r="22" spans="2:26" x14ac:dyDescent="0.3">
      <c r="B22" t="s">
        <v>207</v>
      </c>
      <c r="C22" s="50">
        <f t="shared" si="0"/>
        <v>3.1363636363636362</v>
      </c>
      <c r="D22">
        <f>IFERROR(_xlfn.XLOOKUP( IFERROR(_xlfn.XLOOKUP($B22,'Race Results'!O$3:O$22,'Race Results'!$N$3:$N$22),""), 'Race Results'!$N$3:$N$22, 'Race Results'!$E$3:$E$22),"")</f>
        <v>1</v>
      </c>
      <c r="E22">
        <f>IFERROR(_xlfn.XLOOKUP( IFERROR(_xlfn.XLOOKUP($B22,'Race Results'!P$3:P$22,'Race Results'!$N$3:$N$22),""), 'Race Results'!$N$3:$N$22, 'Race Results'!$E$3:$E$22),"")</f>
        <v>1</v>
      </c>
      <c r="F22">
        <f>IFERROR(_xlfn.XLOOKUP( IFERROR(_xlfn.XLOOKUP($B22,'Race Results'!Q$3:Q$22,'Race Results'!$N$3:$N$22),""), 'Race Results'!$N$3:$N$22, 'Race Results'!$E$3:$E$22),"")</f>
        <v>0</v>
      </c>
      <c r="G22">
        <f>IFERROR(_xlfn.XLOOKUP( IFERROR(_xlfn.XLOOKUP($B22,'Race Results'!R$3:R$22,'Race Results'!$N$3:$N$22),""), 'Race Results'!$N$3:$N$22, 'Race Results'!$E$3:$E$22),"")</f>
        <v>4</v>
      </c>
      <c r="H22">
        <f>IFERROR(_xlfn.XLOOKUP( IFERROR(_xlfn.XLOOKUP($B22,'Race Results'!S$3:S$22,'Race Results'!$N$3:$N$22),""), 'Race Results'!$N$3:$N$22, 'Race Results'!$E$3:$E$22),"")</f>
        <v>4</v>
      </c>
      <c r="I22" t="str">
        <f>IFERROR(_xlfn.XLOOKUP( IFERROR(_xlfn.XLOOKUP($B22,'Race Results'!T$3:T$22,'Race Results'!$N$3:$N$22),""), 'Race Results'!$N$3:$N$22, 'Race Results'!$E$3:$E$22),"")</f>
        <v/>
      </c>
      <c r="J22">
        <f>IFERROR(_xlfn.XLOOKUP( IFERROR(_xlfn.XLOOKUP($B22,'Race Results'!U$3:U$22,'Race Results'!$N$3:$N$22),""), 'Race Results'!$N$3:$N$22, 'Race Results'!$E$3:$E$22),"")</f>
        <v>0</v>
      </c>
      <c r="K22">
        <f>IFERROR(_xlfn.XLOOKUP( IFERROR(_xlfn.XLOOKUP($B22,'Race Results'!V$3:V$22,'Race Results'!$N$3:$N$22),""), 'Race Results'!$N$3:$N$22, 'Race Results'!$E$3:$E$22),"")</f>
        <v>0</v>
      </c>
      <c r="L22">
        <f>IFERROR(_xlfn.XLOOKUP( IFERROR(_xlfn.XLOOKUP($B22,'Race Results'!W$3:W$22,'Race Results'!$N$3:$N$22),""), 'Race Results'!$N$3:$N$22, 'Race Results'!$E$3:$E$22),"")</f>
        <v>0</v>
      </c>
      <c r="M22">
        <f>IFERROR(_xlfn.XLOOKUP( IFERROR(_xlfn.XLOOKUP($B22,'Race Results'!X$3:X$22,'Race Results'!$N$3:$N$22),""), 'Race Results'!$N$3:$N$22, 'Race Results'!$E$3:$E$22),"")</f>
        <v>12</v>
      </c>
      <c r="N22">
        <f>IFERROR(_xlfn.XLOOKUP( IFERROR(_xlfn.XLOOKUP($B22,'Race Results'!Y$3:Y$22,'Race Results'!$N$3:$N$22),""), 'Race Results'!$N$3:$N$22, 'Race Results'!$E$3:$E$22),"")</f>
        <v>0</v>
      </c>
      <c r="O22">
        <f>IFERROR(_xlfn.XLOOKUP( IFERROR(_xlfn.XLOOKUP($B22,'Race Results'!Z$3:Z$22,'Race Results'!$N$3:$N$22),""), 'Race Results'!$N$3:$N$22, 'Race Results'!$E$3:$E$22),"")</f>
        <v>0</v>
      </c>
      <c r="P22">
        <f>IFERROR(_xlfn.XLOOKUP( IFERROR(_xlfn.XLOOKUP($B22,'Race Results'!AA$3:AA$22,'Race Results'!$N$3:$N$22),""), 'Race Results'!$N$3:$N$22, 'Race Results'!$E$3:$E$22),"")</f>
        <v>0</v>
      </c>
      <c r="Q22">
        <f>IFERROR(_xlfn.XLOOKUP( IFERROR(_xlfn.XLOOKUP($B22,'Race Results'!AB$3:AB$22,'Race Results'!$N$3:$N$22),""), 'Race Results'!$N$3:$N$22, 'Race Results'!$E$3:$E$22),"")</f>
        <v>4</v>
      </c>
      <c r="R22">
        <f>IFERROR(_xlfn.XLOOKUP( IFERROR(_xlfn.XLOOKUP($B22,'Race Results'!AC$3:AC$22,'Race Results'!$N$3:$N$22),""), 'Race Results'!$N$3:$N$22, 'Race Results'!$E$3:$E$22),"")</f>
        <v>4</v>
      </c>
      <c r="S22">
        <f>IFERROR(_xlfn.XLOOKUP( IFERROR(_xlfn.XLOOKUP($B22,'Race Results'!AD$3:AD$22,'Race Results'!$N$3:$N$22),""), 'Race Results'!$N$3:$N$22, 'Race Results'!$E$3:$E$22),"")</f>
        <v>0</v>
      </c>
      <c r="T22">
        <f>IFERROR(_xlfn.XLOOKUP( IFERROR(_xlfn.XLOOKUP($B22,'Race Results'!AE$3:AE$22,'Race Results'!$N$3:$N$22),""), 'Race Results'!$N$3:$N$22, 'Race Results'!$E$3:$E$22),"")</f>
        <v>1</v>
      </c>
      <c r="U22">
        <f>IFERROR(_xlfn.XLOOKUP( IFERROR(_xlfn.XLOOKUP($B22,'Race Results'!AF$3:AF$22,'Race Results'!$N$3:$N$22),""), 'Race Results'!$N$3:$N$22, 'Race Results'!$E$3:$E$22),"")</f>
        <v>0</v>
      </c>
      <c r="V22">
        <f>IFERROR(_xlfn.XLOOKUP( IFERROR(_xlfn.XLOOKUP($B22,'Race Results'!AG$3:AG$22,'Race Results'!$N$3:$N$22),""), 'Race Results'!$N$3:$N$22, 'Race Results'!$E$3:$E$22),"")</f>
        <v>0</v>
      </c>
      <c r="W22">
        <f>IFERROR(_xlfn.XLOOKUP( IFERROR(_xlfn.XLOOKUP($B22,'Race Results'!AH$3:AH$22,'Race Results'!$N$3:$N$22),""), 'Race Results'!$N$3:$N$22, 'Race Results'!$E$3:$E$22),"")</f>
        <v>0</v>
      </c>
      <c r="X22">
        <f>IFERROR(_xlfn.XLOOKUP( IFERROR(_xlfn.XLOOKUP($B22,'Race Results'!AI$3:AI$22,'Race Results'!$N$3:$N$22),""), 'Race Results'!$N$3:$N$22, 'Race Results'!$E$3:$E$22),"")</f>
        <v>12</v>
      </c>
      <c r="Y22">
        <f>IFERROR(_xlfn.XLOOKUP( IFERROR(_xlfn.XLOOKUP($B22,'Race Results'!AJ$3:AJ$22,'Race Results'!$N$3:$N$22),""), 'Race Results'!$N$3:$N$22, 'Race Results'!$E$3:$E$22),"")</f>
        <v>8</v>
      </c>
      <c r="Z22">
        <f>IFERROR(_xlfn.XLOOKUP( IFERROR(_xlfn.XLOOKUP($B22,'Race Results'!AK$3:AK$22,'Race Results'!$N$3:$N$22),""), 'Race Results'!$N$3:$N$22, 'Race Results'!$E$3:$E$22),"")</f>
        <v>18</v>
      </c>
    </row>
    <row r="23" spans="2:26" x14ac:dyDescent="0.3">
      <c r="B23" t="s">
        <v>187</v>
      </c>
      <c r="C23" s="50">
        <f t="shared" si="0"/>
        <v>4.5454545454545456E-2</v>
      </c>
      <c r="D23">
        <f>IFERROR(_xlfn.XLOOKUP( IFERROR(_xlfn.XLOOKUP($B23,'Race Results'!O$3:O$22,'Race Results'!$N$3:$N$22),""), 'Race Results'!$N$3:$N$22, 'Race Results'!$E$3:$E$22),"")</f>
        <v>0</v>
      </c>
      <c r="E23">
        <f>IFERROR(_xlfn.XLOOKUP( IFERROR(_xlfn.XLOOKUP($B23,'Race Results'!P$3:P$22,'Race Results'!$N$3:$N$22),""), 'Race Results'!$N$3:$N$22, 'Race Results'!$E$3:$E$22),"")</f>
        <v>0</v>
      </c>
      <c r="F23">
        <f>IFERROR(_xlfn.XLOOKUP( IFERROR(_xlfn.XLOOKUP($B23,'Race Results'!Q$3:Q$22,'Race Results'!$N$3:$N$22),""), 'Race Results'!$N$3:$N$22, 'Race Results'!$E$3:$E$22),"")</f>
        <v>0</v>
      </c>
      <c r="G23">
        <f>IFERROR(_xlfn.XLOOKUP( IFERROR(_xlfn.XLOOKUP($B23,'Race Results'!R$3:R$22,'Race Results'!$N$3:$N$22),""), 'Race Results'!$N$3:$N$22, 'Race Results'!$E$3:$E$22),"")</f>
        <v>0</v>
      </c>
      <c r="H23">
        <f>IFERROR(_xlfn.XLOOKUP( IFERROR(_xlfn.XLOOKUP($B23,'Race Results'!S$3:S$22,'Race Results'!$N$3:$N$22),""), 'Race Results'!$N$3:$N$22, 'Race Results'!$E$3:$E$22),"")</f>
        <v>0</v>
      </c>
      <c r="I23" t="str">
        <f>IFERROR(_xlfn.XLOOKUP( IFERROR(_xlfn.XLOOKUP($B23,'Race Results'!T$3:T$22,'Race Results'!$N$3:$N$22),""), 'Race Results'!$N$3:$N$22, 'Race Results'!$E$3:$E$22),"")</f>
        <v/>
      </c>
      <c r="J23">
        <f>IFERROR(_xlfn.XLOOKUP( IFERROR(_xlfn.XLOOKUP($B23,'Race Results'!U$3:U$22,'Race Results'!$N$3:$N$22),""), 'Race Results'!$N$3:$N$22, 'Race Results'!$E$3:$E$22),"")</f>
        <v>0</v>
      </c>
      <c r="K23">
        <f>IFERROR(_xlfn.XLOOKUP( IFERROR(_xlfn.XLOOKUP($B23,'Race Results'!V$3:V$22,'Race Results'!$N$3:$N$22),""), 'Race Results'!$N$3:$N$22, 'Race Results'!$E$3:$E$22),"")</f>
        <v>0</v>
      </c>
      <c r="L23">
        <f>IFERROR(_xlfn.XLOOKUP( IFERROR(_xlfn.XLOOKUP($B23,'Race Results'!W$3:W$22,'Race Results'!$N$3:$N$22),""), 'Race Results'!$N$3:$N$22, 'Race Results'!$E$3:$E$22),"")</f>
        <v>0</v>
      </c>
      <c r="M23">
        <f>IFERROR(_xlfn.XLOOKUP( IFERROR(_xlfn.XLOOKUP($B23,'Race Results'!X$3:X$22,'Race Results'!$N$3:$N$22),""), 'Race Results'!$N$3:$N$22, 'Race Results'!$E$3:$E$22),"")</f>
        <v>0</v>
      </c>
      <c r="N23">
        <f>IFERROR(_xlfn.XLOOKUP( IFERROR(_xlfn.XLOOKUP($B23,'Race Results'!Y$3:Y$22,'Race Results'!$N$3:$N$22),""), 'Race Results'!$N$3:$N$22, 'Race Results'!$E$3:$E$22),"")</f>
        <v>0</v>
      </c>
      <c r="O23">
        <f>IFERROR(_xlfn.XLOOKUP( IFERROR(_xlfn.XLOOKUP($B23,'Race Results'!Z$3:Z$22,'Race Results'!$N$3:$N$22),""), 'Race Results'!$N$3:$N$22, 'Race Results'!$E$3:$E$22),"")</f>
        <v>0</v>
      </c>
      <c r="P23">
        <f>IFERROR(_xlfn.XLOOKUP( IFERROR(_xlfn.XLOOKUP($B23,'Race Results'!AA$3:AA$22,'Race Results'!$N$3:$N$22),""), 'Race Results'!$N$3:$N$22, 'Race Results'!$E$3:$E$22),"")</f>
        <v>0</v>
      </c>
      <c r="Q23">
        <f>IFERROR(_xlfn.XLOOKUP( IFERROR(_xlfn.XLOOKUP($B23,'Race Results'!AB$3:AB$22,'Race Results'!$N$3:$N$22),""), 'Race Results'!$N$3:$N$22, 'Race Results'!$E$3:$E$22),"")</f>
        <v>0</v>
      </c>
      <c r="R23">
        <f>IFERROR(_xlfn.XLOOKUP( IFERROR(_xlfn.XLOOKUP($B23,'Race Results'!AC$3:AC$22,'Race Results'!$N$3:$N$22),""), 'Race Results'!$N$3:$N$22, 'Race Results'!$E$3:$E$22),"")</f>
        <v>0</v>
      </c>
      <c r="S23">
        <f>IFERROR(_xlfn.XLOOKUP( IFERROR(_xlfn.XLOOKUP($B23,'Race Results'!AD$3:AD$22,'Race Results'!$N$3:$N$22),""), 'Race Results'!$N$3:$N$22, 'Race Results'!$E$3:$E$22),"")</f>
        <v>1</v>
      </c>
      <c r="T23">
        <f>IFERROR(_xlfn.XLOOKUP( IFERROR(_xlfn.XLOOKUP($B23,'Race Results'!AE$3:AE$22,'Race Results'!$N$3:$N$22),""), 'Race Results'!$N$3:$N$22, 'Race Results'!$E$3:$E$22),"")</f>
        <v>0</v>
      </c>
      <c r="U23">
        <f>IFERROR(_xlfn.XLOOKUP( IFERROR(_xlfn.XLOOKUP($B23,'Race Results'!AF$3:AF$22,'Race Results'!$N$3:$N$22),""), 'Race Results'!$N$3:$N$22, 'Race Results'!$E$3:$E$22),"")</f>
        <v>0</v>
      </c>
      <c r="V23">
        <f>IFERROR(_xlfn.XLOOKUP( IFERROR(_xlfn.XLOOKUP($B23,'Race Results'!AG$3:AG$22,'Race Results'!$N$3:$N$22),""), 'Race Results'!$N$3:$N$22, 'Race Results'!$E$3:$E$22),"")</f>
        <v>0</v>
      </c>
      <c r="W23">
        <f>IFERROR(_xlfn.XLOOKUP( IFERROR(_xlfn.XLOOKUP($B23,'Race Results'!AH$3:AH$22,'Race Results'!$N$3:$N$22),""), 'Race Results'!$N$3:$N$22, 'Race Results'!$E$3:$E$22),"")</f>
        <v>0</v>
      </c>
      <c r="X23">
        <f>IFERROR(_xlfn.XLOOKUP( IFERROR(_xlfn.XLOOKUP($B23,'Race Results'!AI$3:AI$22,'Race Results'!$N$3:$N$22),""), 'Race Results'!$N$3:$N$22, 'Race Results'!$E$3:$E$22),"")</f>
        <v>0</v>
      </c>
      <c r="Y23">
        <f>IFERROR(_xlfn.XLOOKUP( IFERROR(_xlfn.XLOOKUP($B23,'Race Results'!AJ$3:AJ$22,'Race Results'!$N$3:$N$22),""), 'Race Results'!$N$3:$N$22, 'Race Results'!$E$3:$E$22),"")</f>
        <v>0</v>
      </c>
      <c r="Z23">
        <f>IFERROR(_xlfn.XLOOKUP( IFERROR(_xlfn.XLOOKUP($B23,'Race Results'!AK$3:AK$22,'Race Results'!$N$3:$N$22),""), 'Race Results'!$N$3:$N$22, 'Race Results'!$E$3:$E$22),"")</f>
        <v>0</v>
      </c>
    </row>
    <row r="25" spans="2:26" ht="15.45" customHeight="1" thickBot="1" x14ac:dyDescent="0.35">
      <c r="B25" s="51" t="s">
        <v>368</v>
      </c>
      <c r="C25" s="53" t="s">
        <v>369</v>
      </c>
      <c r="D25" s="28" t="s">
        <v>321</v>
      </c>
      <c r="E25" s="28" t="s">
        <v>322</v>
      </c>
      <c r="F25" s="28" t="s">
        <v>323</v>
      </c>
      <c r="G25" s="28" t="s">
        <v>324</v>
      </c>
      <c r="H25" s="28" t="s">
        <v>325</v>
      </c>
      <c r="I25" s="28" t="s">
        <v>326</v>
      </c>
      <c r="J25" s="28" t="s">
        <v>327</v>
      </c>
      <c r="K25" s="28" t="s">
        <v>328</v>
      </c>
      <c r="L25" s="28" t="s">
        <v>329</v>
      </c>
      <c r="M25" s="28" t="s">
        <v>330</v>
      </c>
      <c r="N25" s="28" t="s">
        <v>331</v>
      </c>
      <c r="O25" s="28" t="s">
        <v>39</v>
      </c>
      <c r="P25" s="28" t="s">
        <v>40</v>
      </c>
      <c r="Q25" s="28" t="s">
        <v>41</v>
      </c>
      <c r="R25" s="28" t="s">
        <v>42</v>
      </c>
      <c r="S25" s="28" t="s">
        <v>43</v>
      </c>
      <c r="T25" s="28" t="s">
        <v>44</v>
      </c>
      <c r="U25" s="28" t="s">
        <v>45</v>
      </c>
      <c r="V25" s="28" t="s">
        <v>46</v>
      </c>
      <c r="W25" s="28" t="s">
        <v>47</v>
      </c>
      <c r="X25" s="28" t="s">
        <v>48</v>
      </c>
      <c r="Y25" s="28" t="s">
        <v>49</v>
      </c>
      <c r="Z25" s="29" t="s">
        <v>50</v>
      </c>
    </row>
    <row r="26" spans="2:26" ht="15" thickTop="1" x14ac:dyDescent="0.3">
      <c r="B26" t="s">
        <v>356</v>
      </c>
      <c r="C26" s="50">
        <f t="shared" ref="C26:C46" si="1">MEDIAN(D26:Z26)</f>
        <v>16</v>
      </c>
      <c r="D26">
        <f>IFERROR(_xlfn.XLOOKUP($B26,'Race Results'!O$3:O$22,'Race Results'!$N$3:$N$22),"")</f>
        <v>12</v>
      </c>
      <c r="E26">
        <f>IFERROR(_xlfn.XLOOKUP($B26,'Race Results'!P$3:P$22,'Race Results'!$N$3:$N$22),"")</f>
        <v>16</v>
      </c>
      <c r="F26">
        <f>IFERROR(_xlfn.XLOOKUP($B26,'Race Results'!Q$3:Q$22,'Race Results'!$N$3:$N$22),"")</f>
        <v>20</v>
      </c>
      <c r="G26">
        <f>IFERROR(_xlfn.XLOOKUP($B26,'Race Results'!R$3:R$22,'Race Results'!$N$3:$N$22),"")</f>
        <v>16</v>
      </c>
      <c r="H26">
        <f>IFERROR(_xlfn.XLOOKUP($B26,'Race Results'!S$3:S$22,'Race Results'!$N$3:$N$22),"")</f>
        <v>20</v>
      </c>
      <c r="I26" t="str">
        <f>IFERROR(_xlfn.XLOOKUP($B26,'Race Results'!T$3:T$22,'Race Results'!$N$3:$N$22),"")</f>
        <v/>
      </c>
      <c r="J26">
        <f>IFERROR(_xlfn.XLOOKUP($B26,'Race Results'!U$3:U$22,'Race Results'!$N$3:$N$22),"")</f>
        <v>18</v>
      </c>
      <c r="K26">
        <f>IFERROR(_xlfn.XLOOKUP($B26,'Race Results'!V$3:V$22,'Race Results'!$N$3:$N$22),"")</f>
        <v>20</v>
      </c>
      <c r="L26">
        <f>IFERROR(_xlfn.XLOOKUP($B26,'Race Results'!W$3:W$22,'Race Results'!$N$3:$N$22),"")</f>
        <v>20</v>
      </c>
      <c r="M26">
        <f>IFERROR(_xlfn.XLOOKUP($B26,'Race Results'!X$3:X$22,'Race Results'!$N$3:$N$22),"")</f>
        <v>13</v>
      </c>
      <c r="N26">
        <f>IFERROR(_xlfn.XLOOKUP($B26,'Race Results'!Y$3:Y$22,'Race Results'!$N$3:$N$22),"")</f>
        <v>11</v>
      </c>
      <c r="O26">
        <f>IFERROR(_xlfn.XLOOKUP($B26,'Race Results'!Z$3:Z$22,'Race Results'!$N$3:$N$22),"")</f>
        <v>20</v>
      </c>
      <c r="P26">
        <f>IFERROR(_xlfn.XLOOKUP($B26,'Race Results'!AA$3:AA$22,'Race Results'!$N$3:$N$22),"")</f>
        <v>18</v>
      </c>
      <c r="Q26">
        <f>IFERROR(_xlfn.XLOOKUP($B26,'Race Results'!AB$3:AB$22,'Race Results'!$N$3:$N$22),"")</f>
        <v>19</v>
      </c>
      <c r="R26">
        <f>IFERROR(_xlfn.XLOOKUP($B26,'Race Results'!AC$3:AC$22,'Race Results'!$N$3:$N$22),"")</f>
        <v>13</v>
      </c>
      <c r="S26">
        <f>IFERROR(_xlfn.XLOOKUP($B26,'Race Results'!AD$3:AD$22,'Race Results'!$N$3:$N$22),"")</f>
        <v>14</v>
      </c>
      <c r="T26">
        <f>IFERROR(_xlfn.XLOOKUP($B26,'Race Results'!AE$3:AE$22,'Race Results'!$N$3:$N$22),"")</f>
        <v>19</v>
      </c>
      <c r="U26">
        <f>IFERROR(_xlfn.XLOOKUP($B26,'Race Results'!AF$3:AF$22,'Race Results'!$N$3:$N$22),"")</f>
        <v>20</v>
      </c>
      <c r="V26">
        <f>IFERROR(_xlfn.XLOOKUP($B26,'Race Results'!AG$3:AG$22,'Race Results'!$N$3:$N$22),"")</f>
        <v>10</v>
      </c>
      <c r="W26">
        <f>IFERROR(_xlfn.XLOOKUP($B26,'Race Results'!AH$3:AH$22,'Race Results'!$N$3:$N$22),"")</f>
        <v>15</v>
      </c>
      <c r="X26">
        <f>IFERROR(_xlfn.XLOOKUP($B26,'Race Results'!AI$3:AI$22,'Race Results'!$N$3:$N$22),"")</f>
        <v>11</v>
      </c>
      <c r="Y26">
        <f>IFERROR(_xlfn.XLOOKUP($B26,'Race Results'!AJ$3:AJ$22,'Race Results'!$N$3:$N$22),"")</f>
        <v>16</v>
      </c>
      <c r="Z26">
        <f>IFERROR(_xlfn.XLOOKUP($B26,'Race Results'!AK$3:AK$22,'Race Results'!$N$3:$N$22),"")</f>
        <v>16</v>
      </c>
    </row>
    <row r="27" spans="2:26" x14ac:dyDescent="0.3">
      <c r="B27" t="s">
        <v>245</v>
      </c>
      <c r="C27" s="50">
        <f t="shared" si="1"/>
        <v>15.5</v>
      </c>
      <c r="D27">
        <f>IFERROR(_xlfn.XLOOKUP($B27,'Race Results'!O$3:O$22,'Race Results'!$N$3:$N$22),"")</f>
        <v>14</v>
      </c>
      <c r="E27">
        <f>IFERROR(_xlfn.XLOOKUP($B27,'Race Results'!P$3:P$22,'Race Results'!$N$3:$N$22),"")</f>
        <v>14</v>
      </c>
      <c r="F27">
        <f>IFERROR(_xlfn.XLOOKUP($B27,'Race Results'!Q$3:Q$22,'Race Results'!$N$3:$N$22),"")</f>
        <v>13</v>
      </c>
      <c r="G27">
        <f>IFERROR(_xlfn.XLOOKUP($B27,'Race Results'!R$3:R$22,'Race Results'!$N$3:$N$22),"")</f>
        <v>20</v>
      </c>
      <c r="H27">
        <f>IFERROR(_xlfn.XLOOKUP($B27,'Race Results'!S$3:S$22,'Race Results'!$N$3:$N$22),"")</f>
        <v>18</v>
      </c>
      <c r="I27" t="str">
        <f>IFERROR(_xlfn.XLOOKUP($B27,'Race Results'!T$3:T$22,'Race Results'!$N$3:$N$22),"")</f>
        <v/>
      </c>
      <c r="J27">
        <f>IFERROR(_xlfn.XLOOKUP($B27,'Race Results'!U$3:U$22,'Race Results'!$N$3:$N$22),"")</f>
        <v>12</v>
      </c>
      <c r="K27">
        <f>IFERROR(_xlfn.XLOOKUP($B27,'Race Results'!V$3:V$22,'Race Results'!$N$3:$N$22),"")</f>
        <v>14</v>
      </c>
      <c r="L27">
        <f>IFERROR(_xlfn.XLOOKUP($B27,'Race Results'!W$3:W$22,'Race Results'!$N$3:$N$22),"")</f>
        <v>18</v>
      </c>
      <c r="M27">
        <f>IFERROR(_xlfn.XLOOKUP($B27,'Race Results'!X$3:X$22,'Race Results'!$N$3:$N$22),"")</f>
        <v>17</v>
      </c>
      <c r="N27">
        <f>IFERROR(_xlfn.XLOOKUP($B27,'Race Results'!Y$3:Y$22,'Race Results'!$N$3:$N$22),"")</f>
        <v>17</v>
      </c>
      <c r="O27" t="str">
        <f>IFERROR(_xlfn.XLOOKUP($B27,'Race Results'!Z$3:Z$22,'Race Results'!$N$3:$N$22),"")</f>
        <v/>
      </c>
      <c r="P27" t="str">
        <f>IFERROR(_xlfn.XLOOKUP($B27,'Race Results'!AA$3:AA$22,'Race Results'!$N$3:$N$22),"")</f>
        <v/>
      </c>
      <c r="Q27" t="str">
        <f>IFERROR(_xlfn.XLOOKUP($B27,'Race Results'!AB$3:AB$22,'Race Results'!$N$3:$N$22),"")</f>
        <v/>
      </c>
      <c r="R27" t="str">
        <f>IFERROR(_xlfn.XLOOKUP($B27,'Race Results'!AC$3:AC$22,'Race Results'!$N$3:$N$22),"")</f>
        <v/>
      </c>
      <c r="S27" t="str">
        <f>IFERROR(_xlfn.XLOOKUP($B27,'Race Results'!AD$3:AD$22,'Race Results'!$N$3:$N$22),"")</f>
        <v/>
      </c>
      <c r="T27" t="str">
        <f>IFERROR(_xlfn.XLOOKUP($B27,'Race Results'!AE$3:AE$22,'Race Results'!$N$3:$N$22),"")</f>
        <v/>
      </c>
      <c r="U27" t="str">
        <f>IFERROR(_xlfn.XLOOKUP($B27,'Race Results'!AF$3:AF$22,'Race Results'!$N$3:$N$22),"")</f>
        <v/>
      </c>
      <c r="V27" t="str">
        <f>IFERROR(_xlfn.XLOOKUP($B27,'Race Results'!AG$3:AG$22,'Race Results'!$N$3:$N$22),"")</f>
        <v/>
      </c>
      <c r="W27" t="str">
        <f>IFERROR(_xlfn.XLOOKUP($B27,'Race Results'!AH$3:AH$22,'Race Results'!$N$3:$N$22),"")</f>
        <v/>
      </c>
      <c r="X27" t="str">
        <f>IFERROR(_xlfn.XLOOKUP($B27,'Race Results'!AI$3:AI$22,'Race Results'!$N$3:$N$22),"")</f>
        <v/>
      </c>
      <c r="Y27" t="str">
        <f>IFERROR(_xlfn.XLOOKUP($B27,'Race Results'!AJ$3:AJ$22,'Race Results'!$N$3:$N$22),"")</f>
        <v/>
      </c>
      <c r="Z27" t="str">
        <f>IFERROR(_xlfn.XLOOKUP($B27,'Race Results'!AK$3:AK$22,'Race Results'!$N$3:$N$22),"")</f>
        <v/>
      </c>
    </row>
    <row r="28" spans="2:26" x14ac:dyDescent="0.3">
      <c r="B28" t="s">
        <v>219</v>
      </c>
      <c r="C28" s="50">
        <f t="shared" si="1"/>
        <v>15.5</v>
      </c>
      <c r="D28">
        <f>IFERROR(_xlfn.XLOOKUP($B28,'Race Results'!O$3:O$22,'Race Results'!$N$3:$N$22),"")</f>
        <v>13</v>
      </c>
      <c r="E28">
        <f>IFERROR(_xlfn.XLOOKUP($B28,'Race Results'!P$3:P$22,'Race Results'!$N$3:$N$22),"")</f>
        <v>10</v>
      </c>
      <c r="F28">
        <f>IFERROR(_xlfn.XLOOKUP($B28,'Race Results'!Q$3:Q$22,'Race Results'!$N$3:$N$22),"")</f>
        <v>17</v>
      </c>
      <c r="G28">
        <f>IFERROR(_xlfn.XLOOKUP($B28,'Race Results'!R$3:R$22,'Race Results'!$N$3:$N$22),"")</f>
        <v>13</v>
      </c>
      <c r="H28">
        <f>IFERROR(_xlfn.XLOOKUP($B28,'Race Results'!S$3:S$22,'Race Results'!$N$3:$N$22),"")</f>
        <v>10</v>
      </c>
      <c r="I28" t="str">
        <f>IFERROR(_xlfn.XLOOKUP($B28,'Race Results'!T$3:T$22,'Race Results'!$N$3:$N$22),"")</f>
        <v/>
      </c>
      <c r="J28">
        <f>IFERROR(_xlfn.XLOOKUP($B28,'Race Results'!U$3:U$22,'Race Results'!$N$3:$N$22),"")</f>
        <v>20</v>
      </c>
      <c r="K28">
        <f>IFERROR(_xlfn.XLOOKUP($B28,'Race Results'!V$3:V$22,'Race Results'!$N$3:$N$22),"")</f>
        <v>18</v>
      </c>
      <c r="L28">
        <f>IFERROR(_xlfn.XLOOKUP($B28,'Race Results'!W$3:W$22,'Race Results'!$N$3:$N$22),"")</f>
        <v>17</v>
      </c>
      <c r="M28">
        <f>IFERROR(_xlfn.XLOOKUP($B28,'Race Results'!X$3:X$22,'Race Results'!$N$3:$N$22),"")</f>
        <v>18</v>
      </c>
      <c r="N28">
        <f>IFERROR(_xlfn.XLOOKUP($B28,'Race Results'!Y$3:Y$22,'Race Results'!$N$3:$N$22),"")</f>
        <v>20</v>
      </c>
      <c r="O28">
        <f>IFERROR(_xlfn.XLOOKUP($B28,'Race Results'!Z$3:Z$22,'Race Results'!$N$3:$N$22),"")</f>
        <v>17</v>
      </c>
      <c r="P28">
        <f>IFERROR(_xlfn.XLOOKUP($B28,'Race Results'!AA$3:AA$22,'Race Results'!$N$3:$N$22),"")</f>
        <v>15</v>
      </c>
      <c r="Q28">
        <f>IFERROR(_xlfn.XLOOKUP($B28,'Race Results'!AB$3:AB$22,'Race Results'!$N$3:$N$22),"")</f>
        <v>14</v>
      </c>
      <c r="R28">
        <f>IFERROR(_xlfn.XLOOKUP($B28,'Race Results'!AC$3:AC$22,'Race Results'!$N$3:$N$22),"")</f>
        <v>18</v>
      </c>
      <c r="S28">
        <f>IFERROR(_xlfn.XLOOKUP($B28,'Race Results'!AD$3:AD$22,'Race Results'!$N$3:$N$22),"")</f>
        <v>10</v>
      </c>
      <c r="T28">
        <f>IFERROR(_xlfn.XLOOKUP($B28,'Race Results'!AE$3:AE$22,'Race Results'!$N$3:$N$22),"")</f>
        <v>15</v>
      </c>
      <c r="U28">
        <f>IFERROR(_xlfn.XLOOKUP($B28,'Race Results'!AF$3:AF$22,'Race Results'!$N$3:$N$22),"")</f>
        <v>14</v>
      </c>
      <c r="V28">
        <f>IFERROR(_xlfn.XLOOKUP($B28,'Race Results'!AG$3:AG$22,'Race Results'!$N$3:$N$22),"")</f>
        <v>14</v>
      </c>
      <c r="W28">
        <f>IFERROR(_xlfn.XLOOKUP($B28,'Race Results'!AH$3:AH$22,'Race Results'!$N$3:$N$22),"")</f>
        <v>19</v>
      </c>
      <c r="X28">
        <f>IFERROR(_xlfn.XLOOKUP($B28,'Race Results'!AI$3:AI$22,'Race Results'!$N$3:$N$22),"")</f>
        <v>16</v>
      </c>
      <c r="Y28">
        <f>IFERROR(_xlfn.XLOOKUP($B28,'Race Results'!AJ$3:AJ$22,'Race Results'!$N$3:$N$22),"")</f>
        <v>13</v>
      </c>
      <c r="Z28">
        <f>IFERROR(_xlfn.XLOOKUP($B28,'Race Results'!AK$3:AK$22,'Race Results'!$N$3:$N$22),"")</f>
        <v>19</v>
      </c>
    </row>
    <row r="29" spans="2:26" x14ac:dyDescent="0.3">
      <c r="B29" t="s">
        <v>174</v>
      </c>
      <c r="C29" s="50">
        <f t="shared" si="1"/>
        <v>15</v>
      </c>
      <c r="D29">
        <f>IFERROR(_xlfn.XLOOKUP($B29,'Race Results'!O$3:O$22,'Race Results'!$N$3:$N$22),"")</f>
        <v>15</v>
      </c>
      <c r="E29">
        <f>IFERROR(_xlfn.XLOOKUP($B29,'Race Results'!P$3:P$22,'Race Results'!$N$3:$N$22),"")</f>
        <v>12</v>
      </c>
      <c r="F29">
        <f>IFERROR(_xlfn.XLOOKUP($B29,'Race Results'!Q$3:Q$22,'Race Results'!$N$3:$N$22),"")</f>
        <v>7</v>
      </c>
      <c r="G29">
        <f>IFERROR(_xlfn.XLOOKUP($B29,'Race Results'!R$3:R$22,'Race Results'!$N$3:$N$22),"")</f>
        <v>17</v>
      </c>
      <c r="H29">
        <f>IFERROR(_xlfn.XLOOKUP($B29,'Race Results'!S$3:S$22,'Race Results'!$N$3:$N$22),"")</f>
        <v>15</v>
      </c>
      <c r="I29" t="str">
        <f>IFERROR(_xlfn.XLOOKUP($B29,'Race Results'!T$3:T$22,'Race Results'!$N$3:$N$22),"")</f>
        <v/>
      </c>
      <c r="J29">
        <f>IFERROR(_xlfn.XLOOKUP($B29,'Race Results'!U$3:U$22,'Race Results'!$N$3:$N$22),"")</f>
        <v>16</v>
      </c>
      <c r="K29">
        <f>IFERROR(_xlfn.XLOOKUP($B29,'Race Results'!V$3:V$22,'Race Results'!$N$3:$N$22),"")</f>
        <v>15</v>
      </c>
      <c r="L29">
        <f>IFERROR(_xlfn.XLOOKUP($B29,'Race Results'!W$3:W$22,'Race Results'!$N$3:$N$22),"")</f>
        <v>15</v>
      </c>
      <c r="M29">
        <f>IFERROR(_xlfn.XLOOKUP($B29,'Race Results'!X$3:X$22,'Race Results'!$N$3:$N$22),"")</f>
        <v>20</v>
      </c>
      <c r="N29">
        <f>IFERROR(_xlfn.XLOOKUP($B29,'Race Results'!Y$3:Y$22,'Race Results'!$N$3:$N$22),"")</f>
        <v>13</v>
      </c>
      <c r="O29">
        <f>IFERROR(_xlfn.XLOOKUP($B29,'Race Results'!Z$3:Z$22,'Race Results'!$N$3:$N$22),"")</f>
        <v>14</v>
      </c>
      <c r="P29">
        <f>IFERROR(_xlfn.XLOOKUP($B29,'Race Results'!AA$3:AA$22,'Race Results'!$N$3:$N$22),"")</f>
        <v>17</v>
      </c>
      <c r="Q29">
        <f>IFERROR(_xlfn.XLOOKUP($B29,'Race Results'!AB$3:AB$22,'Race Results'!$N$3:$N$22),"")</f>
        <v>12</v>
      </c>
      <c r="R29">
        <f>IFERROR(_xlfn.XLOOKUP($B29,'Race Results'!AC$3:AC$22,'Race Results'!$N$3:$N$22),"")</f>
        <v>17</v>
      </c>
      <c r="S29">
        <f>IFERROR(_xlfn.XLOOKUP($B29,'Race Results'!AD$3:AD$22,'Race Results'!$N$3:$N$22),"")</f>
        <v>13</v>
      </c>
      <c r="T29">
        <f>IFERROR(_xlfn.XLOOKUP($B29,'Race Results'!AE$3:AE$22,'Race Results'!$N$3:$N$22),"")</f>
        <v>14</v>
      </c>
      <c r="U29">
        <f>IFERROR(_xlfn.XLOOKUP($B29,'Race Results'!AF$3:AF$22,'Race Results'!$N$3:$N$22),"")</f>
        <v>16</v>
      </c>
      <c r="V29">
        <f>IFERROR(_xlfn.XLOOKUP($B29,'Race Results'!AG$3:AG$22,'Race Results'!$N$3:$N$22),"")</f>
        <v>11</v>
      </c>
      <c r="W29">
        <f>IFERROR(_xlfn.XLOOKUP($B29,'Race Results'!AH$3:AH$22,'Race Results'!$N$3:$N$22),"")</f>
        <v>13</v>
      </c>
      <c r="X29">
        <f>IFERROR(_xlfn.XLOOKUP($B29,'Race Results'!AI$3:AI$22,'Race Results'!$N$3:$N$22),"")</f>
        <v>12</v>
      </c>
      <c r="Y29">
        <f>IFERROR(_xlfn.XLOOKUP($B29,'Race Results'!AJ$3:AJ$22,'Race Results'!$N$3:$N$22),"")</f>
        <v>19</v>
      </c>
      <c r="Z29">
        <f>IFERROR(_xlfn.XLOOKUP($B29,'Race Results'!AK$3:AK$22,'Race Results'!$N$3:$N$22),"")</f>
        <v>15</v>
      </c>
    </row>
    <row r="30" spans="2:26" x14ac:dyDescent="0.3">
      <c r="B30" t="s">
        <v>179</v>
      </c>
      <c r="C30" s="50">
        <f t="shared" si="1"/>
        <v>14</v>
      </c>
      <c r="D30">
        <f>IFERROR(_xlfn.XLOOKUP($B30,'Race Results'!O$3:O$22,'Race Results'!$N$3:$N$22),"")</f>
        <v>11</v>
      </c>
      <c r="E30">
        <f>IFERROR(_xlfn.XLOOKUP($B30,'Race Results'!P$3:P$22,'Race Results'!$N$3:$N$22),"")</f>
        <v>11</v>
      </c>
      <c r="F30">
        <f>IFERROR(_xlfn.XLOOKUP($B30,'Race Results'!Q$3:Q$22,'Race Results'!$N$3:$N$22),"")</f>
        <v>10</v>
      </c>
      <c r="G30">
        <f>IFERROR(_xlfn.XLOOKUP($B30,'Race Results'!R$3:R$22,'Race Results'!$N$3:$N$22),"")</f>
        <v>10</v>
      </c>
      <c r="H30">
        <f>IFERROR(_xlfn.XLOOKUP($B30,'Race Results'!S$3:S$22,'Race Results'!$N$3:$N$22),"")</f>
        <v>11</v>
      </c>
      <c r="I30" t="str">
        <f>IFERROR(_xlfn.XLOOKUP($B30,'Race Results'!T$3:T$22,'Race Results'!$N$3:$N$22),"")</f>
        <v/>
      </c>
      <c r="J30">
        <f>IFERROR(_xlfn.XLOOKUP($B30,'Race Results'!U$3:U$22,'Race Results'!$N$3:$N$22),"")</f>
        <v>15</v>
      </c>
      <c r="K30">
        <f>IFERROR(_xlfn.XLOOKUP($B30,'Race Results'!V$3:V$22,'Race Results'!$N$3:$N$22),"")</f>
        <v>12</v>
      </c>
      <c r="L30">
        <f>IFERROR(_xlfn.XLOOKUP($B30,'Race Results'!W$3:W$22,'Race Results'!$N$3:$N$22),"")</f>
        <v>14</v>
      </c>
      <c r="M30">
        <f>IFERROR(_xlfn.XLOOKUP($B30,'Race Results'!X$3:X$22,'Race Results'!$N$3:$N$22),"")</f>
        <v>19</v>
      </c>
      <c r="N30">
        <f>IFERROR(_xlfn.XLOOKUP($B30,'Race Results'!Y$3:Y$22,'Race Results'!$N$3:$N$22),"")</f>
        <v>16</v>
      </c>
      <c r="O30">
        <f>IFERROR(_xlfn.XLOOKUP($B30,'Race Results'!Z$3:Z$22,'Race Results'!$N$3:$N$22),"")</f>
        <v>15</v>
      </c>
      <c r="P30">
        <f>IFERROR(_xlfn.XLOOKUP($B30,'Race Results'!AA$3:AA$22,'Race Results'!$N$3:$N$22),"")</f>
        <v>10</v>
      </c>
      <c r="Q30">
        <f>IFERROR(_xlfn.XLOOKUP($B30,'Race Results'!AB$3:AB$22,'Race Results'!$N$3:$N$22),"")</f>
        <v>16</v>
      </c>
      <c r="R30">
        <f>IFERROR(_xlfn.XLOOKUP($B30,'Race Results'!AC$3:AC$22,'Race Results'!$N$3:$N$22),"")</f>
        <v>20</v>
      </c>
      <c r="S30">
        <f>IFERROR(_xlfn.XLOOKUP($B30,'Race Results'!AD$3:AD$22,'Race Results'!$N$3:$N$22),"")</f>
        <v>19</v>
      </c>
      <c r="T30" t="str">
        <f>IFERROR(_xlfn.XLOOKUP($B30,'Race Results'!AE$3:AE$22,'Race Results'!$N$3:$N$22),"")</f>
        <v/>
      </c>
      <c r="U30" t="str">
        <f>IFERROR(_xlfn.XLOOKUP($B30,'Race Results'!AF$3:AF$22,'Race Results'!$N$3:$N$22),"")</f>
        <v/>
      </c>
      <c r="V30" t="str">
        <f>IFERROR(_xlfn.XLOOKUP($B30,'Race Results'!AG$3:AG$22,'Race Results'!$N$3:$N$22),"")</f>
        <v/>
      </c>
      <c r="W30" t="str">
        <f>IFERROR(_xlfn.XLOOKUP($B30,'Race Results'!AH$3:AH$22,'Race Results'!$N$3:$N$22),"")</f>
        <v/>
      </c>
      <c r="X30" t="str">
        <f>IFERROR(_xlfn.XLOOKUP($B30,'Race Results'!AI$3:AI$22,'Race Results'!$N$3:$N$22),"")</f>
        <v/>
      </c>
      <c r="Y30" t="str">
        <f>IFERROR(_xlfn.XLOOKUP($B30,'Race Results'!AJ$3:AJ$22,'Race Results'!$N$3:$N$22),"")</f>
        <v/>
      </c>
      <c r="Z30" t="str">
        <f>IFERROR(_xlfn.XLOOKUP($B30,'Race Results'!AK$3:AK$22,'Race Results'!$N$3:$N$22),"")</f>
        <v/>
      </c>
    </row>
    <row r="31" spans="2:26" x14ac:dyDescent="0.3">
      <c r="B31" t="s">
        <v>189</v>
      </c>
      <c r="C31" s="50">
        <f t="shared" si="1"/>
        <v>14</v>
      </c>
      <c r="D31">
        <f>IFERROR(_xlfn.XLOOKUP($B31,'Race Results'!O$3:O$22,'Race Results'!$N$3:$N$22),"")</f>
        <v>16</v>
      </c>
      <c r="E31">
        <f>IFERROR(_xlfn.XLOOKUP($B31,'Race Results'!P$3:P$22,'Race Results'!$N$3:$N$22),"")</f>
        <v>13</v>
      </c>
      <c r="F31">
        <f>IFERROR(_xlfn.XLOOKUP($B31,'Race Results'!Q$3:Q$22,'Race Results'!$N$3:$N$22),"")</f>
        <v>9</v>
      </c>
      <c r="G31">
        <f>IFERROR(_xlfn.XLOOKUP($B31,'Race Results'!R$3:R$22,'Race Results'!$N$3:$N$22),"")</f>
        <v>19</v>
      </c>
      <c r="H31">
        <f>IFERROR(_xlfn.XLOOKUP($B31,'Race Results'!S$3:S$22,'Race Results'!$N$3:$N$22),"")</f>
        <v>16</v>
      </c>
      <c r="I31" t="str">
        <f>IFERROR(_xlfn.XLOOKUP($B31,'Race Results'!T$3:T$22,'Race Results'!$N$3:$N$22),"")</f>
        <v/>
      </c>
      <c r="J31">
        <f>IFERROR(_xlfn.XLOOKUP($B31,'Race Results'!U$3:U$22,'Race Results'!$N$3:$N$22),"")</f>
        <v>13</v>
      </c>
      <c r="K31">
        <f>IFERROR(_xlfn.XLOOKUP($B31,'Race Results'!V$3:V$22,'Race Results'!$N$3:$N$22),"")</f>
        <v>9</v>
      </c>
      <c r="L31">
        <f>IFERROR(_xlfn.XLOOKUP($B31,'Race Results'!W$3:W$22,'Race Results'!$N$3:$N$22),"")</f>
        <v>16</v>
      </c>
      <c r="M31">
        <f>IFERROR(_xlfn.XLOOKUP($B31,'Race Results'!X$3:X$22,'Race Results'!$N$3:$N$22),"")</f>
        <v>12</v>
      </c>
      <c r="N31">
        <f>IFERROR(_xlfn.XLOOKUP($B31,'Race Results'!Y$3:Y$22,'Race Results'!$N$3:$N$22),"")</f>
        <v>15</v>
      </c>
      <c r="O31">
        <f>IFERROR(_xlfn.XLOOKUP($B31,'Race Results'!Z$3:Z$22,'Race Results'!$N$3:$N$22),"")</f>
        <v>16</v>
      </c>
      <c r="P31">
        <f>IFERROR(_xlfn.XLOOKUP($B31,'Race Results'!AA$3:AA$22,'Race Results'!$N$3:$N$22),"")</f>
        <v>13</v>
      </c>
      <c r="Q31">
        <f>IFERROR(_xlfn.XLOOKUP($B31,'Race Results'!AB$3:AB$22,'Race Results'!$N$3:$N$22),"")</f>
        <v>20</v>
      </c>
      <c r="R31">
        <f>IFERROR(_xlfn.XLOOKUP($B31,'Race Results'!AC$3:AC$22,'Race Results'!$N$3:$N$22),"")</f>
        <v>14</v>
      </c>
      <c r="S31">
        <f>IFERROR(_xlfn.XLOOKUP($B31,'Race Results'!AD$3:AD$22,'Race Results'!$N$3:$N$22),"")</f>
        <v>12</v>
      </c>
      <c r="T31">
        <f>IFERROR(_xlfn.XLOOKUP($B31,'Race Results'!AE$3:AE$22,'Race Results'!$N$3:$N$22),"")</f>
        <v>13</v>
      </c>
      <c r="U31">
        <f>IFERROR(_xlfn.XLOOKUP($B31,'Race Results'!AF$3:AF$22,'Race Results'!$N$3:$N$22),"")</f>
        <v>9</v>
      </c>
      <c r="V31">
        <f>IFERROR(_xlfn.XLOOKUP($B31,'Race Results'!AG$3:AG$22,'Race Results'!$N$3:$N$22),"")</f>
        <v>13</v>
      </c>
      <c r="W31">
        <f>IFERROR(_xlfn.XLOOKUP($B31,'Race Results'!AH$3:AH$22,'Race Results'!$N$3:$N$22),"")</f>
        <v>14</v>
      </c>
      <c r="X31">
        <f>IFERROR(_xlfn.XLOOKUP($B31,'Race Results'!AI$3:AI$22,'Race Results'!$N$3:$N$22),"")</f>
        <v>19</v>
      </c>
      <c r="Y31">
        <f>IFERROR(_xlfn.XLOOKUP($B31,'Race Results'!AJ$3:AJ$22,'Race Results'!$N$3:$N$22),"")</f>
        <v>15</v>
      </c>
      <c r="Z31">
        <f>IFERROR(_xlfn.XLOOKUP($B31,'Race Results'!AK$3:AK$22,'Race Results'!$N$3:$N$22),"")</f>
        <v>17</v>
      </c>
    </row>
    <row r="32" spans="2:26" x14ac:dyDescent="0.3">
      <c r="B32" t="s">
        <v>495</v>
      </c>
      <c r="C32" s="50">
        <f t="shared" si="1"/>
        <v>13</v>
      </c>
      <c r="D32" t="str">
        <f>IFERROR(_xlfn.XLOOKUP($B32,'Race Results'!O$3:O$22,'Race Results'!$N$3:$N$22),"")</f>
        <v/>
      </c>
      <c r="E32" t="str">
        <f>IFERROR(_xlfn.XLOOKUP($B32,'Race Results'!P$3:P$22,'Race Results'!$N$3:$N$22),"")</f>
        <v/>
      </c>
      <c r="F32" t="str">
        <f>IFERROR(_xlfn.XLOOKUP($B32,'Race Results'!Q$3:Q$22,'Race Results'!$N$3:$N$22),"")</f>
        <v/>
      </c>
      <c r="G32" t="str">
        <f>IFERROR(_xlfn.XLOOKUP($B32,'Race Results'!R$3:R$22,'Race Results'!$N$3:$N$22),"")</f>
        <v/>
      </c>
      <c r="H32" t="str">
        <f>IFERROR(_xlfn.XLOOKUP($B32,'Race Results'!S$3:S$22,'Race Results'!$N$3:$N$22),"")</f>
        <v/>
      </c>
      <c r="I32" t="str">
        <f>IFERROR(_xlfn.XLOOKUP($B32,'Race Results'!T$3:T$22,'Race Results'!$N$3:$N$22),"")</f>
        <v/>
      </c>
      <c r="J32" t="str">
        <f>IFERROR(_xlfn.XLOOKUP($B32,'Race Results'!U$3:U$22,'Race Results'!$N$3:$N$22),"")</f>
        <v/>
      </c>
      <c r="K32" t="str">
        <f>IFERROR(_xlfn.XLOOKUP($B32,'Race Results'!V$3:V$22,'Race Results'!$N$3:$N$22),"")</f>
        <v/>
      </c>
      <c r="L32" t="str">
        <f>IFERROR(_xlfn.XLOOKUP($B32,'Race Results'!W$3:W$22,'Race Results'!$N$3:$N$22),"")</f>
        <v/>
      </c>
      <c r="M32" t="str">
        <f>IFERROR(_xlfn.XLOOKUP($B32,'Race Results'!X$3:X$22,'Race Results'!$N$3:$N$22),"")</f>
        <v/>
      </c>
      <c r="N32" t="str">
        <f>IFERROR(_xlfn.XLOOKUP($B32,'Race Results'!Y$3:Y$22,'Race Results'!$N$3:$N$22),"")</f>
        <v/>
      </c>
      <c r="O32">
        <f>IFERROR(_xlfn.XLOOKUP($B32,'Race Results'!Z$3:Z$22,'Race Results'!$N$3:$N$22),"")</f>
        <v>13</v>
      </c>
      <c r="P32">
        <f>IFERROR(_xlfn.XLOOKUP($B32,'Race Results'!AA$3:AA$22,'Race Results'!$N$3:$N$22),"")</f>
        <v>16</v>
      </c>
      <c r="Q32" t="str">
        <f>IFERROR(_xlfn.XLOOKUP($B32,'Race Results'!AB$3:AB$22,'Race Results'!$N$3:$N$22),"")</f>
        <v/>
      </c>
      <c r="R32" t="str">
        <f>IFERROR(_xlfn.XLOOKUP($B32,'Race Results'!AC$3:AC$22,'Race Results'!$N$3:$N$22),"")</f>
        <v/>
      </c>
      <c r="S32" t="str">
        <f>IFERROR(_xlfn.XLOOKUP($B32,'Race Results'!AD$3:AD$22,'Race Results'!$N$3:$N$22),"")</f>
        <v/>
      </c>
      <c r="T32" t="str">
        <f>IFERROR(_xlfn.XLOOKUP($B32,'Race Results'!AE$3:AE$22,'Race Results'!$N$3:$N$22),"")</f>
        <v/>
      </c>
      <c r="U32" t="str">
        <f>IFERROR(_xlfn.XLOOKUP($B32,'Race Results'!AF$3:AF$22,'Race Results'!$N$3:$N$22),"")</f>
        <v/>
      </c>
      <c r="V32">
        <f>IFERROR(_xlfn.XLOOKUP($B32,'Race Results'!AG$3:AG$22,'Race Results'!$N$3:$N$22),"")</f>
        <v>15</v>
      </c>
      <c r="W32">
        <f>IFERROR(_xlfn.XLOOKUP($B32,'Race Results'!AH$3:AH$22,'Race Results'!$N$3:$N$22),"")</f>
        <v>7</v>
      </c>
      <c r="X32">
        <f>IFERROR(_xlfn.XLOOKUP($B32,'Race Results'!AI$3:AI$22,'Race Results'!$N$3:$N$22),"")</f>
        <v>13</v>
      </c>
      <c r="Y32">
        <f>IFERROR(_xlfn.XLOOKUP($B32,'Race Results'!AJ$3:AJ$22,'Race Results'!$N$3:$N$22),"")</f>
        <v>14</v>
      </c>
      <c r="Z32">
        <f>IFERROR(_xlfn.XLOOKUP($B32,'Race Results'!AK$3:AK$22,'Race Results'!$N$3:$N$22),"")</f>
        <v>11</v>
      </c>
    </row>
    <row r="33" spans="2:26" x14ac:dyDescent="0.3">
      <c r="B33" t="s">
        <v>176</v>
      </c>
      <c r="C33" s="50">
        <f t="shared" si="1"/>
        <v>14</v>
      </c>
      <c r="D33">
        <f>IFERROR(_xlfn.XLOOKUP($B33,'Race Results'!O$3:O$22,'Race Results'!$N$3:$N$22),"")</f>
        <v>8</v>
      </c>
      <c r="E33">
        <f>IFERROR(_xlfn.XLOOKUP($B33,'Race Results'!P$3:P$22,'Race Results'!$N$3:$N$22),"")</f>
        <v>18</v>
      </c>
      <c r="F33">
        <f>IFERROR(_xlfn.XLOOKUP($B33,'Race Results'!Q$3:Q$22,'Race Results'!$N$3:$N$22),"")</f>
        <v>11</v>
      </c>
      <c r="G33">
        <f>IFERROR(_xlfn.XLOOKUP($B33,'Race Results'!R$3:R$22,'Race Results'!$N$3:$N$22),"")</f>
        <v>18</v>
      </c>
      <c r="H33">
        <f>IFERROR(_xlfn.XLOOKUP($B33,'Race Results'!S$3:S$22,'Race Results'!$N$3:$N$22),"")</f>
        <v>13</v>
      </c>
      <c r="I33" t="str">
        <f>IFERROR(_xlfn.XLOOKUP($B33,'Race Results'!T$3:T$22,'Race Results'!$N$3:$N$22),"")</f>
        <v/>
      </c>
      <c r="J33">
        <f>IFERROR(_xlfn.XLOOKUP($B33,'Race Results'!U$3:U$22,'Race Results'!$N$3:$N$22),"")</f>
        <v>11</v>
      </c>
      <c r="K33">
        <f>IFERROR(_xlfn.XLOOKUP($B33,'Race Results'!V$3:V$22,'Race Results'!$N$3:$N$22),"")</f>
        <v>19</v>
      </c>
      <c r="L33">
        <f>IFERROR(_xlfn.XLOOKUP($B33,'Race Results'!W$3:W$22,'Race Results'!$N$3:$N$22),"")</f>
        <v>10</v>
      </c>
      <c r="M33">
        <f>IFERROR(_xlfn.XLOOKUP($B33,'Race Results'!X$3:X$22,'Race Results'!$N$3:$N$22),"")</f>
        <v>15</v>
      </c>
      <c r="N33">
        <f>IFERROR(_xlfn.XLOOKUP($B33,'Race Results'!Y$3:Y$22,'Race Results'!$N$3:$N$22),"")</f>
        <v>12</v>
      </c>
      <c r="O33">
        <f>IFERROR(_xlfn.XLOOKUP($B33,'Race Results'!Z$3:Z$22,'Race Results'!$N$3:$N$22),"")</f>
        <v>12</v>
      </c>
      <c r="P33">
        <f>IFERROR(_xlfn.XLOOKUP($B33,'Race Results'!AA$3:AA$22,'Race Results'!$N$3:$N$22),"")</f>
        <v>12</v>
      </c>
      <c r="Q33">
        <f>IFERROR(_xlfn.XLOOKUP($B33,'Race Results'!AB$3:AB$22,'Race Results'!$N$3:$N$22),"")</f>
        <v>15</v>
      </c>
      <c r="R33">
        <f>IFERROR(_xlfn.XLOOKUP($B33,'Race Results'!AC$3:AC$22,'Race Results'!$N$3:$N$22),"")</f>
        <v>10</v>
      </c>
      <c r="S33">
        <f>IFERROR(_xlfn.XLOOKUP($B33,'Race Results'!AD$3:AD$22,'Race Results'!$N$3:$N$22),"")</f>
        <v>17</v>
      </c>
      <c r="T33">
        <f>IFERROR(_xlfn.XLOOKUP($B33,'Race Results'!AE$3:AE$22,'Race Results'!$N$3:$N$22),"")</f>
        <v>17</v>
      </c>
      <c r="U33">
        <f>IFERROR(_xlfn.XLOOKUP($B33,'Race Results'!AF$3:AF$22,'Race Results'!$N$3:$N$22),"")</f>
        <v>8</v>
      </c>
      <c r="V33">
        <f>IFERROR(_xlfn.XLOOKUP($B33,'Race Results'!AG$3:AG$22,'Race Results'!$N$3:$N$22),"")</f>
        <v>12</v>
      </c>
      <c r="W33">
        <f>IFERROR(_xlfn.XLOOKUP($B33,'Race Results'!AH$3:AH$22,'Race Results'!$N$3:$N$22),"")</f>
        <v>16</v>
      </c>
      <c r="X33">
        <f>IFERROR(_xlfn.XLOOKUP($B33,'Race Results'!AI$3:AI$22,'Race Results'!$N$3:$N$22),"")</f>
        <v>18</v>
      </c>
      <c r="Y33">
        <f>IFERROR(_xlfn.XLOOKUP($B33,'Race Results'!AJ$3:AJ$22,'Race Results'!$N$3:$N$22),"")</f>
        <v>17</v>
      </c>
      <c r="Z33">
        <f>IFERROR(_xlfn.XLOOKUP($B33,'Race Results'!AK$3:AK$22,'Race Results'!$N$3:$N$22),"")</f>
        <v>18</v>
      </c>
    </row>
    <row r="34" spans="2:26" x14ac:dyDescent="0.3">
      <c r="B34" t="s">
        <v>168</v>
      </c>
      <c r="C34" s="50">
        <f t="shared" si="1"/>
        <v>12</v>
      </c>
      <c r="D34">
        <f>IFERROR(_xlfn.XLOOKUP($B34,'Race Results'!O$3:O$22,'Race Results'!$N$3:$N$22),"")</f>
        <v>10</v>
      </c>
      <c r="E34">
        <f>IFERROR(_xlfn.XLOOKUP($B34,'Race Results'!P$3:P$22,'Race Results'!$N$3:$N$22),"")</f>
        <v>19</v>
      </c>
      <c r="F34">
        <f>IFERROR(_xlfn.XLOOKUP($B34,'Race Results'!Q$3:Q$22,'Race Results'!$N$3:$N$22),"")</f>
        <v>19</v>
      </c>
      <c r="G34">
        <f>IFERROR(_xlfn.XLOOKUP($B34,'Race Results'!R$3:R$22,'Race Results'!$N$3:$N$22),"")</f>
        <v>12</v>
      </c>
      <c r="H34">
        <f>IFERROR(_xlfn.XLOOKUP($B34,'Race Results'!S$3:S$22,'Race Results'!$N$3:$N$22),"")</f>
        <v>14</v>
      </c>
      <c r="I34" t="str">
        <f>IFERROR(_xlfn.XLOOKUP($B34,'Race Results'!T$3:T$22,'Race Results'!$N$3:$N$22),"")</f>
        <v/>
      </c>
      <c r="J34">
        <f>IFERROR(_xlfn.XLOOKUP($B34,'Race Results'!U$3:U$22,'Race Results'!$N$3:$N$22),"")</f>
        <v>14</v>
      </c>
      <c r="K34">
        <f>IFERROR(_xlfn.XLOOKUP($B34,'Race Results'!V$3:V$22,'Race Results'!$N$3:$N$22),"")</f>
        <v>16</v>
      </c>
      <c r="L34">
        <f>IFERROR(_xlfn.XLOOKUP($B34,'Race Results'!W$3:W$22,'Race Results'!$N$3:$N$22),"")</f>
        <v>7</v>
      </c>
      <c r="M34">
        <f>IFERROR(_xlfn.XLOOKUP($B34,'Race Results'!X$3:X$22,'Race Results'!$N$3:$N$22),"")</f>
        <v>11</v>
      </c>
      <c r="N34">
        <f>IFERROR(_xlfn.XLOOKUP($B34,'Race Results'!Y$3:Y$22,'Race Results'!$N$3:$N$22),"")</f>
        <v>8</v>
      </c>
      <c r="O34">
        <f>IFERROR(_xlfn.XLOOKUP($B34,'Race Results'!Z$3:Z$22,'Race Results'!$N$3:$N$22),"")</f>
        <v>11</v>
      </c>
      <c r="P34">
        <f>IFERROR(_xlfn.XLOOKUP($B34,'Race Results'!AA$3:AA$22,'Race Results'!$N$3:$N$22),"")</f>
        <v>14</v>
      </c>
      <c r="Q34">
        <f>IFERROR(_xlfn.XLOOKUP($B34,'Race Results'!AB$3:AB$22,'Race Results'!$N$3:$N$22),"")</f>
        <v>8</v>
      </c>
      <c r="R34">
        <f>IFERROR(_xlfn.XLOOKUP($B34,'Race Results'!AC$3:AC$22,'Race Results'!$N$3:$N$22),"")</f>
        <v>7</v>
      </c>
      <c r="S34">
        <f>IFERROR(_xlfn.XLOOKUP($B34,'Race Results'!AD$3:AD$22,'Race Results'!$N$3:$N$22),"")</f>
        <v>11</v>
      </c>
      <c r="T34">
        <f>IFERROR(_xlfn.XLOOKUP($B34,'Race Results'!AE$3:AE$22,'Race Results'!$N$3:$N$22),"")</f>
        <v>16</v>
      </c>
      <c r="U34">
        <f>IFERROR(_xlfn.XLOOKUP($B34,'Race Results'!AF$3:AF$22,'Race Results'!$N$3:$N$22),"")</f>
        <v>13</v>
      </c>
      <c r="V34">
        <f>IFERROR(_xlfn.XLOOKUP($B34,'Race Results'!AG$3:AG$22,'Race Results'!$N$3:$N$22),"")</f>
        <v>9</v>
      </c>
      <c r="W34">
        <f>IFERROR(_xlfn.XLOOKUP($B34,'Race Results'!AH$3:AH$22,'Race Results'!$N$3:$N$22),"")</f>
        <v>9</v>
      </c>
      <c r="X34">
        <f>IFERROR(_xlfn.XLOOKUP($B34,'Race Results'!AI$3:AI$22,'Race Results'!$N$3:$N$22),"")</f>
        <v>17</v>
      </c>
      <c r="Y34">
        <f>IFERROR(_xlfn.XLOOKUP($B34,'Race Results'!AJ$3:AJ$22,'Race Results'!$N$3:$N$22),"")</f>
        <v>12</v>
      </c>
      <c r="Z34">
        <f>IFERROR(_xlfn.XLOOKUP($B34,'Race Results'!AK$3:AK$22,'Race Results'!$N$3:$N$22),"")</f>
        <v>14</v>
      </c>
    </row>
    <row r="35" spans="2:26" x14ac:dyDescent="0.3">
      <c r="B35" t="s">
        <v>172</v>
      </c>
      <c r="C35" s="50">
        <f t="shared" si="1"/>
        <v>10.5</v>
      </c>
      <c r="D35">
        <f>IFERROR(_xlfn.XLOOKUP($B35,'Race Results'!O$3:O$22,'Race Results'!$N$3:$N$22),"")</f>
        <v>20</v>
      </c>
      <c r="E35">
        <f>IFERROR(_xlfn.XLOOKUP($B35,'Race Results'!P$3:P$22,'Race Results'!$N$3:$N$22),"")</f>
        <v>15</v>
      </c>
      <c r="F35">
        <f>IFERROR(_xlfn.XLOOKUP($B35,'Race Results'!Q$3:Q$22,'Race Results'!$N$3:$N$22),"")</f>
        <v>8</v>
      </c>
      <c r="G35">
        <f>IFERROR(_xlfn.XLOOKUP($B35,'Race Results'!R$3:R$22,'Race Results'!$N$3:$N$22),"")</f>
        <v>11</v>
      </c>
      <c r="H35">
        <f>IFERROR(_xlfn.XLOOKUP($B35,'Race Results'!S$3:S$22,'Race Results'!$N$3:$N$22),"")</f>
        <v>19</v>
      </c>
      <c r="I35" t="str">
        <f>IFERROR(_xlfn.XLOOKUP($B35,'Race Results'!T$3:T$22,'Race Results'!$N$3:$N$22),"")</f>
        <v/>
      </c>
      <c r="J35">
        <f>IFERROR(_xlfn.XLOOKUP($B35,'Race Results'!U$3:U$22,'Race Results'!$N$3:$N$22),"")</f>
        <v>10</v>
      </c>
      <c r="K35">
        <f>IFERROR(_xlfn.XLOOKUP($B35,'Race Results'!V$3:V$22,'Race Results'!$N$3:$N$22),"")</f>
        <v>13</v>
      </c>
      <c r="L35">
        <f>IFERROR(_xlfn.XLOOKUP($B35,'Race Results'!W$3:W$22,'Race Results'!$N$3:$N$22),"")</f>
        <v>11</v>
      </c>
      <c r="M35">
        <f>IFERROR(_xlfn.XLOOKUP($B35,'Race Results'!X$3:X$22,'Race Results'!$N$3:$N$22),"")</f>
        <v>16</v>
      </c>
      <c r="N35">
        <f>IFERROR(_xlfn.XLOOKUP($B35,'Race Results'!Y$3:Y$22,'Race Results'!$N$3:$N$22),"")</f>
        <v>4</v>
      </c>
      <c r="O35">
        <f>IFERROR(_xlfn.XLOOKUP($B35,'Race Results'!Z$3:Z$22,'Race Results'!$N$3:$N$22),"")</f>
        <v>5</v>
      </c>
      <c r="P35">
        <f>IFERROR(_xlfn.XLOOKUP($B35,'Race Results'!AA$3:AA$22,'Race Results'!$N$3:$N$22),"")</f>
        <v>19</v>
      </c>
      <c r="Q35">
        <f>IFERROR(_xlfn.XLOOKUP($B35,'Race Results'!AB$3:AB$22,'Race Results'!$N$3:$N$22),"")</f>
        <v>9</v>
      </c>
      <c r="R35">
        <f>IFERROR(_xlfn.XLOOKUP($B35,'Race Results'!AC$3:AC$22,'Race Results'!$N$3:$N$22),"")</f>
        <v>12</v>
      </c>
      <c r="S35">
        <f>IFERROR(_xlfn.XLOOKUP($B35,'Race Results'!AD$3:AD$22,'Race Results'!$N$3:$N$22),"")</f>
        <v>7</v>
      </c>
      <c r="T35">
        <f>IFERROR(_xlfn.XLOOKUP($B35,'Race Results'!AE$3:AE$22,'Race Results'!$N$3:$N$22),"")</f>
        <v>3</v>
      </c>
      <c r="U35">
        <f>IFERROR(_xlfn.XLOOKUP($B35,'Race Results'!AF$3:AF$22,'Race Results'!$N$3:$N$22),"")</f>
        <v>2</v>
      </c>
      <c r="V35">
        <f>IFERROR(_xlfn.XLOOKUP($B35,'Race Results'!AG$3:AG$22,'Race Results'!$N$3:$N$22),"")</f>
        <v>19</v>
      </c>
      <c r="W35">
        <f>IFERROR(_xlfn.XLOOKUP($B35,'Race Results'!AH$3:AH$22,'Race Results'!$N$3:$N$22),"")</f>
        <v>8</v>
      </c>
      <c r="X35">
        <f>IFERROR(_xlfn.XLOOKUP($B35,'Race Results'!AI$3:AI$22,'Race Results'!$N$3:$N$22),"")</f>
        <v>14</v>
      </c>
      <c r="Y35">
        <f>IFERROR(_xlfn.XLOOKUP($B35,'Race Results'!AJ$3:AJ$22,'Race Results'!$N$3:$N$22),"")</f>
        <v>10</v>
      </c>
      <c r="Z35">
        <f>IFERROR(_xlfn.XLOOKUP($B35,'Race Results'!AK$3:AK$22,'Race Results'!$N$3:$N$22),"")</f>
        <v>6</v>
      </c>
    </row>
    <row r="36" spans="2:26" x14ac:dyDescent="0.3">
      <c r="B36" t="s">
        <v>183</v>
      </c>
      <c r="C36" s="50">
        <f t="shared" si="1"/>
        <v>10</v>
      </c>
      <c r="D36">
        <f>IFERROR(_xlfn.XLOOKUP($B36,'Race Results'!O$3:O$22,'Race Results'!$N$3:$N$22),"")</f>
        <v>6</v>
      </c>
      <c r="E36">
        <f>IFERROR(_xlfn.XLOOKUP($B36,'Race Results'!P$3:P$22,'Race Results'!$N$3:$N$22),"")</f>
        <v>20</v>
      </c>
      <c r="F36">
        <f>IFERROR(_xlfn.XLOOKUP($B36,'Race Results'!Q$3:Q$22,'Race Results'!$N$3:$N$22),"")</f>
        <v>4</v>
      </c>
      <c r="G36">
        <f>IFERROR(_xlfn.XLOOKUP($B36,'Race Results'!R$3:R$22,'Race Results'!$N$3:$N$22),"")</f>
        <v>7</v>
      </c>
      <c r="H36">
        <f>IFERROR(_xlfn.XLOOKUP($B36,'Race Results'!S$3:S$22,'Race Results'!$N$3:$N$22),"")</f>
        <v>12</v>
      </c>
      <c r="I36" t="str">
        <f>IFERROR(_xlfn.XLOOKUP($B36,'Race Results'!T$3:T$22,'Race Results'!$N$3:$N$22),"")</f>
        <v/>
      </c>
      <c r="J36">
        <f>IFERROR(_xlfn.XLOOKUP($B36,'Race Results'!U$3:U$22,'Race Results'!$N$3:$N$22),"")</f>
        <v>19</v>
      </c>
      <c r="K36">
        <f>IFERROR(_xlfn.XLOOKUP($B36,'Race Results'!V$3:V$22,'Race Results'!$N$3:$N$22),"")</f>
        <v>6</v>
      </c>
      <c r="L36">
        <f>IFERROR(_xlfn.XLOOKUP($B36,'Race Results'!W$3:W$22,'Race Results'!$N$3:$N$22),"")</f>
        <v>9</v>
      </c>
      <c r="M36">
        <f>IFERROR(_xlfn.XLOOKUP($B36,'Race Results'!X$3:X$22,'Race Results'!$N$3:$N$22),"")</f>
        <v>9</v>
      </c>
      <c r="N36">
        <f>IFERROR(_xlfn.XLOOKUP($B36,'Race Results'!Y$3:Y$22,'Race Results'!$N$3:$N$22),"")</f>
        <v>14</v>
      </c>
      <c r="O36">
        <f>IFERROR(_xlfn.XLOOKUP($B36,'Race Results'!Z$3:Z$22,'Race Results'!$N$3:$N$22),"")</f>
        <v>10</v>
      </c>
      <c r="P36">
        <f>IFERROR(_xlfn.XLOOKUP($B36,'Race Results'!AA$3:AA$22,'Race Results'!$N$3:$N$22),"")</f>
        <v>9</v>
      </c>
      <c r="Q36">
        <f>IFERROR(_xlfn.XLOOKUP($B36,'Race Results'!AB$3:AB$22,'Race Results'!$N$3:$N$22),"")</f>
        <v>11</v>
      </c>
      <c r="R36">
        <f>IFERROR(_xlfn.XLOOKUP($B36,'Race Results'!AC$3:AC$22,'Race Results'!$N$3:$N$22),"")</f>
        <v>16</v>
      </c>
      <c r="S36">
        <f>IFERROR(_xlfn.XLOOKUP($B36,'Race Results'!AD$3:AD$22,'Race Results'!$N$3:$N$22),"")</f>
        <v>20</v>
      </c>
      <c r="T36">
        <f>IFERROR(_xlfn.XLOOKUP($B36,'Race Results'!AE$3:AE$22,'Race Results'!$N$3:$N$22),"")</f>
        <v>18</v>
      </c>
      <c r="U36">
        <f>IFERROR(_xlfn.XLOOKUP($B36,'Race Results'!AF$3:AF$22,'Race Results'!$N$3:$N$22),"")</f>
        <v>11</v>
      </c>
      <c r="V36">
        <f>IFERROR(_xlfn.XLOOKUP($B36,'Race Results'!AG$3:AG$22,'Race Results'!$N$3:$N$22),"")</f>
        <v>7</v>
      </c>
      <c r="W36">
        <f>IFERROR(_xlfn.XLOOKUP($B36,'Race Results'!AH$3:AH$22,'Race Results'!$N$3:$N$22),"")</f>
        <v>17</v>
      </c>
      <c r="X36">
        <f>IFERROR(_xlfn.XLOOKUP($B36,'Race Results'!AI$3:AI$22,'Race Results'!$N$3:$N$22),"")</f>
        <v>5</v>
      </c>
      <c r="Y36">
        <f>IFERROR(_xlfn.XLOOKUP($B36,'Race Results'!AJ$3:AJ$22,'Race Results'!$N$3:$N$22),"")</f>
        <v>5</v>
      </c>
      <c r="Z36">
        <f>IFERROR(_xlfn.XLOOKUP($B36,'Race Results'!AK$3:AK$22,'Race Results'!$N$3:$N$22),"")</f>
        <v>10</v>
      </c>
    </row>
    <row r="37" spans="2:26" x14ac:dyDescent="0.3">
      <c r="B37" t="s">
        <v>171</v>
      </c>
      <c r="C37" s="50">
        <f t="shared" si="1"/>
        <v>10</v>
      </c>
      <c r="D37">
        <f>IFERROR(_xlfn.XLOOKUP($B37,'Race Results'!O$3:O$22,'Race Results'!$N$3:$N$22),"")</f>
        <v>18</v>
      </c>
      <c r="E37">
        <f>IFERROR(_xlfn.XLOOKUP($B37,'Race Results'!P$3:P$22,'Race Results'!$N$3:$N$22),"")</f>
        <v>8</v>
      </c>
      <c r="F37">
        <f>IFERROR(_xlfn.XLOOKUP($B37,'Race Results'!Q$3:Q$22,'Race Results'!$N$3:$N$22),"")</f>
        <v>15</v>
      </c>
      <c r="G37">
        <f>IFERROR(_xlfn.XLOOKUP($B37,'Race Results'!R$3:R$22,'Race Results'!$N$3:$N$22),"")</f>
        <v>15</v>
      </c>
      <c r="H37">
        <f>IFERROR(_xlfn.XLOOKUP($B37,'Race Results'!S$3:S$22,'Race Results'!$N$3:$N$22),"")</f>
        <v>9</v>
      </c>
      <c r="I37" t="str">
        <f>IFERROR(_xlfn.XLOOKUP($B37,'Race Results'!T$3:T$22,'Race Results'!$N$3:$N$22),"")</f>
        <v/>
      </c>
      <c r="J37">
        <f>IFERROR(_xlfn.XLOOKUP($B37,'Race Results'!U$3:U$22,'Race Results'!$N$3:$N$22),"")</f>
        <v>3</v>
      </c>
      <c r="K37">
        <f>IFERROR(_xlfn.XLOOKUP($B37,'Race Results'!V$3:V$22,'Race Results'!$N$3:$N$22),"")</f>
        <v>8</v>
      </c>
      <c r="L37">
        <f>IFERROR(_xlfn.XLOOKUP($B37,'Race Results'!W$3:W$22,'Race Results'!$N$3:$N$22),"")</f>
        <v>8</v>
      </c>
      <c r="M37">
        <f>IFERROR(_xlfn.XLOOKUP($B37,'Race Results'!X$3:X$22,'Race Results'!$N$3:$N$22),"")</f>
        <v>14</v>
      </c>
      <c r="N37">
        <f>IFERROR(_xlfn.XLOOKUP($B37,'Race Results'!Y$3:Y$22,'Race Results'!$N$3:$N$22),"")</f>
        <v>19</v>
      </c>
      <c r="O37">
        <f>IFERROR(_xlfn.XLOOKUP($B37,'Race Results'!Z$3:Z$22,'Race Results'!$N$3:$N$22),"")</f>
        <v>18</v>
      </c>
      <c r="P37">
        <f>IFERROR(_xlfn.XLOOKUP($B37,'Race Results'!AA$3:AA$22,'Race Results'!$N$3:$N$22),"")</f>
        <v>8</v>
      </c>
      <c r="Q37">
        <f>IFERROR(_xlfn.XLOOKUP($B37,'Race Results'!AB$3:AB$22,'Race Results'!$N$3:$N$22),"")</f>
        <v>10</v>
      </c>
      <c r="R37">
        <f>IFERROR(_xlfn.XLOOKUP($B37,'Race Results'!AC$3:AC$22,'Race Results'!$N$3:$N$22),"")</f>
        <v>19</v>
      </c>
      <c r="S37">
        <f>IFERROR(_xlfn.XLOOKUP($B37,'Race Results'!AD$3:AD$22,'Race Results'!$N$3:$N$22),"")</f>
        <v>18</v>
      </c>
      <c r="T37">
        <f>IFERROR(_xlfn.XLOOKUP($B37,'Race Results'!AE$3:AE$22,'Race Results'!$N$3:$N$22),"")</f>
        <v>10</v>
      </c>
      <c r="U37">
        <f>IFERROR(_xlfn.XLOOKUP($B37,'Race Results'!AF$3:AF$22,'Race Results'!$N$3:$N$22),"")</f>
        <v>7</v>
      </c>
      <c r="V37">
        <f>IFERROR(_xlfn.XLOOKUP($B37,'Race Results'!AG$3:AG$22,'Race Results'!$N$3:$N$22),"")</f>
        <v>18</v>
      </c>
      <c r="W37">
        <f>IFERROR(_xlfn.XLOOKUP($B37,'Race Results'!AH$3:AH$22,'Race Results'!$N$3:$N$22),"")</f>
        <v>10</v>
      </c>
      <c r="X37">
        <f>IFERROR(_xlfn.XLOOKUP($B37,'Race Results'!AI$3:AI$22,'Race Results'!$N$3:$N$22),"")</f>
        <v>10</v>
      </c>
      <c r="Y37">
        <f>IFERROR(_xlfn.XLOOKUP($B37,'Race Results'!AJ$3:AJ$22,'Race Results'!$N$3:$N$22),"")</f>
        <v>4</v>
      </c>
      <c r="Z37">
        <f>IFERROR(_xlfn.XLOOKUP($B37,'Race Results'!AK$3:AK$22,'Race Results'!$N$3:$N$22),"")</f>
        <v>12</v>
      </c>
    </row>
    <row r="38" spans="2:26" x14ac:dyDescent="0.3">
      <c r="B38" t="s">
        <v>197</v>
      </c>
      <c r="C38" s="50">
        <f t="shared" si="1"/>
        <v>10.5</v>
      </c>
      <c r="D38">
        <f>IFERROR(_xlfn.XLOOKUP($B38,'Race Results'!O$3:O$22,'Race Results'!$N$3:$N$22),"")</f>
        <v>9</v>
      </c>
      <c r="E38">
        <f>IFERROR(_xlfn.XLOOKUP($B38,'Race Results'!P$3:P$22,'Race Results'!$N$3:$N$22),"")</f>
        <v>9</v>
      </c>
      <c r="F38">
        <f>IFERROR(_xlfn.XLOOKUP($B38,'Race Results'!Q$3:Q$22,'Race Results'!$N$3:$N$22),"")</f>
        <v>14</v>
      </c>
      <c r="G38">
        <f>IFERROR(_xlfn.XLOOKUP($B38,'Race Results'!R$3:R$22,'Race Results'!$N$3:$N$22),"")</f>
        <v>14</v>
      </c>
      <c r="H38">
        <f>IFERROR(_xlfn.XLOOKUP($B38,'Race Results'!S$3:S$22,'Race Results'!$N$3:$N$22),"")</f>
        <v>8</v>
      </c>
      <c r="I38" t="str">
        <f>IFERROR(_xlfn.XLOOKUP($B38,'Race Results'!T$3:T$22,'Race Results'!$N$3:$N$22),"")</f>
        <v/>
      </c>
      <c r="J38">
        <f>IFERROR(_xlfn.XLOOKUP($B38,'Race Results'!U$3:U$22,'Race Results'!$N$3:$N$22),"")</f>
        <v>7</v>
      </c>
      <c r="K38">
        <f>IFERROR(_xlfn.XLOOKUP($B38,'Race Results'!V$3:V$22,'Race Results'!$N$3:$N$22),"")</f>
        <v>10</v>
      </c>
      <c r="L38">
        <f>IFERROR(_xlfn.XLOOKUP($B38,'Race Results'!W$3:W$22,'Race Results'!$N$3:$N$22),"")</f>
        <v>12</v>
      </c>
      <c r="M38">
        <f>IFERROR(_xlfn.XLOOKUP($B38,'Race Results'!X$3:X$22,'Race Results'!$N$3:$N$22),"")</f>
        <v>10</v>
      </c>
      <c r="N38">
        <f>IFERROR(_xlfn.XLOOKUP($B38,'Race Results'!Y$3:Y$22,'Race Results'!$N$3:$N$22),"")</f>
        <v>18</v>
      </c>
      <c r="O38">
        <f>IFERROR(_xlfn.XLOOKUP($B38,'Race Results'!Z$3:Z$22,'Race Results'!$N$3:$N$22),"")</f>
        <v>19</v>
      </c>
      <c r="P38">
        <f>IFERROR(_xlfn.XLOOKUP($B38,'Race Results'!AA$3:AA$22,'Race Results'!$N$3:$N$22),"")</f>
        <v>11</v>
      </c>
      <c r="Q38">
        <f>IFERROR(_xlfn.XLOOKUP($B38,'Race Results'!AB$3:AB$22,'Race Results'!$N$3:$N$22),"")</f>
        <v>3</v>
      </c>
      <c r="R38">
        <f>IFERROR(_xlfn.XLOOKUP($B38,'Race Results'!AC$3:AC$22,'Race Results'!$N$3:$N$22),"")</f>
        <v>15</v>
      </c>
      <c r="S38">
        <f>IFERROR(_xlfn.XLOOKUP($B38,'Race Results'!AD$3:AD$22,'Race Results'!$N$3:$N$22),"")</f>
        <v>6</v>
      </c>
      <c r="T38">
        <f>IFERROR(_xlfn.XLOOKUP($B38,'Race Results'!AE$3:AE$22,'Race Results'!$N$3:$N$22),"")</f>
        <v>9</v>
      </c>
      <c r="U38">
        <f>IFERROR(_xlfn.XLOOKUP($B38,'Race Results'!AF$3:AF$22,'Race Results'!$N$3:$N$22),"")</f>
        <v>12</v>
      </c>
      <c r="V38">
        <f>IFERROR(_xlfn.XLOOKUP($B38,'Race Results'!AG$3:AG$22,'Race Results'!$N$3:$N$22),"")</f>
        <v>6</v>
      </c>
      <c r="W38">
        <f>IFERROR(_xlfn.XLOOKUP($B38,'Race Results'!AH$3:AH$22,'Race Results'!$N$3:$N$22),"")</f>
        <v>11</v>
      </c>
      <c r="X38">
        <f>IFERROR(_xlfn.XLOOKUP($B38,'Race Results'!AI$3:AI$22,'Race Results'!$N$3:$N$22),"")</f>
        <v>7</v>
      </c>
      <c r="Y38">
        <f>IFERROR(_xlfn.XLOOKUP($B38,'Race Results'!AJ$3:AJ$22,'Race Results'!$N$3:$N$22),"")</f>
        <v>11</v>
      </c>
      <c r="Z38">
        <f>IFERROR(_xlfn.XLOOKUP($B38,'Race Results'!AK$3:AK$22,'Race Results'!$N$3:$N$22),"")</f>
        <v>13</v>
      </c>
    </row>
    <row r="39" spans="2:26" x14ac:dyDescent="0.3">
      <c r="B39" t="s">
        <v>199</v>
      </c>
      <c r="C39" s="50">
        <f t="shared" si="1"/>
        <v>6.5</v>
      </c>
      <c r="D39">
        <f>IFERROR(_xlfn.XLOOKUP($B39,'Race Results'!O$3:O$22,'Race Results'!$N$3:$N$22),"")</f>
        <v>17</v>
      </c>
      <c r="E39">
        <f>IFERROR(_xlfn.XLOOKUP($B39,'Race Results'!P$3:P$22,'Race Results'!$N$3:$N$22),"")</f>
        <v>17</v>
      </c>
      <c r="F39">
        <f>IFERROR(_xlfn.XLOOKUP($B39,'Race Results'!Q$3:Q$22,'Race Results'!$N$3:$N$22),"")</f>
        <v>6</v>
      </c>
      <c r="G39">
        <f>IFERROR(_xlfn.XLOOKUP($B39,'Race Results'!R$3:R$22,'Race Results'!$N$3:$N$22),"")</f>
        <v>9</v>
      </c>
      <c r="H39">
        <f>IFERROR(_xlfn.XLOOKUP($B39,'Race Results'!S$3:S$22,'Race Results'!$N$3:$N$22),"")</f>
        <v>17</v>
      </c>
      <c r="I39" t="str">
        <f>IFERROR(_xlfn.XLOOKUP($B39,'Race Results'!T$3:T$22,'Race Results'!$N$3:$N$22),"")</f>
        <v/>
      </c>
      <c r="J39">
        <f>IFERROR(_xlfn.XLOOKUP($B39,'Race Results'!U$3:U$22,'Race Results'!$N$3:$N$22),"")</f>
        <v>9</v>
      </c>
      <c r="K39">
        <f>IFERROR(_xlfn.XLOOKUP($B39,'Race Results'!V$3:V$22,'Race Results'!$N$3:$N$22),"")</f>
        <v>17</v>
      </c>
      <c r="L39">
        <f>IFERROR(_xlfn.XLOOKUP($B39,'Race Results'!W$3:W$22,'Race Results'!$N$3:$N$22),"")</f>
        <v>13</v>
      </c>
      <c r="M39">
        <f>IFERROR(_xlfn.XLOOKUP($B39,'Race Results'!X$3:X$22,'Race Results'!$N$3:$N$22),"")</f>
        <v>4</v>
      </c>
      <c r="N39">
        <f>IFERROR(_xlfn.XLOOKUP($B39,'Race Results'!Y$3:Y$22,'Race Results'!$N$3:$N$22),"")</f>
        <v>2</v>
      </c>
      <c r="O39">
        <f>IFERROR(_xlfn.XLOOKUP($B39,'Race Results'!Z$3:Z$22,'Race Results'!$N$3:$N$22),"")</f>
        <v>2</v>
      </c>
      <c r="P39">
        <f>IFERROR(_xlfn.XLOOKUP($B39,'Race Results'!AA$3:AA$22,'Race Results'!$N$3:$N$22),"")</f>
        <v>7</v>
      </c>
      <c r="Q39">
        <f>IFERROR(_xlfn.XLOOKUP($B39,'Race Results'!AB$3:AB$22,'Race Results'!$N$3:$N$22),"")</f>
        <v>7</v>
      </c>
      <c r="R39">
        <f>IFERROR(_xlfn.XLOOKUP($B39,'Race Results'!AC$3:AC$22,'Race Results'!$N$3:$N$22),"")</f>
        <v>8</v>
      </c>
      <c r="S39">
        <f>IFERROR(_xlfn.XLOOKUP($B39,'Race Results'!AD$3:AD$22,'Race Results'!$N$3:$N$22),"")</f>
        <v>2</v>
      </c>
      <c r="T39">
        <f>IFERROR(_xlfn.XLOOKUP($B39,'Race Results'!AE$3:AE$22,'Race Results'!$N$3:$N$22),"")</f>
        <v>2</v>
      </c>
      <c r="U39">
        <f>IFERROR(_xlfn.XLOOKUP($B39,'Race Results'!AF$3:AF$22,'Race Results'!$N$3:$N$22),"")</f>
        <v>3</v>
      </c>
      <c r="V39">
        <f>IFERROR(_xlfn.XLOOKUP($B39,'Race Results'!AG$3:AG$22,'Race Results'!$N$3:$N$22),"")</f>
        <v>2</v>
      </c>
      <c r="W39">
        <f>IFERROR(_xlfn.XLOOKUP($B39,'Race Results'!AH$3:AH$22,'Race Results'!$N$3:$N$22),"")</f>
        <v>5</v>
      </c>
      <c r="X39">
        <f>IFERROR(_xlfn.XLOOKUP($B39,'Race Results'!AI$3:AI$22,'Race Results'!$N$3:$N$22),"")</f>
        <v>2</v>
      </c>
      <c r="Y39">
        <f>IFERROR(_xlfn.XLOOKUP($B39,'Race Results'!AJ$3:AJ$22,'Race Results'!$N$3:$N$22),"")</f>
        <v>20</v>
      </c>
      <c r="Z39">
        <f>IFERROR(_xlfn.XLOOKUP($B39,'Race Results'!AK$3:AK$22,'Race Results'!$N$3:$N$22),"")</f>
        <v>5</v>
      </c>
    </row>
    <row r="40" spans="2:26" x14ac:dyDescent="0.3">
      <c r="B40" t="s">
        <v>273</v>
      </c>
      <c r="C40" s="50">
        <f t="shared" si="1"/>
        <v>5.5</v>
      </c>
      <c r="D40">
        <f>IFERROR(_xlfn.XLOOKUP($B40,'Race Results'!O$3:O$22,'Race Results'!$N$3:$N$22),"")</f>
        <v>19</v>
      </c>
      <c r="E40">
        <f>IFERROR(_xlfn.XLOOKUP($B40,'Race Results'!P$3:P$22,'Race Results'!$N$3:$N$22),"")</f>
        <v>7</v>
      </c>
      <c r="F40">
        <f>IFERROR(_xlfn.XLOOKUP($B40,'Race Results'!Q$3:Q$22,'Race Results'!$N$3:$N$22),"")</f>
        <v>16</v>
      </c>
      <c r="G40">
        <f>IFERROR(_xlfn.XLOOKUP($B40,'Race Results'!R$3:R$22,'Race Results'!$N$3:$N$22),"")</f>
        <v>3</v>
      </c>
      <c r="H40">
        <f>IFERROR(_xlfn.XLOOKUP($B40,'Race Results'!S$3:S$22,'Race Results'!$N$3:$N$22),"")</f>
        <v>7</v>
      </c>
      <c r="I40" t="str">
        <f>IFERROR(_xlfn.XLOOKUP($B40,'Race Results'!T$3:T$22,'Race Results'!$N$3:$N$22),"")</f>
        <v/>
      </c>
      <c r="J40">
        <f>IFERROR(_xlfn.XLOOKUP($B40,'Race Results'!U$3:U$22,'Race Results'!$N$3:$N$22),"")</f>
        <v>6</v>
      </c>
      <c r="K40">
        <f>IFERROR(_xlfn.XLOOKUP($B40,'Race Results'!V$3:V$22,'Race Results'!$N$3:$N$22),"")</f>
        <v>11</v>
      </c>
      <c r="L40">
        <f>IFERROR(_xlfn.XLOOKUP($B40,'Race Results'!W$3:W$22,'Race Results'!$N$3:$N$22),"")</f>
        <v>4</v>
      </c>
      <c r="M40">
        <f>IFERROR(_xlfn.XLOOKUP($B40,'Race Results'!X$3:X$22,'Race Results'!$N$3:$N$22),"")</f>
        <v>2</v>
      </c>
      <c r="N40">
        <f>IFERROR(_xlfn.XLOOKUP($B40,'Race Results'!Y$3:Y$22,'Race Results'!$N$3:$N$22),"")</f>
        <v>9</v>
      </c>
      <c r="O40">
        <f>IFERROR(_xlfn.XLOOKUP($B40,'Race Results'!Z$3:Z$22,'Race Results'!$N$3:$N$22),"")</f>
        <v>7</v>
      </c>
      <c r="P40">
        <f>IFERROR(_xlfn.XLOOKUP($B40,'Race Results'!AA$3:AA$22,'Race Results'!$N$3:$N$22),"")</f>
        <v>3</v>
      </c>
      <c r="Q40">
        <f>IFERROR(_xlfn.XLOOKUP($B40,'Race Results'!AB$3:AB$22,'Race Results'!$N$3:$N$22),"")</f>
        <v>18</v>
      </c>
      <c r="R40">
        <f>IFERROR(_xlfn.XLOOKUP($B40,'Race Results'!AC$3:AC$22,'Race Results'!$N$3:$N$22),"")</f>
        <v>4</v>
      </c>
      <c r="S40">
        <f>IFERROR(_xlfn.XLOOKUP($B40,'Race Results'!AD$3:AD$22,'Race Results'!$N$3:$N$22),"")</f>
        <v>4</v>
      </c>
      <c r="T40">
        <f>IFERROR(_xlfn.XLOOKUP($B40,'Race Results'!AE$3:AE$22,'Race Results'!$N$3:$N$22),"")</f>
        <v>4</v>
      </c>
      <c r="U40">
        <f>IFERROR(_xlfn.XLOOKUP($B40,'Race Results'!AF$3:AF$22,'Race Results'!$N$3:$N$22),"")</f>
        <v>5</v>
      </c>
      <c r="V40">
        <f>IFERROR(_xlfn.XLOOKUP($B40,'Race Results'!AG$3:AG$22,'Race Results'!$N$3:$N$22),"")</f>
        <v>16</v>
      </c>
      <c r="W40">
        <f>IFERROR(_xlfn.XLOOKUP($B40,'Race Results'!AH$3:AH$22,'Race Results'!$N$3:$N$22),"")</f>
        <v>3</v>
      </c>
      <c r="X40">
        <f>IFERROR(_xlfn.XLOOKUP($B40,'Race Results'!AI$3:AI$22,'Race Results'!$N$3:$N$22),"")</f>
        <v>15</v>
      </c>
      <c r="Y40">
        <f>IFERROR(_xlfn.XLOOKUP($B40,'Race Results'!AJ$3:AJ$22,'Race Results'!$N$3:$N$22),"")</f>
        <v>2</v>
      </c>
      <c r="Z40">
        <f>IFERROR(_xlfn.XLOOKUP($B40,'Race Results'!AK$3:AK$22,'Race Results'!$N$3:$N$22),"")</f>
        <v>2</v>
      </c>
    </row>
    <row r="41" spans="2:26" x14ac:dyDescent="0.3">
      <c r="B41" t="s">
        <v>169</v>
      </c>
      <c r="C41" s="50">
        <f t="shared" si="1"/>
        <v>6</v>
      </c>
      <c r="D41">
        <f>IFERROR(_xlfn.XLOOKUP($B41,'Race Results'!O$3:O$22,'Race Results'!$N$3:$N$22),"")</f>
        <v>7</v>
      </c>
      <c r="E41">
        <f>IFERROR(_xlfn.XLOOKUP($B41,'Race Results'!P$3:P$22,'Race Results'!$N$3:$N$22),"")</f>
        <v>4</v>
      </c>
      <c r="F41">
        <f>IFERROR(_xlfn.XLOOKUP($B41,'Race Results'!Q$3:Q$22,'Race Results'!$N$3:$N$22),"")</f>
        <v>18</v>
      </c>
      <c r="G41">
        <f>IFERROR(_xlfn.XLOOKUP($B41,'Race Results'!R$3:R$22,'Race Results'!$N$3:$N$22),"")</f>
        <v>8</v>
      </c>
      <c r="H41">
        <f>IFERROR(_xlfn.XLOOKUP($B41,'Race Results'!S$3:S$22,'Race Results'!$N$3:$N$22),"")</f>
        <v>4</v>
      </c>
      <c r="I41" t="str">
        <f>IFERROR(_xlfn.XLOOKUP($B41,'Race Results'!T$3:T$22,'Race Results'!$N$3:$N$22),"")</f>
        <v/>
      </c>
      <c r="J41">
        <f>IFERROR(_xlfn.XLOOKUP($B41,'Race Results'!U$3:U$22,'Race Results'!$N$3:$N$22),"")</f>
        <v>5</v>
      </c>
      <c r="K41">
        <f>IFERROR(_xlfn.XLOOKUP($B41,'Race Results'!V$3:V$22,'Race Results'!$N$3:$N$22),"")</f>
        <v>3</v>
      </c>
      <c r="L41">
        <f>IFERROR(_xlfn.XLOOKUP($B41,'Race Results'!W$3:W$22,'Race Results'!$N$3:$N$22),"")</f>
        <v>19</v>
      </c>
      <c r="M41">
        <f>IFERROR(_xlfn.XLOOKUP($B41,'Race Results'!X$3:X$22,'Race Results'!$N$3:$N$22),"")</f>
        <v>7</v>
      </c>
      <c r="N41">
        <f>IFERROR(_xlfn.XLOOKUP($B41,'Race Results'!Y$3:Y$22,'Race Results'!$N$3:$N$22),"")</f>
        <v>5</v>
      </c>
      <c r="O41">
        <f>IFERROR(_xlfn.XLOOKUP($B41,'Race Results'!Z$3:Z$22,'Race Results'!$N$3:$N$22),"")</f>
        <v>6</v>
      </c>
      <c r="P41">
        <f>IFERROR(_xlfn.XLOOKUP($B41,'Race Results'!AA$3:AA$22,'Race Results'!$N$3:$N$22),"")</f>
        <v>6</v>
      </c>
      <c r="Q41">
        <f>IFERROR(_xlfn.XLOOKUP($B41,'Race Results'!AB$3:AB$22,'Race Results'!$N$3:$N$22),"")</f>
        <v>17</v>
      </c>
      <c r="R41">
        <f>IFERROR(_xlfn.XLOOKUP($B41,'Race Results'!AC$3:AC$22,'Race Results'!$N$3:$N$22),"")</f>
        <v>5</v>
      </c>
      <c r="S41">
        <f>IFERROR(_xlfn.XLOOKUP($B41,'Race Results'!AD$3:AD$22,'Race Results'!$N$3:$N$22),"")</f>
        <v>16</v>
      </c>
      <c r="T41">
        <f>IFERROR(_xlfn.XLOOKUP($B41,'Race Results'!AE$3:AE$22,'Race Results'!$N$3:$N$22),"")</f>
        <v>7</v>
      </c>
      <c r="U41">
        <f>IFERROR(_xlfn.XLOOKUP($B41,'Race Results'!AF$3:AF$22,'Race Results'!$N$3:$N$22),"")</f>
        <v>4</v>
      </c>
      <c r="V41">
        <f>IFERROR(_xlfn.XLOOKUP($B41,'Race Results'!AG$3:AG$22,'Race Results'!$N$3:$N$22),"")</f>
        <v>5</v>
      </c>
      <c r="W41">
        <f>IFERROR(_xlfn.XLOOKUP($B41,'Race Results'!AH$3:AH$22,'Race Results'!$N$3:$N$22),"")</f>
        <v>6</v>
      </c>
      <c r="X41">
        <f>IFERROR(_xlfn.XLOOKUP($B41,'Race Results'!AI$3:AI$22,'Race Results'!$N$3:$N$22),"")</f>
        <v>20</v>
      </c>
      <c r="Y41">
        <f>IFERROR(_xlfn.XLOOKUP($B41,'Race Results'!AJ$3:AJ$22,'Race Results'!$N$3:$N$22),"")</f>
        <v>8</v>
      </c>
      <c r="Z41">
        <f>IFERROR(_xlfn.XLOOKUP($B41,'Race Results'!AK$3:AK$22,'Race Results'!$N$3:$N$22),"")</f>
        <v>3</v>
      </c>
    </row>
    <row r="42" spans="2:26" x14ac:dyDescent="0.3">
      <c r="B42" t="s">
        <v>202</v>
      </c>
      <c r="C42" s="50">
        <f t="shared" si="1"/>
        <v>6</v>
      </c>
      <c r="D42">
        <f>IFERROR(_xlfn.XLOOKUP($B42,'Race Results'!O$3:O$22,'Race Results'!$N$3:$N$22),"")</f>
        <v>4</v>
      </c>
      <c r="E42">
        <f>IFERROR(_xlfn.XLOOKUP($B42,'Race Results'!P$3:P$22,'Race Results'!$N$3:$N$22),"")</f>
        <v>6</v>
      </c>
      <c r="F42">
        <f>IFERROR(_xlfn.XLOOKUP($B42,'Race Results'!Q$3:Q$22,'Race Results'!$N$3:$N$22),"")</f>
        <v>12</v>
      </c>
      <c r="G42">
        <f>IFERROR(_xlfn.XLOOKUP($B42,'Race Results'!R$3:R$22,'Race Results'!$N$3:$N$22),"")</f>
        <v>5</v>
      </c>
      <c r="H42">
        <f>IFERROR(_xlfn.XLOOKUP($B42,'Race Results'!S$3:S$22,'Race Results'!$N$3:$N$22),"")</f>
        <v>5</v>
      </c>
      <c r="I42" t="str">
        <f>IFERROR(_xlfn.XLOOKUP($B42,'Race Results'!T$3:T$22,'Race Results'!$N$3:$N$22),"")</f>
        <v/>
      </c>
      <c r="J42">
        <f>IFERROR(_xlfn.XLOOKUP($B42,'Race Results'!U$3:U$22,'Race Results'!$N$3:$N$22),"")</f>
        <v>8</v>
      </c>
      <c r="K42">
        <f>IFERROR(_xlfn.XLOOKUP($B42,'Race Results'!V$3:V$22,'Race Results'!$N$3:$N$22),"")</f>
        <v>5</v>
      </c>
      <c r="L42">
        <f>IFERROR(_xlfn.XLOOKUP($B42,'Race Results'!W$3:W$22,'Race Results'!$N$3:$N$22),"")</f>
        <v>5</v>
      </c>
      <c r="M42">
        <f>IFERROR(_xlfn.XLOOKUP($B42,'Race Results'!X$3:X$22,'Race Results'!$N$3:$N$22),"")</f>
        <v>6</v>
      </c>
      <c r="N42">
        <f>IFERROR(_xlfn.XLOOKUP($B42,'Race Results'!Y$3:Y$22,'Race Results'!$N$3:$N$22),"")</f>
        <v>10</v>
      </c>
      <c r="O42">
        <f>IFERROR(_xlfn.XLOOKUP($B42,'Race Results'!Z$3:Z$22,'Race Results'!$N$3:$N$22),"")</f>
        <v>8</v>
      </c>
      <c r="P42">
        <f>IFERROR(_xlfn.XLOOKUP($B42,'Race Results'!AA$3:AA$22,'Race Results'!$N$3:$N$22),"")</f>
        <v>20</v>
      </c>
      <c r="Q42">
        <f>IFERROR(_xlfn.XLOOKUP($B42,'Race Results'!AB$3:AB$22,'Race Results'!$N$3:$N$22),"")</f>
        <v>5</v>
      </c>
      <c r="R42">
        <f>IFERROR(_xlfn.XLOOKUP($B42,'Race Results'!AC$3:AC$22,'Race Results'!$N$3:$N$22),"")</f>
        <v>3</v>
      </c>
      <c r="S42">
        <f>IFERROR(_xlfn.XLOOKUP($B42,'Race Results'!AD$3:AD$22,'Race Results'!$N$3:$N$22),"")</f>
        <v>1</v>
      </c>
      <c r="T42">
        <f>IFERROR(_xlfn.XLOOKUP($B42,'Race Results'!AE$3:AE$22,'Race Results'!$N$3:$N$22),"")</f>
        <v>6</v>
      </c>
      <c r="U42">
        <f>IFERROR(_xlfn.XLOOKUP($B42,'Race Results'!AF$3:AF$22,'Race Results'!$N$3:$N$22),"")</f>
        <v>19</v>
      </c>
      <c r="V42">
        <f>IFERROR(_xlfn.XLOOKUP($B42,'Race Results'!AG$3:AG$22,'Race Results'!$N$3:$N$22),"")</f>
        <v>3</v>
      </c>
      <c r="W42">
        <f>IFERROR(_xlfn.XLOOKUP($B42,'Race Results'!AH$3:AH$22,'Race Results'!$N$3:$N$22),"")</f>
        <v>4</v>
      </c>
      <c r="X42">
        <f>IFERROR(_xlfn.XLOOKUP($B42,'Race Results'!AI$3:AI$22,'Race Results'!$N$3:$N$22),"")</f>
        <v>6</v>
      </c>
      <c r="Y42">
        <f>IFERROR(_xlfn.XLOOKUP($B42,'Race Results'!AJ$3:AJ$22,'Race Results'!$N$3:$N$22),"")</f>
        <v>6</v>
      </c>
      <c r="Z42">
        <f>IFERROR(_xlfn.XLOOKUP($B42,'Race Results'!AK$3:AK$22,'Race Results'!$N$3:$N$22),"")</f>
        <v>20</v>
      </c>
    </row>
    <row r="43" spans="2:26" x14ac:dyDescent="0.3">
      <c r="B43" t="s">
        <v>207</v>
      </c>
      <c r="C43" s="50">
        <f t="shared" si="1"/>
        <v>5</v>
      </c>
      <c r="D43">
        <f>IFERROR(_xlfn.XLOOKUP($B43,'Race Results'!O$3:O$22,'Race Results'!$N$3:$N$22),"")</f>
        <v>5</v>
      </c>
      <c r="E43">
        <f>IFERROR(_xlfn.XLOOKUP($B43,'Race Results'!P$3:P$22,'Race Results'!$N$3:$N$22),"")</f>
        <v>5</v>
      </c>
      <c r="F43">
        <f>IFERROR(_xlfn.XLOOKUP($B43,'Race Results'!Q$3:Q$22,'Race Results'!$N$3:$N$22),"")</f>
        <v>2</v>
      </c>
      <c r="G43">
        <f>IFERROR(_xlfn.XLOOKUP($B43,'Race Results'!R$3:R$22,'Race Results'!$N$3:$N$22),"")</f>
        <v>6</v>
      </c>
      <c r="H43">
        <f>IFERROR(_xlfn.XLOOKUP($B43,'Race Results'!S$3:S$22,'Race Results'!$N$3:$N$22),"")</f>
        <v>6</v>
      </c>
      <c r="I43" t="str">
        <f>IFERROR(_xlfn.XLOOKUP($B43,'Race Results'!T$3:T$22,'Race Results'!$N$3:$N$22),"")</f>
        <v/>
      </c>
      <c r="J43">
        <f>IFERROR(_xlfn.XLOOKUP($B43,'Race Results'!U$3:U$22,'Race Results'!$N$3:$N$22),"")</f>
        <v>4</v>
      </c>
      <c r="K43">
        <f>IFERROR(_xlfn.XLOOKUP($B43,'Race Results'!V$3:V$22,'Race Results'!$N$3:$N$22),"")</f>
        <v>2</v>
      </c>
      <c r="L43">
        <f>IFERROR(_xlfn.XLOOKUP($B43,'Race Results'!W$3:W$22,'Race Results'!$N$3:$N$22),"")</f>
        <v>3</v>
      </c>
      <c r="M43">
        <f>IFERROR(_xlfn.XLOOKUP($B43,'Race Results'!X$3:X$22,'Race Results'!$N$3:$N$22),"")</f>
        <v>8</v>
      </c>
      <c r="N43">
        <f>IFERROR(_xlfn.XLOOKUP($B43,'Race Results'!Y$3:Y$22,'Race Results'!$N$3:$N$22),"")</f>
        <v>3</v>
      </c>
      <c r="O43">
        <f>IFERROR(_xlfn.XLOOKUP($B43,'Race Results'!Z$3:Z$22,'Race Results'!$N$3:$N$22),"")</f>
        <v>4</v>
      </c>
      <c r="P43">
        <f>IFERROR(_xlfn.XLOOKUP($B43,'Race Results'!AA$3:AA$22,'Race Results'!$N$3:$N$22),"")</f>
        <v>4</v>
      </c>
      <c r="Q43">
        <f>IFERROR(_xlfn.XLOOKUP($B43,'Race Results'!AB$3:AB$22,'Race Results'!$N$3:$N$22),"")</f>
        <v>6</v>
      </c>
      <c r="R43">
        <f>IFERROR(_xlfn.XLOOKUP($B43,'Race Results'!AC$3:AC$22,'Race Results'!$N$3:$N$22),"")</f>
        <v>6</v>
      </c>
      <c r="S43">
        <f>IFERROR(_xlfn.XLOOKUP($B43,'Race Results'!AD$3:AD$22,'Race Results'!$N$3:$N$22),"")</f>
        <v>3</v>
      </c>
      <c r="T43">
        <f>IFERROR(_xlfn.XLOOKUP($B43,'Race Results'!AE$3:AE$22,'Race Results'!$N$3:$N$22),"")</f>
        <v>5</v>
      </c>
      <c r="U43">
        <f>IFERROR(_xlfn.XLOOKUP($B43,'Race Results'!AF$3:AF$22,'Race Results'!$N$3:$N$22),"")</f>
        <v>18</v>
      </c>
      <c r="V43">
        <f>IFERROR(_xlfn.XLOOKUP($B43,'Race Results'!AG$3:AG$22,'Race Results'!$N$3:$N$22),"")</f>
        <v>17</v>
      </c>
      <c r="W43">
        <f>IFERROR(_xlfn.XLOOKUP($B43,'Race Results'!AH$3:AH$22,'Race Results'!$N$3:$N$22),"")</f>
        <v>2</v>
      </c>
      <c r="X43">
        <f>IFERROR(_xlfn.XLOOKUP($B43,'Race Results'!AI$3:AI$22,'Race Results'!$N$3:$N$22),"")</f>
        <v>8</v>
      </c>
      <c r="Y43">
        <f>IFERROR(_xlfn.XLOOKUP($B43,'Race Results'!AJ$3:AJ$22,'Race Results'!$N$3:$N$22),"")</f>
        <v>7</v>
      </c>
      <c r="Z43">
        <f>IFERROR(_xlfn.XLOOKUP($B43,'Race Results'!AK$3:AK$22,'Race Results'!$N$3:$N$22),"")</f>
        <v>9</v>
      </c>
    </row>
    <row r="44" spans="2:26" x14ac:dyDescent="0.3">
      <c r="B44" t="s">
        <v>205</v>
      </c>
      <c r="C44" s="50">
        <f t="shared" si="1"/>
        <v>5.5</v>
      </c>
      <c r="D44">
        <f>IFERROR(_xlfn.XLOOKUP($B44,'Race Results'!O$3:O$22,'Race Results'!$N$3:$N$22),"")</f>
        <v>3</v>
      </c>
      <c r="E44">
        <f>IFERROR(_xlfn.XLOOKUP($B44,'Race Results'!P$3:P$22,'Race Results'!$N$3:$N$22),"")</f>
        <v>3</v>
      </c>
      <c r="F44">
        <f>IFERROR(_xlfn.XLOOKUP($B44,'Race Results'!Q$3:Q$22,'Race Results'!$N$3:$N$22),"")</f>
        <v>3</v>
      </c>
      <c r="G44">
        <f>IFERROR(_xlfn.XLOOKUP($B44,'Race Results'!R$3:R$22,'Race Results'!$N$3:$N$22),"")</f>
        <v>4</v>
      </c>
      <c r="H44">
        <f>IFERROR(_xlfn.XLOOKUP($B44,'Race Results'!S$3:S$22,'Race Results'!$N$3:$N$22),"")</f>
        <v>3</v>
      </c>
      <c r="I44" t="str">
        <f>IFERROR(_xlfn.XLOOKUP($B44,'Race Results'!T$3:T$22,'Race Results'!$N$3:$N$22),"")</f>
        <v/>
      </c>
      <c r="J44">
        <f>IFERROR(_xlfn.XLOOKUP($B44,'Race Results'!U$3:U$22,'Race Results'!$N$3:$N$22),"")</f>
        <v>2</v>
      </c>
      <c r="K44">
        <f>IFERROR(_xlfn.XLOOKUP($B44,'Race Results'!V$3:V$22,'Race Results'!$N$3:$N$22),"")</f>
        <v>7</v>
      </c>
      <c r="L44">
        <f>IFERROR(_xlfn.XLOOKUP($B44,'Race Results'!W$3:W$22,'Race Results'!$N$3:$N$22),"")</f>
        <v>2</v>
      </c>
      <c r="M44">
        <f>IFERROR(_xlfn.XLOOKUP($B44,'Race Results'!X$3:X$22,'Race Results'!$N$3:$N$22),"")</f>
        <v>5</v>
      </c>
      <c r="N44">
        <f>IFERROR(_xlfn.XLOOKUP($B44,'Race Results'!Y$3:Y$22,'Race Results'!$N$3:$N$22),"")</f>
        <v>7</v>
      </c>
      <c r="O44">
        <f>IFERROR(_xlfn.XLOOKUP($B44,'Race Results'!Z$3:Z$22,'Race Results'!$N$3:$N$22),"")</f>
        <v>9</v>
      </c>
      <c r="P44">
        <f>IFERROR(_xlfn.XLOOKUP($B44,'Race Results'!AA$3:AA$22,'Race Results'!$N$3:$N$22),"")</f>
        <v>5</v>
      </c>
      <c r="Q44">
        <f>IFERROR(_xlfn.XLOOKUP($B44,'Race Results'!AB$3:AB$22,'Race Results'!$N$3:$N$22),"")</f>
        <v>2</v>
      </c>
      <c r="R44">
        <f>IFERROR(_xlfn.XLOOKUP($B44,'Race Results'!AC$3:AC$22,'Race Results'!$N$3:$N$22),"")</f>
        <v>9</v>
      </c>
      <c r="S44">
        <f>IFERROR(_xlfn.XLOOKUP($B44,'Race Results'!AD$3:AD$22,'Race Results'!$N$3:$N$22),"")</f>
        <v>15</v>
      </c>
      <c r="T44">
        <f>IFERROR(_xlfn.XLOOKUP($B44,'Race Results'!AE$3:AE$22,'Race Results'!$N$3:$N$22),"")</f>
        <v>8</v>
      </c>
      <c r="U44">
        <f>IFERROR(_xlfn.XLOOKUP($B44,'Race Results'!AF$3:AF$22,'Race Results'!$N$3:$N$22),"")</f>
        <v>6</v>
      </c>
      <c r="V44">
        <f>IFERROR(_xlfn.XLOOKUP($B44,'Race Results'!AG$3:AG$22,'Race Results'!$N$3:$N$22),"")</f>
        <v>20</v>
      </c>
      <c r="W44">
        <f>IFERROR(_xlfn.XLOOKUP($B44,'Race Results'!AH$3:AH$22,'Race Results'!$N$3:$N$22),"")</f>
        <v>18</v>
      </c>
      <c r="X44">
        <f>IFERROR(_xlfn.XLOOKUP($B44,'Race Results'!AI$3:AI$22,'Race Results'!$N$3:$N$22),"")</f>
        <v>3</v>
      </c>
      <c r="Y44">
        <f>IFERROR(_xlfn.XLOOKUP($B44,'Race Results'!AJ$3:AJ$22,'Race Results'!$N$3:$N$22),"")</f>
        <v>9</v>
      </c>
      <c r="Z44">
        <f>IFERROR(_xlfn.XLOOKUP($B44,'Race Results'!AK$3:AK$22,'Race Results'!$N$3:$N$22),"")</f>
        <v>7</v>
      </c>
    </row>
    <row r="45" spans="2:26" x14ac:dyDescent="0.3">
      <c r="B45" t="s">
        <v>234</v>
      </c>
      <c r="C45" s="50">
        <f t="shared" si="1"/>
        <v>4</v>
      </c>
      <c r="D45">
        <f>IFERROR(_xlfn.XLOOKUP($B45,'Race Results'!O$3:O$22,'Race Results'!$N$3:$N$22),"")</f>
        <v>2</v>
      </c>
      <c r="E45">
        <f>IFERROR(_xlfn.XLOOKUP($B45,'Race Results'!P$3:P$22,'Race Results'!$N$3:$N$22),"")</f>
        <v>1</v>
      </c>
      <c r="F45">
        <f>IFERROR(_xlfn.XLOOKUP($B45,'Race Results'!Q$3:Q$22,'Race Results'!$N$3:$N$22),"")</f>
        <v>5</v>
      </c>
      <c r="G45">
        <f>IFERROR(_xlfn.XLOOKUP($B45,'Race Results'!R$3:R$22,'Race Results'!$N$3:$N$22),"")</f>
        <v>1</v>
      </c>
      <c r="H45">
        <f>IFERROR(_xlfn.XLOOKUP($B45,'Race Results'!S$3:S$22,'Race Results'!$N$3:$N$22),"")</f>
        <v>2</v>
      </c>
      <c r="I45" t="str">
        <f>IFERROR(_xlfn.XLOOKUP($B45,'Race Results'!T$3:T$22,'Race Results'!$N$3:$N$22),"")</f>
        <v/>
      </c>
      <c r="J45">
        <f>IFERROR(_xlfn.XLOOKUP($B45,'Race Results'!U$3:U$22,'Race Results'!$N$3:$N$22),"")</f>
        <v>17</v>
      </c>
      <c r="K45">
        <f>IFERROR(_xlfn.XLOOKUP($B45,'Race Results'!V$3:V$22,'Race Results'!$N$3:$N$22),"")</f>
        <v>4</v>
      </c>
      <c r="L45">
        <f>IFERROR(_xlfn.XLOOKUP($B45,'Race Results'!W$3:W$22,'Race Results'!$N$3:$N$22),"")</f>
        <v>6</v>
      </c>
      <c r="M45">
        <f>IFERROR(_xlfn.XLOOKUP($B45,'Race Results'!X$3:X$22,'Race Results'!$N$3:$N$22),"")</f>
        <v>3</v>
      </c>
      <c r="N45">
        <f>IFERROR(_xlfn.XLOOKUP($B45,'Race Results'!Y$3:Y$22,'Race Results'!$N$3:$N$22),"")</f>
        <v>6</v>
      </c>
      <c r="O45">
        <f>IFERROR(_xlfn.XLOOKUP($B45,'Race Results'!Z$3:Z$22,'Race Results'!$N$3:$N$22),"")</f>
        <v>3</v>
      </c>
      <c r="P45">
        <f>IFERROR(_xlfn.XLOOKUP($B45,'Race Results'!AA$3:AA$22,'Race Results'!$N$3:$N$22),"")</f>
        <v>2</v>
      </c>
      <c r="Q45">
        <f>IFERROR(_xlfn.XLOOKUP($B45,'Race Results'!AB$3:AB$22,'Race Results'!$N$3:$N$22),"")</f>
        <v>4</v>
      </c>
      <c r="R45">
        <f>IFERROR(_xlfn.XLOOKUP($B45,'Race Results'!AC$3:AC$22,'Race Results'!$N$3:$N$22),"")</f>
        <v>2</v>
      </c>
      <c r="S45">
        <f>IFERROR(_xlfn.XLOOKUP($B45,'Race Results'!AD$3:AD$22,'Race Results'!$N$3:$N$22),"")</f>
        <v>8</v>
      </c>
      <c r="T45">
        <f>IFERROR(_xlfn.XLOOKUP($B45,'Race Results'!AE$3:AE$22,'Race Results'!$N$3:$N$22),"")</f>
        <v>20</v>
      </c>
      <c r="U45">
        <f>IFERROR(_xlfn.XLOOKUP($B45,'Race Results'!AF$3:AF$22,'Race Results'!$N$3:$N$22),"")</f>
        <v>10</v>
      </c>
      <c r="V45">
        <f>IFERROR(_xlfn.XLOOKUP($B45,'Race Results'!AG$3:AG$22,'Race Results'!$N$3:$N$22),"")</f>
        <v>4</v>
      </c>
      <c r="W45">
        <f>IFERROR(_xlfn.XLOOKUP($B45,'Race Results'!AH$3:AH$22,'Race Results'!$N$3:$N$22),"")</f>
        <v>20</v>
      </c>
      <c r="X45">
        <f>IFERROR(_xlfn.XLOOKUP($B45,'Race Results'!AI$3:AI$22,'Race Results'!$N$3:$N$22),"")</f>
        <v>4</v>
      </c>
      <c r="Y45">
        <f>IFERROR(_xlfn.XLOOKUP($B45,'Race Results'!AJ$3:AJ$22,'Race Results'!$N$3:$N$22),"")</f>
        <v>3</v>
      </c>
      <c r="Z45">
        <f>IFERROR(_xlfn.XLOOKUP($B45,'Race Results'!AK$3:AK$22,'Race Results'!$N$3:$N$22),"")</f>
        <v>4</v>
      </c>
    </row>
    <row r="46" spans="2:26" x14ac:dyDescent="0.3">
      <c r="B46" t="s">
        <v>187</v>
      </c>
      <c r="C46" s="50">
        <f t="shared" si="1"/>
        <v>1</v>
      </c>
      <c r="D46">
        <f>IFERROR(_xlfn.XLOOKUP($B46,'Race Results'!O$3:O$22,'Race Results'!$N$3:$N$22),"")</f>
        <v>1</v>
      </c>
      <c r="E46">
        <f>IFERROR(_xlfn.XLOOKUP($B46,'Race Results'!P$3:P$22,'Race Results'!$N$3:$N$22),"")</f>
        <v>2</v>
      </c>
      <c r="F46">
        <f>IFERROR(_xlfn.XLOOKUP($B46,'Race Results'!Q$3:Q$22,'Race Results'!$N$3:$N$22),"")</f>
        <v>1</v>
      </c>
      <c r="G46">
        <f>IFERROR(_xlfn.XLOOKUP($B46,'Race Results'!R$3:R$22,'Race Results'!$N$3:$N$22),"")</f>
        <v>2</v>
      </c>
      <c r="H46">
        <f>IFERROR(_xlfn.XLOOKUP($B46,'Race Results'!S$3:S$22,'Race Results'!$N$3:$N$22),"")</f>
        <v>1</v>
      </c>
      <c r="I46" t="str">
        <f>IFERROR(_xlfn.XLOOKUP($B46,'Race Results'!T$3:T$22,'Race Results'!$N$3:$N$22),"")</f>
        <v/>
      </c>
      <c r="J46">
        <f>IFERROR(_xlfn.XLOOKUP($B46,'Race Results'!U$3:U$22,'Race Results'!$N$3:$N$22),"")</f>
        <v>1</v>
      </c>
      <c r="K46">
        <f>IFERROR(_xlfn.XLOOKUP($B46,'Race Results'!V$3:V$22,'Race Results'!$N$3:$N$22),"")</f>
        <v>1</v>
      </c>
      <c r="L46">
        <f>IFERROR(_xlfn.XLOOKUP($B46,'Race Results'!W$3:W$22,'Race Results'!$N$3:$N$22),"")</f>
        <v>1</v>
      </c>
      <c r="M46">
        <f>IFERROR(_xlfn.XLOOKUP($B46,'Race Results'!X$3:X$22,'Race Results'!$N$3:$N$22),"")</f>
        <v>1</v>
      </c>
      <c r="N46">
        <f>IFERROR(_xlfn.XLOOKUP($B46,'Race Results'!Y$3:Y$22,'Race Results'!$N$3:$N$22),"")</f>
        <v>1</v>
      </c>
      <c r="O46">
        <f>IFERROR(_xlfn.XLOOKUP($B46,'Race Results'!Z$3:Z$22,'Race Results'!$N$3:$N$22),"")</f>
        <v>1</v>
      </c>
      <c r="P46">
        <f>IFERROR(_xlfn.XLOOKUP($B46,'Race Results'!AA$3:AA$22,'Race Results'!$N$3:$N$22),"")</f>
        <v>1</v>
      </c>
      <c r="Q46">
        <f>IFERROR(_xlfn.XLOOKUP($B46,'Race Results'!AB$3:AB$22,'Race Results'!$N$3:$N$22),"")</f>
        <v>1</v>
      </c>
      <c r="R46">
        <f>IFERROR(_xlfn.XLOOKUP($B46,'Race Results'!AC$3:AC$22,'Race Results'!$N$3:$N$22),"")</f>
        <v>1</v>
      </c>
      <c r="S46">
        <f>IFERROR(_xlfn.XLOOKUP($B46,'Race Results'!AD$3:AD$22,'Race Results'!$N$3:$N$22),"")</f>
        <v>5</v>
      </c>
      <c r="T46">
        <f>IFERROR(_xlfn.XLOOKUP($B46,'Race Results'!AE$3:AE$22,'Race Results'!$N$3:$N$22),"")</f>
        <v>1</v>
      </c>
      <c r="U46">
        <f>IFERROR(_xlfn.XLOOKUP($B46,'Race Results'!AF$3:AF$22,'Race Results'!$N$3:$N$22),"")</f>
        <v>1</v>
      </c>
      <c r="V46">
        <f>IFERROR(_xlfn.XLOOKUP($B46,'Race Results'!AG$3:AG$22,'Race Results'!$N$3:$N$22),"")</f>
        <v>1</v>
      </c>
      <c r="W46">
        <f>IFERROR(_xlfn.XLOOKUP($B46,'Race Results'!AH$3:AH$22,'Race Results'!$N$3:$N$22),"")</f>
        <v>1</v>
      </c>
      <c r="X46">
        <f>IFERROR(_xlfn.XLOOKUP($B46,'Race Results'!AI$3:AI$22,'Race Results'!$N$3:$N$22),"")</f>
        <v>1</v>
      </c>
      <c r="Y46">
        <f>IFERROR(_xlfn.XLOOKUP($B46,'Race Results'!AJ$3:AJ$22,'Race Results'!$N$3:$N$22),"")</f>
        <v>1</v>
      </c>
      <c r="Z46">
        <f>IFERROR(_xlfn.XLOOKUP($B46,'Race Results'!AK$3:AK$22,'Race Results'!$N$3:$N$22),"")</f>
        <v>1</v>
      </c>
    </row>
    <row r="48" spans="2:26" x14ac:dyDescent="0.3">
      <c r="C48" s="5"/>
    </row>
    <row r="49" spans="2:4" x14ac:dyDescent="0.3">
      <c r="B49" s="2" t="s">
        <v>370</v>
      </c>
    </row>
    <row r="50" spans="2:4" x14ac:dyDescent="0.3">
      <c r="B50" s="78" t="s">
        <v>85</v>
      </c>
      <c r="C50" t="s">
        <v>371</v>
      </c>
      <c r="D50" t="s">
        <v>372</v>
      </c>
    </row>
    <row r="52" spans="2:4" x14ac:dyDescent="0.3">
      <c r="B52" s="78" t="s">
        <v>373</v>
      </c>
      <c r="C52" t="s">
        <v>374</v>
      </c>
    </row>
    <row r="53" spans="2:4" x14ac:dyDescent="0.3">
      <c r="B53" s="43" t="s">
        <v>90</v>
      </c>
      <c r="C53">
        <v>10</v>
      </c>
    </row>
    <row r="54" spans="2:4" x14ac:dyDescent="0.3">
      <c r="B54" s="43" t="s">
        <v>168</v>
      </c>
      <c r="C54">
        <v>38</v>
      </c>
    </row>
    <row r="55" spans="2:4" x14ac:dyDescent="0.3">
      <c r="B55" s="43" t="s">
        <v>91</v>
      </c>
      <c r="C55">
        <v>4</v>
      </c>
    </row>
    <row r="56" spans="2:4" x14ac:dyDescent="0.3">
      <c r="B56" s="43" t="s">
        <v>171</v>
      </c>
      <c r="C56">
        <v>63</v>
      </c>
    </row>
    <row r="57" spans="2:4" x14ac:dyDescent="0.3">
      <c r="B57" s="43" t="s">
        <v>205</v>
      </c>
      <c r="C57">
        <v>1</v>
      </c>
    </row>
    <row r="58" spans="2:4" x14ac:dyDescent="0.3">
      <c r="B58" s="43" t="s">
        <v>107</v>
      </c>
      <c r="C58">
        <v>7</v>
      </c>
    </row>
    <row r="59" spans="2:4" x14ac:dyDescent="0.3">
      <c r="B59" s="43" t="s">
        <v>189</v>
      </c>
      <c r="C59">
        <v>11</v>
      </c>
    </row>
    <row r="60" spans="2:4" x14ac:dyDescent="0.3">
      <c r="B60" s="43" t="s">
        <v>166</v>
      </c>
      <c r="C60">
        <v>1</v>
      </c>
    </row>
    <row r="61" spans="2:4" x14ac:dyDescent="0.3">
      <c r="B61" s="43" t="s">
        <v>104</v>
      </c>
      <c r="C61">
        <v>7</v>
      </c>
    </row>
    <row r="62" spans="2:4" x14ac:dyDescent="0.3">
      <c r="B62" s="43" t="s">
        <v>219</v>
      </c>
      <c r="C62">
        <v>12</v>
      </c>
    </row>
    <row r="63" spans="2:4" x14ac:dyDescent="0.3">
      <c r="B63" s="43" t="s">
        <v>199</v>
      </c>
      <c r="C63">
        <v>20</v>
      </c>
    </row>
    <row r="64" spans="2:4" x14ac:dyDescent="0.3">
      <c r="B64" s="43" t="s">
        <v>207</v>
      </c>
      <c r="C64">
        <v>4</v>
      </c>
    </row>
    <row r="65" spans="2:3" x14ac:dyDescent="0.3">
      <c r="B65" s="43" t="s">
        <v>98</v>
      </c>
      <c r="C65">
        <v>4</v>
      </c>
    </row>
    <row r="66" spans="2:3" x14ac:dyDescent="0.3">
      <c r="B66" s="43" t="s">
        <v>187</v>
      </c>
      <c r="C66">
        <v>1</v>
      </c>
    </row>
    <row r="67" spans="2:3" x14ac:dyDescent="0.3">
      <c r="B67" s="43" t="s">
        <v>174</v>
      </c>
      <c r="C67">
        <v>26</v>
      </c>
    </row>
    <row r="68" spans="2:3" x14ac:dyDescent="0.3">
      <c r="B68" s="43" t="s">
        <v>140</v>
      </c>
      <c r="C68">
        <v>3</v>
      </c>
    </row>
    <row r="69" spans="2:3" x14ac:dyDescent="0.3">
      <c r="B69" s="43" t="s">
        <v>102</v>
      </c>
      <c r="C69">
        <v>1</v>
      </c>
    </row>
    <row r="70" spans="2:3" x14ac:dyDescent="0.3">
      <c r="B70" s="43" t="s">
        <v>172</v>
      </c>
      <c r="C70">
        <v>47</v>
      </c>
    </row>
    <row r="71" spans="2:3" x14ac:dyDescent="0.3">
      <c r="B71" s="43" t="s">
        <v>100</v>
      </c>
      <c r="C71">
        <v>6</v>
      </c>
    </row>
    <row r="72" spans="2:3" x14ac:dyDescent="0.3">
      <c r="B72" s="43" t="s">
        <v>197</v>
      </c>
      <c r="C72">
        <v>63</v>
      </c>
    </row>
    <row r="73" spans="2:3" x14ac:dyDescent="0.3">
      <c r="B73" s="43" t="s">
        <v>118</v>
      </c>
      <c r="C73">
        <v>4</v>
      </c>
    </row>
    <row r="74" spans="2:3" x14ac:dyDescent="0.3">
      <c r="B74" s="43" t="s">
        <v>176</v>
      </c>
      <c r="C74">
        <v>33</v>
      </c>
    </row>
    <row r="75" spans="2:3" x14ac:dyDescent="0.3">
      <c r="B75" s="43" t="s">
        <v>179</v>
      </c>
      <c r="C75">
        <v>49</v>
      </c>
    </row>
    <row r="76" spans="2:3" x14ac:dyDescent="0.3">
      <c r="B76" s="43" t="s">
        <v>95</v>
      </c>
      <c r="C76">
        <v>2</v>
      </c>
    </row>
    <row r="77" spans="2:3" x14ac:dyDescent="0.3">
      <c r="B77" s="43" t="s">
        <v>234</v>
      </c>
      <c r="C77">
        <v>5</v>
      </c>
    </row>
    <row r="78" spans="2:3" x14ac:dyDescent="0.3">
      <c r="B78" s="43" t="s">
        <v>245</v>
      </c>
      <c r="C78">
        <v>2</v>
      </c>
    </row>
    <row r="79" spans="2:3" x14ac:dyDescent="0.3">
      <c r="B79" s="43" t="s">
        <v>183</v>
      </c>
      <c r="C79">
        <v>34</v>
      </c>
    </row>
    <row r="80" spans="2:3" x14ac:dyDescent="0.3">
      <c r="B80" s="43" t="s">
        <v>273</v>
      </c>
      <c r="C80">
        <v>3</v>
      </c>
    </row>
    <row r="81" spans="2:3" x14ac:dyDescent="0.3">
      <c r="B81" s="43" t="s">
        <v>202</v>
      </c>
      <c r="C81">
        <v>4</v>
      </c>
    </row>
    <row r="82" spans="2:3" x14ac:dyDescent="0.3">
      <c r="B82" s="43" t="s">
        <v>169</v>
      </c>
      <c r="C82">
        <v>2</v>
      </c>
    </row>
    <row r="83" spans="2:3" x14ac:dyDescent="0.3">
      <c r="B83" s="43" t="s">
        <v>495</v>
      </c>
      <c r="C83">
        <v>8</v>
      </c>
    </row>
    <row r="84" spans="2:3" x14ac:dyDescent="0.3">
      <c r="B84" s="43" t="s">
        <v>570</v>
      </c>
      <c r="C84">
        <v>6</v>
      </c>
    </row>
    <row r="85" spans="2:3" x14ac:dyDescent="0.3">
      <c r="B85" s="43" t="s">
        <v>628</v>
      </c>
      <c r="C85">
        <v>29</v>
      </c>
    </row>
    <row r="86" spans="2:3" x14ac:dyDescent="0.3">
      <c r="B86" s="43" t="s">
        <v>356</v>
      </c>
      <c r="C86">
        <v>3</v>
      </c>
    </row>
    <row r="87" spans="2:3" x14ac:dyDescent="0.3">
      <c r="B87" s="43" t="s">
        <v>375</v>
      </c>
      <c r="C87">
        <v>513</v>
      </c>
    </row>
  </sheetData>
  <autoFilter ref="B2:Z2" xr:uid="{C47EDC79-9B5D-48B1-93D5-D39A8194D4D1}">
    <sortState xmlns:xlrd2="http://schemas.microsoft.com/office/spreadsheetml/2017/richdata2" ref="B3:Z23">
      <sortCondition descending="1" ref="C2"/>
    </sortState>
  </autoFilter>
  <conditionalFormatting sqref="C3:C23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{20068C1A-2994-4FF7-A9B3-1EB9F657D9FA}</x14:id>
        </ext>
      </extLst>
    </cfRule>
  </conditionalFormatting>
  <conditionalFormatting sqref="D3:Z23">
    <cfRule type="colorScale" priority="6">
      <colorScale>
        <cfvo type="min"/>
        <cfvo type="max"/>
        <color rgb="FFFCFCFF"/>
        <color rgb="FF63BE7B"/>
      </colorScale>
    </cfRule>
  </conditionalFormatting>
  <conditionalFormatting sqref="C26:C46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{15C472CE-45D7-41C9-ACCD-F04EEFDE954B}</x14:id>
        </ext>
      </extLst>
    </cfRule>
  </conditionalFormatting>
  <conditionalFormatting sqref="D26:Z46">
    <cfRule type="colorScale" priority="3">
      <colorScale>
        <cfvo type="min"/>
        <cfvo type="max"/>
        <color rgb="FF63BE7B"/>
        <color rgb="FFFCFCFF"/>
      </colorScale>
    </cfRule>
  </conditionalFormatting>
  <conditionalFormatting pivot="1" sqref="C53:C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{D855C254-CDF0-4A3E-BF12-FCF15734F74E}</x14:id>
        </ext>
      </extLst>
    </cfRule>
  </conditionalFormatting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068C1A-2994-4FF7-A9B3-1EB9F657D9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C3:C23</xm:sqref>
        </x14:conditionalFormatting>
        <x14:conditionalFormatting xmlns:xm="http://schemas.microsoft.com/office/excel/2006/main">
          <x14:cfRule type="dataBar" id="{15C472CE-45D7-41C9-ACCD-F04EEFDE95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C26:C46</xm:sqref>
        </x14:conditionalFormatting>
        <x14:conditionalFormatting xmlns:xm="http://schemas.microsoft.com/office/excel/2006/main" pivot="1">
          <x14:cfRule type="dataBar" id="{D855C254-CDF0-4A3E-BF12-FCF15734F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C53:C76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91AB5-A22C-4D2A-84AF-742AFD01BE70}">
  <dimension ref="B2:I54"/>
  <sheetViews>
    <sheetView showGridLines="0" topLeftCell="A8" workbookViewId="0">
      <selection activeCell="F32" sqref="F32:I40"/>
    </sheetView>
  </sheetViews>
  <sheetFormatPr defaultRowHeight="14.4" x14ac:dyDescent="0.3"/>
  <cols>
    <col min="1" max="1" width="3.77734375" customWidth="1"/>
    <col min="2" max="2" width="14.77734375" bestFit="1" customWidth="1"/>
    <col min="3" max="3" width="32.21875" bestFit="1" customWidth="1"/>
    <col min="4" max="4" width="22.88671875" bestFit="1" customWidth="1"/>
    <col min="5" max="5" width="12" bestFit="1" customWidth="1"/>
    <col min="6" max="6" width="30.44140625" bestFit="1" customWidth="1"/>
    <col min="7" max="7" width="11.21875" bestFit="1" customWidth="1"/>
    <col min="8" max="8" width="13.77734375" bestFit="1" customWidth="1"/>
    <col min="9" max="9" width="12" bestFit="1" customWidth="1"/>
    <col min="10" max="10" width="17.77734375" bestFit="1" customWidth="1"/>
    <col min="11" max="11" width="30.44140625" bestFit="1" customWidth="1"/>
    <col min="12" max="12" width="20.21875" bestFit="1" customWidth="1"/>
    <col min="13" max="13" width="23.5546875" bestFit="1" customWidth="1"/>
    <col min="14" max="14" width="16.21875" bestFit="1" customWidth="1"/>
    <col min="15" max="15" width="23.21875" bestFit="1" customWidth="1"/>
    <col min="16" max="16" width="20.21875" bestFit="1" customWidth="1"/>
    <col min="17" max="17" width="14.77734375" bestFit="1" customWidth="1"/>
    <col min="18" max="18" width="12" bestFit="1" customWidth="1"/>
    <col min="19" max="19" width="20.21875" bestFit="1" customWidth="1"/>
    <col min="20" max="20" width="15" bestFit="1" customWidth="1"/>
    <col min="21" max="21" width="17.77734375" bestFit="1" customWidth="1"/>
    <col min="22" max="22" width="18.77734375" bestFit="1" customWidth="1"/>
    <col min="23" max="23" width="30.44140625" bestFit="1" customWidth="1"/>
    <col min="24" max="24" width="22.77734375" bestFit="1" customWidth="1"/>
    <col min="25" max="25" width="16.44140625" bestFit="1" customWidth="1"/>
    <col min="26" max="26" width="10.77734375" bestFit="1" customWidth="1"/>
  </cols>
  <sheetData>
    <row r="2" spans="2:5" x14ac:dyDescent="0.3">
      <c r="B2" s="78" t="s">
        <v>85</v>
      </c>
      <c r="C2" t="s">
        <v>782</v>
      </c>
      <c r="E2" s="79"/>
    </row>
    <row r="4" spans="2:5" x14ac:dyDescent="0.3">
      <c r="B4" s="78" t="s">
        <v>84</v>
      </c>
      <c r="C4" s="78" t="s">
        <v>86</v>
      </c>
      <c r="D4" s="78" t="s">
        <v>87</v>
      </c>
    </row>
    <row r="5" spans="2:5" x14ac:dyDescent="0.3">
      <c r="B5" t="s">
        <v>61</v>
      </c>
      <c r="C5" t="s">
        <v>183</v>
      </c>
      <c r="D5" t="s">
        <v>171</v>
      </c>
    </row>
    <row r="6" spans="2:5" x14ac:dyDescent="0.3">
      <c r="B6" t="s">
        <v>69</v>
      </c>
      <c r="C6" t="s">
        <v>172</v>
      </c>
      <c r="D6" t="s">
        <v>183</v>
      </c>
    </row>
    <row r="7" spans="2:5" x14ac:dyDescent="0.3">
      <c r="B7" t="s">
        <v>53</v>
      </c>
      <c r="C7" t="s">
        <v>197</v>
      </c>
      <c r="D7" t="s">
        <v>171</v>
      </c>
    </row>
    <row r="8" spans="2:5" x14ac:dyDescent="0.3">
      <c r="B8" t="s">
        <v>60</v>
      </c>
      <c r="C8" t="s">
        <v>628</v>
      </c>
      <c r="D8" t="s">
        <v>197</v>
      </c>
    </row>
    <row r="9" spans="2:5" x14ac:dyDescent="0.3">
      <c r="B9" t="s">
        <v>63</v>
      </c>
      <c r="C9" t="s">
        <v>628</v>
      </c>
      <c r="D9" t="s">
        <v>197</v>
      </c>
    </row>
    <row r="10" spans="2:5" x14ac:dyDescent="0.3">
      <c r="B10" t="s">
        <v>58</v>
      </c>
      <c r="C10" t="s">
        <v>197</v>
      </c>
      <c r="D10" t="s">
        <v>171</v>
      </c>
    </row>
    <row r="11" spans="2:5" x14ac:dyDescent="0.3">
      <c r="B11" t="s">
        <v>55</v>
      </c>
      <c r="C11" t="s">
        <v>628</v>
      </c>
      <c r="D11" t="s">
        <v>171</v>
      </c>
    </row>
    <row r="12" spans="2:5" x14ac:dyDescent="0.3">
      <c r="B12" t="s">
        <v>74</v>
      </c>
      <c r="C12" t="s">
        <v>628</v>
      </c>
      <c r="D12" t="s">
        <v>197</v>
      </c>
    </row>
    <row r="13" spans="2:5" x14ac:dyDescent="0.3">
      <c r="B13" t="s">
        <v>75</v>
      </c>
      <c r="C13" t="s">
        <v>174</v>
      </c>
      <c r="D13" t="s">
        <v>197</v>
      </c>
    </row>
    <row r="14" spans="2:5" x14ac:dyDescent="0.3">
      <c r="B14" t="s">
        <v>54</v>
      </c>
      <c r="C14" t="s">
        <v>628</v>
      </c>
      <c r="D14" t="s">
        <v>197</v>
      </c>
    </row>
    <row r="15" spans="2:5" x14ac:dyDescent="0.3">
      <c r="B15" t="s">
        <v>57</v>
      </c>
      <c r="C15" t="s">
        <v>171</v>
      </c>
      <c r="D15" t="s">
        <v>168</v>
      </c>
    </row>
    <row r="16" spans="2:5" x14ac:dyDescent="0.3">
      <c r="B16" t="s">
        <v>56</v>
      </c>
      <c r="C16" t="s">
        <v>628</v>
      </c>
      <c r="D16" t="s">
        <v>183</v>
      </c>
    </row>
    <row r="17" spans="2:9" x14ac:dyDescent="0.3">
      <c r="B17" t="s">
        <v>67</v>
      </c>
      <c r="C17" t="s">
        <v>628</v>
      </c>
      <c r="D17" t="s">
        <v>197</v>
      </c>
    </row>
    <row r="18" spans="2:9" x14ac:dyDescent="0.3">
      <c r="B18" t="s">
        <v>72</v>
      </c>
      <c r="C18" t="s">
        <v>197</v>
      </c>
      <c r="D18" t="s">
        <v>183</v>
      </c>
    </row>
    <row r="19" spans="2:9" x14ac:dyDescent="0.3">
      <c r="B19" t="s">
        <v>64</v>
      </c>
      <c r="C19" t="s">
        <v>628</v>
      </c>
      <c r="D19" t="s">
        <v>171</v>
      </c>
    </row>
    <row r="20" spans="2:9" x14ac:dyDescent="0.3">
      <c r="B20" t="s">
        <v>71</v>
      </c>
      <c r="C20" t="s">
        <v>168</v>
      </c>
      <c r="D20" t="s">
        <v>197</v>
      </c>
    </row>
    <row r="21" spans="2:9" x14ac:dyDescent="0.3">
      <c r="B21" t="s">
        <v>70</v>
      </c>
      <c r="C21" t="s">
        <v>168</v>
      </c>
      <c r="D21" t="s">
        <v>171</v>
      </c>
    </row>
    <row r="22" spans="2:9" x14ac:dyDescent="0.3">
      <c r="B22" t="s">
        <v>66</v>
      </c>
      <c r="C22" t="s">
        <v>183</v>
      </c>
      <c r="D22" t="s">
        <v>628</v>
      </c>
    </row>
    <row r="23" spans="2:9" x14ac:dyDescent="0.3">
      <c r="B23" t="s">
        <v>62</v>
      </c>
      <c r="C23" t="s">
        <v>197</v>
      </c>
      <c r="D23" t="s">
        <v>628</v>
      </c>
    </row>
    <row r="24" spans="2:9" x14ac:dyDescent="0.3">
      <c r="B24" t="s">
        <v>73</v>
      </c>
      <c r="C24" t="s">
        <v>171</v>
      </c>
      <c r="D24" t="s">
        <v>174</v>
      </c>
    </row>
    <row r="25" spans="2:9" x14ac:dyDescent="0.3">
      <c r="B25" t="s">
        <v>76</v>
      </c>
      <c r="C25" t="s">
        <v>197</v>
      </c>
      <c r="D25" t="s">
        <v>219</v>
      </c>
    </row>
    <row r="26" spans="2:9" x14ac:dyDescent="0.3">
      <c r="B26" t="s">
        <v>51</v>
      </c>
      <c r="C26" t="s">
        <v>171</v>
      </c>
      <c r="D26" t="s">
        <v>174</v>
      </c>
    </row>
    <row r="27" spans="2:9" x14ac:dyDescent="0.3">
      <c r="B27" t="s">
        <v>52</v>
      </c>
      <c r="C27" t="s">
        <v>628</v>
      </c>
      <c r="D27" t="s">
        <v>168</v>
      </c>
    </row>
    <row r="32" spans="2:9" ht="15" thickBot="1" x14ac:dyDescent="0.35">
      <c r="F32" s="80" t="s">
        <v>316</v>
      </c>
      <c r="G32" s="80" t="s">
        <v>376</v>
      </c>
      <c r="H32" s="80" t="s">
        <v>377</v>
      </c>
      <c r="I32" s="80" t="s">
        <v>378</v>
      </c>
    </row>
    <row r="33" spans="6:9" x14ac:dyDescent="0.3">
      <c r="F33" s="2" t="s">
        <v>197</v>
      </c>
      <c r="G33" s="43">
        <f t="shared" ref="G33:G54" si="0">COUNTIF(C$5:C$30,$F33)</f>
        <v>5</v>
      </c>
      <c r="H33" s="43">
        <f t="shared" ref="H33:H54" si="1">COUNTIF(D$5:D$29,$F33)</f>
        <v>7</v>
      </c>
      <c r="I33" s="43">
        <f t="shared" ref="I33:I54" si="2">G33+H33</f>
        <v>12</v>
      </c>
    </row>
    <row r="34" spans="6:9" x14ac:dyDescent="0.3">
      <c r="F34" s="2" t="s">
        <v>628</v>
      </c>
      <c r="G34" s="43">
        <f t="shared" si="0"/>
        <v>9</v>
      </c>
      <c r="H34" s="43">
        <f t="shared" si="1"/>
        <v>2</v>
      </c>
      <c r="I34" s="43">
        <f t="shared" si="2"/>
        <v>11</v>
      </c>
    </row>
    <row r="35" spans="6:9" x14ac:dyDescent="0.3">
      <c r="F35" s="2" t="s">
        <v>171</v>
      </c>
      <c r="G35" s="43">
        <f t="shared" si="0"/>
        <v>3</v>
      </c>
      <c r="H35" s="43">
        <f t="shared" si="1"/>
        <v>6</v>
      </c>
      <c r="I35" s="43">
        <f t="shared" si="2"/>
        <v>9</v>
      </c>
    </row>
    <row r="36" spans="6:9" x14ac:dyDescent="0.3">
      <c r="F36" s="2" t="s">
        <v>183</v>
      </c>
      <c r="G36" s="43">
        <f t="shared" si="0"/>
        <v>2</v>
      </c>
      <c r="H36" s="43">
        <f t="shared" si="1"/>
        <v>3</v>
      </c>
      <c r="I36" s="43">
        <f t="shared" si="2"/>
        <v>5</v>
      </c>
    </row>
    <row r="37" spans="6:9" x14ac:dyDescent="0.3">
      <c r="F37" s="2" t="s">
        <v>168</v>
      </c>
      <c r="G37" s="43">
        <f t="shared" si="0"/>
        <v>2</v>
      </c>
      <c r="H37" s="43">
        <f t="shared" si="1"/>
        <v>2</v>
      </c>
      <c r="I37" s="43">
        <f t="shared" si="2"/>
        <v>4</v>
      </c>
    </row>
    <row r="38" spans="6:9" x14ac:dyDescent="0.3">
      <c r="F38" s="2" t="s">
        <v>174</v>
      </c>
      <c r="G38" s="43">
        <f t="shared" si="0"/>
        <v>1</v>
      </c>
      <c r="H38" s="43">
        <f t="shared" si="1"/>
        <v>2</v>
      </c>
      <c r="I38" s="43">
        <f t="shared" si="2"/>
        <v>3</v>
      </c>
    </row>
    <row r="39" spans="6:9" x14ac:dyDescent="0.3">
      <c r="F39" s="2" t="s">
        <v>172</v>
      </c>
      <c r="G39" s="43">
        <f t="shared" si="0"/>
        <v>1</v>
      </c>
      <c r="H39" s="43">
        <f t="shared" si="1"/>
        <v>0</v>
      </c>
      <c r="I39" s="43">
        <f t="shared" si="2"/>
        <v>1</v>
      </c>
    </row>
    <row r="40" spans="6:9" x14ac:dyDescent="0.3">
      <c r="F40" s="2" t="s">
        <v>219</v>
      </c>
      <c r="G40" s="43">
        <f t="shared" si="0"/>
        <v>0</v>
      </c>
      <c r="H40" s="43">
        <f t="shared" si="1"/>
        <v>1</v>
      </c>
      <c r="I40" s="43">
        <f t="shared" si="2"/>
        <v>1</v>
      </c>
    </row>
    <row r="41" spans="6:9" x14ac:dyDescent="0.3">
      <c r="F41" s="2" t="s">
        <v>176</v>
      </c>
      <c r="G41" s="43">
        <f t="shared" si="0"/>
        <v>0</v>
      </c>
      <c r="H41" s="43">
        <f t="shared" si="1"/>
        <v>0</v>
      </c>
      <c r="I41" s="43">
        <f t="shared" si="2"/>
        <v>0</v>
      </c>
    </row>
    <row r="42" spans="6:9" x14ac:dyDescent="0.3">
      <c r="F42" s="2" t="s">
        <v>199</v>
      </c>
      <c r="G42" s="43">
        <f t="shared" si="0"/>
        <v>0</v>
      </c>
      <c r="H42" s="43">
        <f t="shared" si="1"/>
        <v>0</v>
      </c>
      <c r="I42" s="43">
        <f t="shared" si="2"/>
        <v>0</v>
      </c>
    </row>
    <row r="43" spans="6:9" x14ac:dyDescent="0.3">
      <c r="F43" s="2" t="s">
        <v>495</v>
      </c>
      <c r="G43" s="43">
        <f t="shared" si="0"/>
        <v>0</v>
      </c>
      <c r="H43" s="43">
        <f t="shared" si="1"/>
        <v>0</v>
      </c>
      <c r="I43" s="43">
        <f t="shared" si="2"/>
        <v>0</v>
      </c>
    </row>
    <row r="44" spans="6:9" x14ac:dyDescent="0.3">
      <c r="F44" s="2" t="s">
        <v>356</v>
      </c>
      <c r="G44" s="43">
        <f t="shared" si="0"/>
        <v>0</v>
      </c>
      <c r="H44" s="43">
        <f t="shared" si="1"/>
        <v>0</v>
      </c>
      <c r="I44" s="43">
        <f t="shared" si="2"/>
        <v>0</v>
      </c>
    </row>
    <row r="45" spans="6:9" x14ac:dyDescent="0.3">
      <c r="F45" s="2" t="s">
        <v>189</v>
      </c>
      <c r="G45" s="43">
        <f t="shared" si="0"/>
        <v>0</v>
      </c>
      <c r="H45" s="43">
        <f t="shared" si="1"/>
        <v>0</v>
      </c>
      <c r="I45" s="43">
        <f t="shared" si="2"/>
        <v>0</v>
      </c>
    </row>
    <row r="46" spans="6:9" x14ac:dyDescent="0.3">
      <c r="F46" s="2" t="s">
        <v>205</v>
      </c>
      <c r="G46" s="43">
        <f t="shared" si="0"/>
        <v>0</v>
      </c>
      <c r="H46" s="43">
        <f t="shared" si="1"/>
        <v>0</v>
      </c>
      <c r="I46" s="43">
        <f t="shared" si="2"/>
        <v>0</v>
      </c>
    </row>
    <row r="47" spans="6:9" x14ac:dyDescent="0.3">
      <c r="F47" s="2" t="s">
        <v>570</v>
      </c>
      <c r="G47" s="43">
        <f t="shared" si="0"/>
        <v>0</v>
      </c>
      <c r="H47" s="43">
        <f t="shared" si="1"/>
        <v>0</v>
      </c>
      <c r="I47" s="43">
        <f t="shared" si="2"/>
        <v>0</v>
      </c>
    </row>
    <row r="48" spans="6:9" x14ac:dyDescent="0.3">
      <c r="F48" s="2" t="s">
        <v>234</v>
      </c>
      <c r="G48" s="43">
        <f t="shared" si="0"/>
        <v>0</v>
      </c>
      <c r="H48" s="43">
        <f t="shared" si="1"/>
        <v>0</v>
      </c>
      <c r="I48" s="43">
        <f t="shared" si="2"/>
        <v>0</v>
      </c>
    </row>
    <row r="49" spans="6:9" x14ac:dyDescent="0.3">
      <c r="F49" s="2" t="s">
        <v>169</v>
      </c>
      <c r="G49" s="43">
        <f t="shared" si="0"/>
        <v>0</v>
      </c>
      <c r="H49" s="43">
        <f t="shared" si="1"/>
        <v>0</v>
      </c>
      <c r="I49" s="43">
        <f t="shared" si="2"/>
        <v>0</v>
      </c>
    </row>
    <row r="50" spans="6:9" x14ac:dyDescent="0.3">
      <c r="F50" s="2" t="s">
        <v>207</v>
      </c>
      <c r="G50" s="43">
        <f t="shared" si="0"/>
        <v>0</v>
      </c>
      <c r="H50" s="43">
        <f t="shared" si="1"/>
        <v>0</v>
      </c>
      <c r="I50" s="43">
        <f t="shared" si="2"/>
        <v>0</v>
      </c>
    </row>
    <row r="51" spans="6:9" x14ac:dyDescent="0.3">
      <c r="F51" s="2" t="s">
        <v>273</v>
      </c>
      <c r="G51" s="43">
        <f t="shared" si="0"/>
        <v>0</v>
      </c>
      <c r="H51" s="43">
        <f t="shared" si="1"/>
        <v>0</v>
      </c>
      <c r="I51" s="43">
        <f t="shared" si="2"/>
        <v>0</v>
      </c>
    </row>
    <row r="52" spans="6:9" x14ac:dyDescent="0.3">
      <c r="F52" s="2" t="s">
        <v>202</v>
      </c>
      <c r="G52" s="43">
        <f t="shared" si="0"/>
        <v>0</v>
      </c>
      <c r="H52" s="43">
        <f t="shared" si="1"/>
        <v>0</v>
      </c>
      <c r="I52" s="43">
        <f t="shared" si="2"/>
        <v>0</v>
      </c>
    </row>
    <row r="53" spans="6:9" x14ac:dyDescent="0.3">
      <c r="F53" s="2" t="s">
        <v>245</v>
      </c>
      <c r="G53" s="43">
        <f t="shared" si="0"/>
        <v>0</v>
      </c>
      <c r="H53" s="43">
        <f t="shared" si="1"/>
        <v>0</v>
      </c>
      <c r="I53" s="43">
        <f t="shared" si="2"/>
        <v>0</v>
      </c>
    </row>
    <row r="54" spans="6:9" x14ac:dyDescent="0.3">
      <c r="F54" s="2" t="s">
        <v>187</v>
      </c>
      <c r="G54" s="43">
        <f t="shared" si="0"/>
        <v>0</v>
      </c>
      <c r="H54" s="43">
        <f t="shared" si="1"/>
        <v>0</v>
      </c>
      <c r="I54" s="43">
        <f t="shared" si="2"/>
        <v>0</v>
      </c>
    </row>
  </sheetData>
  <conditionalFormatting sqref="G33:I54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{FA70AD58-9AF4-46CC-9FAB-B8EE4313B9DE}</x14:id>
        </ext>
      </extLst>
    </cfRule>
  </conditionalFormatting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70AD58-9AF4-46CC-9FAB-B8EE4313B9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G33:I54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8E665-F700-4A07-A048-E54F711C3DFB}">
  <dimension ref="A1:B22"/>
  <sheetViews>
    <sheetView workbookViewId="0">
      <selection activeCell="B12" sqref="B12"/>
    </sheetView>
  </sheetViews>
  <sheetFormatPr defaultRowHeight="14.4" x14ac:dyDescent="0.3"/>
  <cols>
    <col min="1" max="2" width="28.5546875" bestFit="1" customWidth="1"/>
  </cols>
  <sheetData>
    <row r="1" spans="1:2" x14ac:dyDescent="0.3">
      <c r="A1" t="s">
        <v>343</v>
      </c>
      <c r="B1" t="s">
        <v>234</v>
      </c>
    </row>
    <row r="2" spans="1:2" x14ac:dyDescent="0.3">
      <c r="A2" t="s">
        <v>333</v>
      </c>
      <c r="B2" t="s">
        <v>187</v>
      </c>
    </row>
    <row r="3" spans="1:2" x14ac:dyDescent="0.3">
      <c r="A3" t="s">
        <v>339</v>
      </c>
      <c r="B3" t="s">
        <v>273</v>
      </c>
    </row>
    <row r="4" spans="1:2" x14ac:dyDescent="0.3">
      <c r="A4" t="s">
        <v>335</v>
      </c>
      <c r="B4" t="s">
        <v>205</v>
      </c>
    </row>
    <row r="5" spans="1:2" x14ac:dyDescent="0.3">
      <c r="A5" t="s">
        <v>341</v>
      </c>
      <c r="B5" t="s">
        <v>202</v>
      </c>
    </row>
    <row r="6" spans="1:2" x14ac:dyDescent="0.3">
      <c r="A6" t="s">
        <v>337</v>
      </c>
      <c r="B6" t="s">
        <v>207</v>
      </c>
    </row>
    <row r="7" spans="1:2" x14ac:dyDescent="0.3">
      <c r="A7" t="s">
        <v>349</v>
      </c>
      <c r="B7" t="s">
        <v>183</v>
      </c>
    </row>
    <row r="8" spans="1:2" x14ac:dyDescent="0.3">
      <c r="A8" t="s">
        <v>365</v>
      </c>
      <c r="B8" t="s">
        <v>169</v>
      </c>
    </row>
    <row r="9" spans="1:2" x14ac:dyDescent="0.3">
      <c r="A9" t="s">
        <v>358</v>
      </c>
      <c r="B9" t="s">
        <v>199</v>
      </c>
    </row>
    <row r="10" spans="1:2" x14ac:dyDescent="0.3">
      <c r="A10" t="s">
        <v>360</v>
      </c>
      <c r="B10" t="s">
        <v>628</v>
      </c>
    </row>
    <row r="11" spans="1:2" x14ac:dyDescent="0.3">
      <c r="A11" t="s">
        <v>353</v>
      </c>
      <c r="B11" t="s">
        <v>172</v>
      </c>
    </row>
    <row r="12" spans="1:2" x14ac:dyDescent="0.3">
      <c r="A12" t="s">
        <v>345</v>
      </c>
      <c r="B12" t="s">
        <v>168</v>
      </c>
    </row>
    <row r="13" spans="1:2" x14ac:dyDescent="0.3">
      <c r="A13" t="s">
        <v>363</v>
      </c>
      <c r="B13" t="s">
        <v>219</v>
      </c>
    </row>
    <row r="14" spans="1:2" x14ac:dyDescent="0.3">
      <c r="A14" t="s">
        <v>355</v>
      </c>
      <c r="B14" t="s">
        <v>197</v>
      </c>
    </row>
    <row r="15" spans="1:2" x14ac:dyDescent="0.3">
      <c r="A15" t="s">
        <v>347</v>
      </c>
      <c r="B15" t="s">
        <v>171</v>
      </c>
    </row>
    <row r="16" spans="1:2" x14ac:dyDescent="0.3">
      <c r="A16" t="s">
        <v>366</v>
      </c>
      <c r="B16" t="s">
        <v>356</v>
      </c>
    </row>
    <row r="17" spans="1:2" x14ac:dyDescent="0.3">
      <c r="A17" t="s">
        <v>361</v>
      </c>
      <c r="B17" t="s">
        <v>174</v>
      </c>
    </row>
    <row r="18" spans="1:2" x14ac:dyDescent="0.3">
      <c r="A18" t="s">
        <v>351</v>
      </c>
      <c r="B18" t="s">
        <v>176</v>
      </c>
    </row>
    <row r="19" spans="1:2" x14ac:dyDescent="0.3">
      <c r="A19" t="s">
        <v>362</v>
      </c>
      <c r="B19" t="s">
        <v>189</v>
      </c>
    </row>
    <row r="20" spans="1:2" x14ac:dyDescent="0.3">
      <c r="A20" t="s">
        <v>364</v>
      </c>
      <c r="B20" t="s">
        <v>245</v>
      </c>
    </row>
    <row r="21" spans="1:2" x14ac:dyDescent="0.3">
      <c r="A21" t="s">
        <v>521</v>
      </c>
      <c r="B21" t="s">
        <v>495</v>
      </c>
    </row>
    <row r="22" spans="1:2" x14ac:dyDescent="0.3">
      <c r="A22" t="s">
        <v>569</v>
      </c>
      <c r="B22" t="s">
        <v>570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64CE7-00E3-4643-8E37-588857539559}">
  <sheetPr codeName="Sheet5"/>
  <dimension ref="A1:AL139"/>
  <sheetViews>
    <sheetView showGridLines="0" zoomScale="72" zoomScaleNormal="100" workbookViewId="0">
      <selection activeCell="C34" sqref="C34"/>
    </sheetView>
  </sheetViews>
  <sheetFormatPr defaultRowHeight="14.4" x14ac:dyDescent="0.3"/>
  <cols>
    <col min="1" max="1" width="7.44140625" style="3" customWidth="1"/>
    <col min="2" max="5" width="13.44140625" customWidth="1"/>
    <col min="6" max="6" width="7.5546875" style="4" customWidth="1"/>
    <col min="7" max="7" width="21.21875" style="5" customWidth="1"/>
    <col min="8" max="11" width="11.21875" style="9" customWidth="1"/>
    <col min="12" max="12" width="11.21875" style="9" hidden="1" customWidth="1"/>
    <col min="13" max="29" width="11.21875" style="9" customWidth="1"/>
  </cols>
  <sheetData>
    <row r="1" spans="1:29" s="38" customFormat="1" ht="29.1" customHeight="1" x14ac:dyDescent="0.3">
      <c r="A1" s="69"/>
      <c r="B1" s="38" t="s">
        <v>27</v>
      </c>
      <c r="C1" s="38" t="s">
        <v>457</v>
      </c>
      <c r="D1" s="38" t="s">
        <v>458</v>
      </c>
      <c r="E1" s="38" t="s">
        <v>459</v>
      </c>
      <c r="F1" s="101" t="s">
        <v>455</v>
      </c>
      <c r="G1" s="39" t="s">
        <v>28</v>
      </c>
      <c r="H1" s="39" t="s">
        <v>29</v>
      </c>
      <c r="I1" s="39" t="s">
        <v>30</v>
      </c>
      <c r="J1" s="39" t="s">
        <v>31</v>
      </c>
      <c r="K1" s="39" t="s">
        <v>32</v>
      </c>
      <c r="L1" s="39" t="s">
        <v>33</v>
      </c>
      <c r="M1" s="39" t="s">
        <v>34</v>
      </c>
      <c r="N1" s="39" t="s">
        <v>35</v>
      </c>
      <c r="O1" s="39" t="s">
        <v>36</v>
      </c>
      <c r="P1" s="39" t="s">
        <v>37</v>
      </c>
      <c r="Q1" s="39" t="s">
        <v>38</v>
      </c>
      <c r="R1" s="39" t="s">
        <v>494</v>
      </c>
      <c r="S1" s="39" t="s">
        <v>523</v>
      </c>
      <c r="T1" s="39" t="s">
        <v>548</v>
      </c>
      <c r="U1" s="39" t="s">
        <v>573</v>
      </c>
      <c r="V1" s="39" t="s">
        <v>599</v>
      </c>
      <c r="W1" s="39" t="s">
        <v>625</v>
      </c>
      <c r="X1" s="39" t="s">
        <v>650</v>
      </c>
      <c r="Y1" s="39" t="s">
        <v>676</v>
      </c>
      <c r="Z1" s="39" t="s">
        <v>700</v>
      </c>
      <c r="AA1" s="39" t="s">
        <v>724</v>
      </c>
      <c r="AB1" s="39" t="s">
        <v>750</v>
      </c>
      <c r="AC1" s="39" t="s">
        <v>782</v>
      </c>
    </row>
    <row r="2" spans="1:29" ht="15.6" x14ac:dyDescent="0.3">
      <c r="A2" s="4">
        <v>1</v>
      </c>
      <c r="B2" t="s">
        <v>57</v>
      </c>
      <c r="C2" cm="1">
        <f t="array" ref="C2">Table15[[#This Row],[Total]]-_xlfn.XLOOKUP($G$35,$H$36:$AC$36,Table15[[#This Row],[Saudi Arabia - 19 March]:[Abu Dhabi - 26 November]])</f>
        <v>233.5</v>
      </c>
      <c r="D2" cm="1">
        <f t="array" ref="D2">_xlfn.XLOOKUP(B2,_xlfn.SORTBY(Table15[Name],Table15[Previous Race Total],-1),$A$2:$A$27)</f>
        <v>1</v>
      </c>
      <c r="E2" cm="1">
        <f t="array" ref="E2">_xlfn.XLOOKUP(B2,_xlfn.SORTBY(Table15[Name],Table15[Total],-1),$A$2:$A$27)</f>
        <v>1</v>
      </c>
      <c r="F2" s="102">
        <f>Table15[[#This Row],[Previous race Ranking]]-Table15[[#This Row],[Current ranking]]</f>
        <v>0</v>
      </c>
      <c r="G2" s="93">
        <f t="shared" ref="G2:G27" si="0">SUM(H2:AC2)</f>
        <v>243.5</v>
      </c>
      <c r="H2" s="9">
        <v>9</v>
      </c>
      <c r="I2" s="9">
        <v>4</v>
      </c>
      <c r="J2" s="9">
        <v>25</v>
      </c>
      <c r="K2" s="9" cm="1">
        <f t="array" ref="K2">IFERROR(_xlfn.XLOOKUP(1,(Table15[[#This Row],[Name]]='Google Forms'!$B:$B)*(Table15[[#Headers],[Miami - 7 May]]='Google Forms'!$C:$C),'Google Forms'!$K:$K,0,0,-1),0)</f>
        <v>9</v>
      </c>
      <c r="L2" s="9" cm="1">
        <f t="array" ref="L2">IFERROR(_xlfn.XLOOKUP(1,(Table15[[#This Row],[Name]]='Google Forms'!$B:$B)*(Table15[[#Headers],[Italy - 21 May]]='Google Forms'!$C:$C),'Google Forms'!$K:$K,0,0,-1),0)</f>
        <v>0</v>
      </c>
      <c r="M2" s="9" cm="1">
        <f t="array" ref="M2">IFERROR(_xlfn.XLOOKUP(1,(Table15[[#This Row],[Name]]='Google Forms'!$B:$B)*(Table15[[#Headers],[Monaco - 28 May]]='Google Forms'!$C:$C),'Google Forms'!$K:$K,0,0,-1),0)</f>
        <v>10</v>
      </c>
      <c r="N2" s="9" cm="1">
        <f t="array" ref="N2">IFERROR(_xlfn.XLOOKUP(1,(Table15[[#This Row],[Name]]='Google Forms'!$B:$B)*(Table15[[#Headers],[Spain - 4 June]]='Google Forms'!$C:$C),'Google Forms'!$K:$K,0,0,-1),0)</f>
        <v>12</v>
      </c>
      <c r="O2" s="9" cm="1">
        <f t="array" ref="O2">IFERROR(_xlfn.XLOOKUP(1,(Table15[[#This Row],[Name]]='Google Forms'!$B:$B)*(Table15[[#Headers],[Canada - 18 June]]='Google Forms'!$C:$C),'Google Forms'!$K:$K,0,0,-1),0)</f>
        <v>15</v>
      </c>
      <c r="P2" s="9" cm="1">
        <f t="array" ref="P2">IFERROR(_xlfn.XLOOKUP(1,(Table15[[#This Row],[Name]]='Google Forms'!$B:$B)*(Table15[[#Headers],[Austria - 2 July]]='Google Forms'!$C:$C),'Google Forms'!$K:$K,0,0,-1),0)</f>
        <v>12.5</v>
      </c>
      <c r="Q2" s="9" cm="1">
        <f t="array" ref="Q2">IFERROR(_xlfn.XLOOKUP(1,(Table15[[#This Row],[Name]]='Google Forms'!$B:$B)*(Table15[[#Headers],[Great Britain - 9 July]]='Google Forms'!$C:$C),'Google Forms'!$K:$K,0,0,-1),0)</f>
        <v>12</v>
      </c>
      <c r="R2" s="9" cm="1">
        <f t="array" ref="R2">IFERROR(_xlfn.XLOOKUP(1,(Table15[[#This Row],[Name]]='Google Forms'!$B:$B)*(Table15[[#Headers],[Hungary - 23 July]]='Google Forms'!$C:$C),'Google Forms'!$K:$K,0,0,-1),0)</f>
        <v>10</v>
      </c>
      <c r="S2" s="9" cm="1">
        <f t="array" ref="S2">IFERROR(_xlfn.XLOOKUP(1,(Table15[[#This Row],[Name]]='Google Forms'!$B:$B)*(Table15[[#Headers],[Belgium - 30 July]]='Google Forms'!$C:$C),'Google Forms'!$K:$K,0,0,-1),0)</f>
        <v>15</v>
      </c>
      <c r="T2" s="9" cm="1">
        <f t="array" ref="T2">IFERROR(_xlfn.XLOOKUP(1,(Table15[[#This Row],[Name]]='Google Forms'!$B:$B)*(Table15[[#Headers],[Netherlands - 27 August]]='Google Forms'!$C:$C),'Google Forms'!$K:$K,0,0,-1),0)</f>
        <v>18</v>
      </c>
      <c r="U2" s="9" cm="1">
        <f t="array" ref="U2">IFERROR(_xlfn.XLOOKUP(1,(Table15[[#This Row],[Name]]='Google Forms'!$B:$B)*(Table15[[#Headers],[Italy - 3 September]]='Google Forms'!$C:$C),'Google Forms'!$K:$K,0,0,-1),0)</f>
        <v>12.5</v>
      </c>
      <c r="V2" s="9" cm="1">
        <f t="array" ref="V2">IFERROR(_xlfn.XLOOKUP(1,(Table15[[#This Row],[Name]]='Google Forms'!$B:$B)*(Table15[[#Headers],[Singapore - 17 September]]='Google Forms'!$C:$C),'Google Forms'!$K:$K,0,0,-1),0)</f>
        <v>12.5</v>
      </c>
      <c r="W2" s="9" cm="1">
        <f t="array" ref="W2">IFERROR(_xlfn.XLOOKUP(1,(Table15[[#This Row],[Name]]='Google Forms'!$B:$B)*(Table15[[#Headers],[Japan - 24 September]]='Google Forms'!$C:$C),'Google Forms'!$K:$K,0,0,-1),0)</f>
        <v>18</v>
      </c>
      <c r="X2" s="9" cm="1">
        <f t="array" ref="X2">IFERROR(_xlfn.XLOOKUP(1,(Table15[[#This Row],[Name]]='Google Forms'!$B:$B)*(Table15[[#Headers],[Qatar - 8 October]]='Google Forms'!$C:$C),'Google Forms'!$K:$K,0,0,-1),0)</f>
        <v>12</v>
      </c>
      <c r="Y2" s="9" cm="1">
        <f t="array" ref="Y2">IFERROR(_xlfn.XLOOKUP(1,(Table15[[#This Row],[Name]]='Google Forms'!$B:$B)*(Table15[[#Headers],[United States - 22 October]]='Google Forms'!$C:$C),'Google Forms'!$K:$K,0,0,-1),0)</f>
        <v>10</v>
      </c>
      <c r="Z2" s="9" cm="1">
        <f t="array" ref="Z2">IFERROR(_xlfn.XLOOKUP(1,(Table15[[#This Row],[Name]]='Google Forms'!$B:$B)*(Table15[[#Headers],[Mexico - 29 October]]='Google Forms'!$C:$C),'Google Forms'!$K:$K,0,0,-1),0)</f>
        <v>3</v>
      </c>
      <c r="AA2" s="9" cm="1">
        <f t="array" ref="AA2">IFERROR(_xlfn.XLOOKUP(1,(Table15[[#This Row],[Name]]='Google Forms'!$B:$B)*(Table15[[#Headers],[Brazil - 5 November]]='Google Forms'!$C:$C),'Google Forms'!$K:$K,0,0,-1),0)</f>
        <v>8</v>
      </c>
      <c r="AB2" s="9" cm="1">
        <f t="array" ref="AB2">IFERROR(_xlfn.XLOOKUP(1,(Table15[[#This Row],[Name]]='Google Forms'!$B:$B)*(Table15[[#Headers],[Las Vegas - 18 November]]='Google Forms'!$C:$C),'Google Forms'!$K:$K,0,0,-1),0)</f>
        <v>6</v>
      </c>
      <c r="AC2" s="9" cm="1">
        <f t="array" ref="AC2">IFERROR(_xlfn.XLOOKUP(1,(Table15[[#This Row],[Name]]='Google Forms'!$B:$B)*(Table15[[#Headers],[Abu Dhabi - 26 November]]='Google Forms'!$C:$C),'Google Forms'!$K:$K,0,0,-1),0)</f>
        <v>10</v>
      </c>
    </row>
    <row r="3" spans="1:29" ht="15.6" x14ac:dyDescent="0.3">
      <c r="A3" s="4">
        <v>2</v>
      </c>
      <c r="B3" t="s">
        <v>55</v>
      </c>
      <c r="C3" s="98" cm="1">
        <f t="array" ref="C3">Table15[[#This Row],[Total]]-_xlfn.XLOOKUP($G$35,$H$36:$AC$36,Table15[[#This Row],[Saudi Arabia - 19 March]:[Abu Dhabi - 26 November]])</f>
        <v>228.5</v>
      </c>
      <c r="D3" cm="1">
        <f t="array" ref="D3">_xlfn.XLOOKUP(B3,_xlfn.SORTBY(Table15[Name],Table15[Previous Race Total],-1),$A$2:$A$27)</f>
        <v>2</v>
      </c>
      <c r="E3" cm="1">
        <f t="array" ref="E3">_xlfn.XLOOKUP(B3,_xlfn.SORTBY(Table15[Name],Table15[Total],-1),$A$2:$A$27)</f>
        <v>2</v>
      </c>
      <c r="F3" s="102">
        <f>Table15[[#This Row],[Previous race Ranking]]-Table15[[#This Row],[Current ranking]]</f>
        <v>0</v>
      </c>
      <c r="G3" s="93">
        <f t="shared" si="0"/>
        <v>240.5</v>
      </c>
      <c r="H3" s="9">
        <v>3</v>
      </c>
      <c r="I3" s="9">
        <v>8</v>
      </c>
      <c r="J3" s="9">
        <v>15</v>
      </c>
      <c r="K3" s="9" cm="1">
        <f t="array" ref="K3">IFERROR(_xlfn.XLOOKUP(1,(Table15[[#This Row],[Name]]='Google Forms'!$B:$B)*(Table15[[#Headers],[Miami - 7 May]]='Google Forms'!$C:$C),'Google Forms'!$K:$K,0,0,-1),0)</f>
        <v>25</v>
      </c>
      <c r="L3" s="9" cm="1">
        <f t="array" ref="L3">IFERROR(_xlfn.XLOOKUP(1,(Table15[[#This Row],[Name]]='Google Forms'!$B:$B)*(Table15[[#Headers],[Italy - 21 May]]='Google Forms'!$C:$C),'Google Forms'!$K:$K,0,0,-1),0)</f>
        <v>0</v>
      </c>
      <c r="M3" s="9" cm="1">
        <f t="array" ref="M3">IFERROR(_xlfn.XLOOKUP(1,(Table15[[#This Row],[Name]]='Google Forms'!$B:$B)*(Table15[[#Headers],[Monaco - 28 May]]='Google Forms'!$C:$C),'Google Forms'!$K:$K,0,0,-1),0)</f>
        <v>12.5</v>
      </c>
      <c r="N3" s="9" cm="1">
        <f t="array" ref="N3">IFERROR(_xlfn.XLOOKUP(1,(Table15[[#This Row],[Name]]='Google Forms'!$B:$B)*(Table15[[#Headers],[Spain - 4 June]]='Google Forms'!$C:$C),'Google Forms'!$K:$K,0,0,-1),0)</f>
        <v>6</v>
      </c>
      <c r="O3" s="9" cm="1">
        <f t="array" ref="O3">IFERROR(_xlfn.XLOOKUP(1,(Table15[[#This Row],[Name]]='Google Forms'!$B:$B)*(Table15[[#Headers],[Canada - 18 June]]='Google Forms'!$C:$C),'Google Forms'!$K:$K,0,0,-1),0)</f>
        <v>15</v>
      </c>
      <c r="P3" s="9" cm="1">
        <f t="array" ref="P3">IFERROR(_xlfn.XLOOKUP(1,(Table15[[#This Row],[Name]]='Google Forms'!$B:$B)*(Table15[[#Headers],[Austria - 2 July]]='Google Forms'!$C:$C),'Google Forms'!$K:$K,0,0,-1),0)</f>
        <v>25</v>
      </c>
      <c r="Q3" s="9" cm="1">
        <f t="array" ref="Q3">IFERROR(_xlfn.XLOOKUP(1,(Table15[[#This Row],[Name]]='Google Forms'!$B:$B)*(Table15[[#Headers],[Great Britain - 9 July]]='Google Forms'!$C:$C),'Google Forms'!$K:$K,0,0,-1),0)</f>
        <v>0</v>
      </c>
      <c r="R3" s="9" cm="1">
        <f t="array" ref="R3">IFERROR(_xlfn.XLOOKUP(1,(Table15[[#This Row],[Name]]='Google Forms'!$B:$B)*(Table15[[#Headers],[Hungary - 23 July]]='Google Forms'!$C:$C),'Google Forms'!$K:$K,0,0,-1),0)</f>
        <v>12.5</v>
      </c>
      <c r="S3" s="9" cm="1">
        <f t="array" ref="S3">IFERROR(_xlfn.XLOOKUP(1,(Table15[[#This Row],[Name]]='Google Forms'!$B:$B)*(Table15[[#Headers],[Belgium - 30 July]]='Google Forms'!$C:$C),'Google Forms'!$K:$K,0,0,-1),0)</f>
        <v>15</v>
      </c>
      <c r="T3" s="9" cm="1">
        <f t="array" ref="T3">IFERROR(_xlfn.XLOOKUP(1,(Table15[[#This Row],[Name]]='Google Forms'!$B:$B)*(Table15[[#Headers],[Netherlands - 27 August]]='Google Forms'!$C:$C),'Google Forms'!$K:$K,0,0,-1),0)</f>
        <v>15</v>
      </c>
      <c r="U3" s="9" cm="1">
        <f t="array" ref="U3">IFERROR(_xlfn.XLOOKUP(1,(Table15[[#This Row],[Name]]='Google Forms'!$B:$B)*(Table15[[#Headers],[Italy - 3 September]]='Google Forms'!$C:$C),'Google Forms'!$K:$K,0,0,-1),0)</f>
        <v>10</v>
      </c>
      <c r="V3" s="9" cm="1">
        <f t="array" ref="V3">IFERROR(_xlfn.XLOOKUP(1,(Table15[[#This Row],[Name]]='Google Forms'!$B:$B)*(Table15[[#Headers],[Singapore - 17 September]]='Google Forms'!$C:$C),'Google Forms'!$K:$K,0,0,-1),0)</f>
        <v>9</v>
      </c>
      <c r="W3" s="9" cm="1">
        <f t="array" ref="W3">IFERROR(_xlfn.XLOOKUP(1,(Table15[[#This Row],[Name]]='Google Forms'!$B:$B)*(Table15[[#Headers],[Japan - 24 September]]='Google Forms'!$C:$C),'Google Forms'!$K:$K,0,0,-1),0)</f>
        <v>18</v>
      </c>
      <c r="X3" s="9" cm="1">
        <f t="array" ref="X3">IFERROR(_xlfn.XLOOKUP(1,(Table15[[#This Row],[Name]]='Google Forms'!$B:$B)*(Table15[[#Headers],[Qatar - 8 October]]='Google Forms'!$C:$C),'Google Forms'!$K:$K,0,0,-1),0)</f>
        <v>8</v>
      </c>
      <c r="Y3" s="9" cm="1">
        <f t="array" ref="Y3">IFERROR(_xlfn.XLOOKUP(1,(Table15[[#This Row],[Name]]='Google Forms'!$B:$B)*(Table15[[#Headers],[United States - 22 October]]='Google Forms'!$C:$C),'Google Forms'!$K:$K,0,0,-1),0)</f>
        <v>0</v>
      </c>
      <c r="Z3" s="9" cm="1">
        <f t="array" ref="Z3">IFERROR(_xlfn.XLOOKUP(1,(Table15[[#This Row],[Name]]='Google Forms'!$B:$B)*(Table15[[#Headers],[Mexico - 29 October]]='Google Forms'!$C:$C),'Google Forms'!$K:$K,0,0,-1),0)</f>
        <v>9</v>
      </c>
      <c r="AA3" s="9" cm="1">
        <f t="array" ref="AA3">IFERROR(_xlfn.XLOOKUP(1,(Table15[[#This Row],[Name]]='Google Forms'!$B:$B)*(Table15[[#Headers],[Brazil - 5 November]]='Google Forms'!$C:$C),'Google Forms'!$K:$K,0,0,-1),0)</f>
        <v>12.5</v>
      </c>
      <c r="AB3" s="9" cm="1">
        <f t="array" ref="AB3">IFERROR(_xlfn.XLOOKUP(1,(Table15[[#This Row],[Name]]='Google Forms'!$B:$B)*(Table15[[#Headers],[Las Vegas - 18 November]]='Google Forms'!$C:$C),'Google Forms'!$K:$K,0,0,-1),0)</f>
        <v>10</v>
      </c>
      <c r="AC3" s="9" cm="1">
        <f t="array" ref="AC3">IFERROR(_xlfn.XLOOKUP(1,(Table15[[#This Row],[Name]]='Google Forms'!$B:$B)*(Table15[[#Headers],[Abu Dhabi - 26 November]]='Google Forms'!$C:$C),'Google Forms'!$K:$K,0,0,-1),0)</f>
        <v>12</v>
      </c>
    </row>
    <row r="4" spans="1:29" ht="15.6" x14ac:dyDescent="0.3">
      <c r="A4" s="4">
        <v>3</v>
      </c>
      <c r="B4" t="s">
        <v>51</v>
      </c>
      <c r="C4" cm="1">
        <f t="array" ref="C4">Table15[[#This Row],[Total]]-_xlfn.XLOOKUP($G$35,$H$36:$AC$36,Table15[[#This Row],[Saudi Arabia - 19 March]:[Abu Dhabi - 26 November]])</f>
        <v>219</v>
      </c>
      <c r="D4" cm="1">
        <f t="array" ref="D4">_xlfn.XLOOKUP(B4,_xlfn.SORTBY(Table15[Name],Table15[Previous Race Total],-1),$A$2:$A$27)</f>
        <v>3</v>
      </c>
      <c r="E4" cm="1">
        <f t="array" ref="E4">_xlfn.XLOOKUP(B4,_xlfn.SORTBY(Table15[Name],Table15[Total],-1),$A$2:$A$27)</f>
        <v>3</v>
      </c>
      <c r="F4" s="102">
        <f>Table15[[#This Row],[Previous race Ranking]]-Table15[[#This Row],[Current ranking]]</f>
        <v>0</v>
      </c>
      <c r="G4" s="93">
        <f t="shared" si="0"/>
        <v>229</v>
      </c>
      <c r="H4" s="9">
        <v>25</v>
      </c>
      <c r="I4" s="9">
        <v>25</v>
      </c>
      <c r="J4" s="9">
        <v>5</v>
      </c>
      <c r="K4" s="9" cm="1">
        <f t="array" ref="K4">IFERROR(_xlfn.XLOOKUP(1,(Table15[[#This Row],[Name]]='Google Forms'!$B:$B)*(Table15[[#Headers],[Miami - 7 May]]='Google Forms'!$C:$C),'Google Forms'!$K:$K,0,0,-1),0)</f>
        <v>2</v>
      </c>
      <c r="L4" s="9" cm="1">
        <f t="array" ref="L4">IFERROR(_xlfn.XLOOKUP(1,(Table15[[#This Row],[Name]]='Google Forms'!$B:$B)*(Table15[[#Headers],[Italy - 21 May]]='Google Forms'!$C:$C),'Google Forms'!$K:$K,0,0,-1),0)</f>
        <v>0</v>
      </c>
      <c r="M4" s="9" cm="1">
        <f t="array" ref="M4">IFERROR(_xlfn.XLOOKUP(1,(Table15[[#This Row],[Name]]='Google Forms'!$B:$B)*(Table15[[#Headers],[Monaco - 28 May]]='Google Forms'!$C:$C),'Google Forms'!$K:$K,0,0,-1),0)</f>
        <v>25</v>
      </c>
      <c r="N4" s="9" cm="1">
        <f t="array" ref="N4">IFERROR(_xlfn.XLOOKUP(1,(Table15[[#This Row],[Name]]='Google Forms'!$B:$B)*(Table15[[#Headers],[Spain - 4 June]]='Google Forms'!$C:$C),'Google Forms'!$K:$K,0,0,-1),0)</f>
        <v>9</v>
      </c>
      <c r="O4" s="9" cm="1">
        <f t="array" ref="O4">IFERROR(_xlfn.XLOOKUP(1,(Table15[[#This Row],[Name]]='Google Forms'!$B:$B)*(Table15[[#Headers],[Canada - 18 June]]='Google Forms'!$C:$C),'Google Forms'!$K:$K,0,0,-1),0)</f>
        <v>15</v>
      </c>
      <c r="P4" s="9" cm="1">
        <f t="array" ref="P4">IFERROR(_xlfn.XLOOKUP(1,(Table15[[#This Row],[Name]]='Google Forms'!$B:$B)*(Table15[[#Headers],[Austria - 2 July]]='Google Forms'!$C:$C),'Google Forms'!$K:$K,0,0,-1),0)</f>
        <v>1</v>
      </c>
      <c r="Q4" s="9" cm="1">
        <f t="array" ref="Q4">IFERROR(_xlfn.XLOOKUP(1,(Table15[[#This Row],[Name]]='Google Forms'!$B:$B)*(Table15[[#Headers],[Great Britain - 9 July]]='Google Forms'!$C:$C),'Google Forms'!$K:$K,0,0,-1),0)</f>
        <v>12</v>
      </c>
      <c r="R4" s="9" cm="1">
        <f t="array" ref="R4">IFERROR(_xlfn.XLOOKUP(1,(Table15[[#This Row],[Name]]='Google Forms'!$B:$B)*(Table15[[#Headers],[Hungary - 23 July]]='Google Forms'!$C:$C),'Google Forms'!$K:$K,0,0,-1),0)</f>
        <v>6</v>
      </c>
      <c r="S4" s="9" cm="1">
        <f t="array" ref="S4">IFERROR(_xlfn.XLOOKUP(1,(Table15[[#This Row],[Name]]='Google Forms'!$B:$B)*(Table15[[#Headers],[Belgium - 30 July]]='Google Forms'!$C:$C),'Google Forms'!$K:$K,0,0,-1),0)</f>
        <v>25</v>
      </c>
      <c r="T4" s="9" cm="1">
        <f t="array" ref="T4">IFERROR(_xlfn.XLOOKUP(1,(Table15[[#This Row],[Name]]='Google Forms'!$B:$B)*(Table15[[#Headers],[Netherlands - 27 August]]='Google Forms'!$C:$C),'Google Forms'!$K:$K,0,0,-1),0)</f>
        <v>0</v>
      </c>
      <c r="U4" s="9" cm="1">
        <f t="array" ref="U4">IFERROR(_xlfn.XLOOKUP(1,(Table15[[#This Row],[Name]]='Google Forms'!$B:$B)*(Table15[[#Headers],[Italy - 3 September]]='Google Forms'!$C:$C),'Google Forms'!$K:$K,0,0,-1),0)</f>
        <v>10</v>
      </c>
      <c r="V4" s="9" cm="1">
        <f t="array" ref="V4">IFERROR(_xlfn.XLOOKUP(1,(Table15[[#This Row],[Name]]='Google Forms'!$B:$B)*(Table15[[#Headers],[Singapore - 17 September]]='Google Forms'!$C:$C),'Google Forms'!$K:$K,0,0,-1),0)</f>
        <v>7.5</v>
      </c>
      <c r="W4" s="9" cm="1">
        <f t="array" ref="W4">IFERROR(_xlfn.XLOOKUP(1,(Table15[[#This Row],[Name]]='Google Forms'!$B:$B)*(Table15[[#Headers],[Japan - 24 September]]='Google Forms'!$C:$C),'Google Forms'!$K:$K,0,0,-1),0)</f>
        <v>7.5</v>
      </c>
      <c r="X4" s="9" cm="1">
        <f t="array" ref="X4">IFERROR(_xlfn.XLOOKUP(1,(Table15[[#This Row],[Name]]='Google Forms'!$B:$B)*(Table15[[#Headers],[Qatar - 8 October]]='Google Forms'!$C:$C),'Google Forms'!$K:$K,0,0,-1),0)</f>
        <v>4</v>
      </c>
      <c r="Y4" s="9" cm="1">
        <f t="array" ref="Y4">IFERROR(_xlfn.XLOOKUP(1,(Table15[[#This Row],[Name]]='Google Forms'!$B:$B)*(Table15[[#Headers],[United States - 22 October]]='Google Forms'!$C:$C),'Google Forms'!$K:$K,0,0,-1),0)</f>
        <v>12</v>
      </c>
      <c r="Z4" s="9" cm="1">
        <f t="array" ref="Z4">IFERROR(_xlfn.XLOOKUP(1,(Table15[[#This Row],[Name]]='Google Forms'!$B:$B)*(Table15[[#Headers],[Mexico - 29 October]]='Google Forms'!$C:$C),'Google Forms'!$K:$K,0,0,-1),0)</f>
        <v>12</v>
      </c>
      <c r="AA4" s="9" cm="1">
        <f t="array" ref="AA4">IFERROR(_xlfn.XLOOKUP(1,(Table15[[#This Row],[Name]]='Google Forms'!$B:$B)*(Table15[[#Headers],[Brazil - 5 November]]='Google Forms'!$C:$C),'Google Forms'!$K:$K,0,0,-1),0)</f>
        <v>10</v>
      </c>
      <c r="AB4" s="9" cm="1">
        <f t="array" ref="AB4">IFERROR(_xlfn.XLOOKUP(1,(Table15[[#This Row],[Name]]='Google Forms'!$B:$B)*(Table15[[#Headers],[Las Vegas - 18 November]]='Google Forms'!$C:$C),'Google Forms'!$K:$K,0,0,-1),0)</f>
        <v>6</v>
      </c>
      <c r="AC4" s="9" cm="1">
        <f t="array" ref="AC4">IFERROR(_xlfn.XLOOKUP(1,(Table15[[#This Row],[Name]]='Google Forms'!$B:$B)*(Table15[[#Headers],[Abu Dhabi - 26 November]]='Google Forms'!$C:$C),'Google Forms'!$K:$K,0,0,-1),0)</f>
        <v>10</v>
      </c>
    </row>
    <row r="5" spans="1:29" ht="15.6" x14ac:dyDescent="0.3">
      <c r="A5" s="4">
        <v>4</v>
      </c>
      <c r="B5" t="s">
        <v>52</v>
      </c>
      <c r="C5" cm="1">
        <f t="array" ref="C5">Table15[[#This Row],[Total]]-_xlfn.XLOOKUP($G$35,$H$36:$AC$36,Table15[[#This Row],[Saudi Arabia - 19 March]:[Abu Dhabi - 26 November]])</f>
        <v>213.5</v>
      </c>
      <c r="D5" cm="1">
        <f t="array" ref="D5">_xlfn.XLOOKUP(B5,_xlfn.SORTBY(Table15[Name],Table15[Previous Race Total],-1),$A$2:$A$27)</f>
        <v>4</v>
      </c>
      <c r="E5" cm="1">
        <f t="array" ref="E5">_xlfn.XLOOKUP(B5,_xlfn.SORTBY(Table15[Name],Table15[Total],-1),$A$2:$A$27)</f>
        <v>4</v>
      </c>
      <c r="F5" s="102">
        <f>Table15[[#This Row],[Previous race Ranking]]-Table15[[#This Row],[Current ranking]]</f>
        <v>0</v>
      </c>
      <c r="G5" s="93">
        <f t="shared" si="0"/>
        <v>225.5</v>
      </c>
      <c r="H5" s="9">
        <v>18</v>
      </c>
      <c r="I5" s="9">
        <v>25</v>
      </c>
      <c r="J5" s="9">
        <v>12.5</v>
      </c>
      <c r="K5" s="9" cm="1">
        <f t="array" ref="K5">IFERROR(_xlfn.XLOOKUP(1,(Table15[[#This Row],[Name]]='Google Forms'!$B:$B)*(Table15[[#Headers],[Miami - 7 May]]='Google Forms'!$C:$C),'Google Forms'!$K:$K,0,0,-1),0)</f>
        <v>12</v>
      </c>
      <c r="L5" s="9" cm="1">
        <f t="array" ref="L5">IFERROR(_xlfn.XLOOKUP(1,(Table15[[#This Row],[Name]]='Google Forms'!$B:$B)*(Table15[[#Headers],[Italy - 21 May]]='Google Forms'!$C:$C),'Google Forms'!$K:$K,0,0,-1),0)</f>
        <v>0</v>
      </c>
      <c r="M5" s="9" cm="1">
        <f t="array" ref="M5">IFERROR(_xlfn.XLOOKUP(1,(Table15[[#This Row],[Name]]='Google Forms'!$B:$B)*(Table15[[#Headers],[Monaco - 28 May]]='Google Forms'!$C:$C),'Google Forms'!$K:$K,0,0,-1),0)</f>
        <v>9</v>
      </c>
      <c r="N5" s="9" cm="1">
        <f t="array" ref="N5">IFERROR(_xlfn.XLOOKUP(1,(Table15[[#This Row],[Name]]='Google Forms'!$B:$B)*(Table15[[#Headers],[Spain - 4 June]]='Google Forms'!$C:$C),'Google Forms'!$K:$K,0,0,-1),0)</f>
        <v>10</v>
      </c>
      <c r="O5" s="9" cm="1">
        <f t="array" ref="O5">IFERROR(_xlfn.XLOOKUP(1,(Table15[[#This Row],[Name]]='Google Forms'!$B:$B)*(Table15[[#Headers],[Canada - 18 June]]='Google Forms'!$C:$C),'Google Forms'!$K:$K,0,0,-1),0)</f>
        <v>9</v>
      </c>
      <c r="P5" s="9" cm="1">
        <f t="array" ref="P5">IFERROR(_xlfn.XLOOKUP(1,(Table15[[#This Row],[Name]]='Google Forms'!$B:$B)*(Table15[[#Headers],[Austria - 2 July]]='Google Forms'!$C:$C),'Google Forms'!$K:$K,0,0,-1),0)</f>
        <v>12.5</v>
      </c>
      <c r="Q5" s="9" cm="1">
        <f t="array" ref="Q5">IFERROR(_xlfn.XLOOKUP(1,(Table15[[#This Row],[Name]]='Google Forms'!$B:$B)*(Table15[[#Headers],[Great Britain - 9 July]]='Google Forms'!$C:$C),'Google Forms'!$K:$K,0,0,-1),0)</f>
        <v>0</v>
      </c>
      <c r="R5" s="9" cm="1">
        <f t="array" ref="R5">IFERROR(_xlfn.XLOOKUP(1,(Table15[[#This Row],[Name]]='Google Forms'!$B:$B)*(Table15[[#Headers],[Hungary - 23 July]]='Google Forms'!$C:$C),'Google Forms'!$K:$K,0,0,-1),0)</f>
        <v>6</v>
      </c>
      <c r="S5" s="9" cm="1">
        <f t="array" ref="S5">IFERROR(_xlfn.XLOOKUP(1,(Table15[[#This Row],[Name]]='Google Forms'!$B:$B)*(Table15[[#Headers],[Belgium - 30 July]]='Google Forms'!$C:$C),'Google Forms'!$K:$K,0,0,-1),0)</f>
        <v>15</v>
      </c>
      <c r="T5" s="9" cm="1">
        <f t="array" ref="T5">IFERROR(_xlfn.XLOOKUP(1,(Table15[[#This Row],[Name]]='Google Forms'!$B:$B)*(Table15[[#Headers],[Netherlands - 27 August]]='Google Forms'!$C:$C),'Google Forms'!$K:$K,0,0,-1),0)</f>
        <v>7.5</v>
      </c>
      <c r="U5" s="9" cm="1">
        <f t="array" ref="U5">IFERROR(_xlfn.XLOOKUP(1,(Table15[[#This Row],[Name]]='Google Forms'!$B:$B)*(Table15[[#Headers],[Italy - 3 September]]='Google Forms'!$C:$C),'Google Forms'!$K:$K,0,0,-1),0)</f>
        <v>7.5</v>
      </c>
      <c r="V5" s="9" cm="1">
        <f t="array" ref="V5">IFERROR(_xlfn.XLOOKUP(1,(Table15[[#This Row],[Name]]='Google Forms'!$B:$B)*(Table15[[#Headers],[Singapore - 17 September]]='Google Forms'!$C:$C),'Google Forms'!$K:$K,0,0,-1),0)</f>
        <v>25</v>
      </c>
      <c r="W5" s="9" cm="1">
        <f t="array" ref="W5">IFERROR(_xlfn.XLOOKUP(1,(Table15[[#This Row],[Name]]='Google Forms'!$B:$B)*(Table15[[#Headers],[Japan - 24 September]]='Google Forms'!$C:$C),'Google Forms'!$K:$K,0,0,-1),0)</f>
        <v>15</v>
      </c>
      <c r="X5" s="9" cm="1">
        <f t="array" ref="X5">IFERROR(_xlfn.XLOOKUP(1,(Table15[[#This Row],[Name]]='Google Forms'!$B:$B)*(Table15[[#Headers],[Qatar - 8 October]]='Google Forms'!$C:$C),'Google Forms'!$K:$K,0,0,-1),0)</f>
        <v>10</v>
      </c>
      <c r="Y5" s="9" cm="1">
        <f t="array" ref="Y5">IFERROR(_xlfn.XLOOKUP(1,(Table15[[#This Row],[Name]]='Google Forms'!$B:$B)*(Table15[[#Headers],[United States - 22 October]]='Google Forms'!$C:$C),'Google Forms'!$K:$K,0,0,-1),0)</f>
        <v>6</v>
      </c>
      <c r="Z5" s="9" cm="1">
        <f t="array" ref="Z5">IFERROR(_xlfn.XLOOKUP(1,(Table15[[#This Row],[Name]]='Google Forms'!$B:$B)*(Table15[[#Headers],[Mexico - 29 October]]='Google Forms'!$C:$C),'Google Forms'!$K:$K,0,0,-1),0)</f>
        <v>7.5</v>
      </c>
      <c r="AA5" s="9" cm="1">
        <f t="array" ref="AA5">IFERROR(_xlfn.XLOOKUP(1,(Table15[[#This Row],[Name]]='Google Forms'!$B:$B)*(Table15[[#Headers],[Brazil - 5 November]]='Google Forms'!$C:$C),'Google Forms'!$K:$K,0,0,-1),0)</f>
        <v>1</v>
      </c>
      <c r="AB5" s="9" cm="1">
        <f t="array" ref="AB5">IFERROR(_xlfn.XLOOKUP(1,(Table15[[#This Row],[Name]]='Google Forms'!$B:$B)*(Table15[[#Headers],[Las Vegas - 18 November]]='Google Forms'!$C:$C),'Google Forms'!$K:$K,0,0,-1),0)</f>
        <v>5</v>
      </c>
      <c r="AC5" s="9" cm="1">
        <f t="array" ref="AC5">IFERROR(_xlfn.XLOOKUP(1,(Table15[[#This Row],[Name]]='Google Forms'!$B:$B)*(Table15[[#Headers],[Abu Dhabi - 26 November]]='Google Forms'!$C:$C),'Google Forms'!$K:$K,0,0,-1),0)</f>
        <v>12</v>
      </c>
    </row>
    <row r="6" spans="1:29" ht="15.6" x14ac:dyDescent="0.3">
      <c r="A6" s="4">
        <v>5</v>
      </c>
      <c r="B6" t="s">
        <v>59</v>
      </c>
      <c r="C6" cm="1">
        <f t="array" ref="C6">Table15[[#This Row],[Total]]-_xlfn.XLOOKUP($G$35,$H$36:$AC$36,Table15[[#This Row],[Saudi Arabia - 19 March]:[Abu Dhabi - 26 November]])</f>
        <v>213.25</v>
      </c>
      <c r="D6" cm="1">
        <f t="array" ref="D6">_xlfn.XLOOKUP(B6,_xlfn.SORTBY(Table15[Name],Table15[Previous Race Total],-1),$A$2:$A$27)</f>
        <v>5</v>
      </c>
      <c r="E6" cm="1">
        <f t="array" ref="E6">_xlfn.XLOOKUP(B6,_xlfn.SORTBY(Table15[Name],Table15[Total],-1),$A$2:$A$27)</f>
        <v>5</v>
      </c>
      <c r="F6" s="102">
        <f>Table15[[#This Row],[Previous race Ranking]]-Table15[[#This Row],[Current ranking]]</f>
        <v>0</v>
      </c>
      <c r="G6" s="93">
        <f t="shared" si="0"/>
        <v>218.25</v>
      </c>
      <c r="H6" s="9">
        <v>6</v>
      </c>
      <c r="I6" s="9">
        <v>25</v>
      </c>
      <c r="J6" s="9">
        <v>0.25</v>
      </c>
      <c r="K6" s="9" cm="1">
        <f t="array" ref="K6">IFERROR(_xlfn.XLOOKUP(1,(Table15[[#This Row],[Name]]='Google Forms'!$B:$B)*(Table15[[#Headers],[Miami - 7 May]]='Google Forms'!$C:$C),'Google Forms'!$K:$K,0,0,-1),0)</f>
        <v>12</v>
      </c>
      <c r="L6" s="9" cm="1">
        <f t="array" ref="L6">IFERROR(_xlfn.XLOOKUP(1,(Table15[[#This Row],[Name]]='Google Forms'!$B:$B)*(Table15[[#Headers],[Italy - 21 May]]='Google Forms'!$C:$C),'Google Forms'!$K:$K,0,0,-1),0)</f>
        <v>0</v>
      </c>
      <c r="M6" s="9" cm="1">
        <f t="array" ref="M6">IFERROR(_xlfn.XLOOKUP(1,(Table15[[#This Row],[Name]]='Google Forms'!$B:$B)*(Table15[[#Headers],[Monaco - 28 May]]='Google Forms'!$C:$C),'Google Forms'!$K:$K,0,0,-1),0)</f>
        <v>0.5</v>
      </c>
      <c r="N6" s="9" cm="1">
        <f t="array" ref="N6">IFERROR(_xlfn.XLOOKUP(1,(Table15[[#This Row],[Name]]='Google Forms'!$B:$B)*(Table15[[#Headers],[Spain - 4 June]]='Google Forms'!$C:$C),'Google Forms'!$K:$K,0,0,-1),0)</f>
        <v>25</v>
      </c>
      <c r="O6" s="9" cm="1">
        <f t="array" ref="O6">IFERROR(_xlfn.XLOOKUP(1,(Table15[[#This Row],[Name]]='Google Forms'!$B:$B)*(Table15[[#Headers],[Canada - 18 June]]='Google Forms'!$C:$C),'Google Forms'!$K:$K,0,0,-1),0)</f>
        <v>7.5</v>
      </c>
      <c r="P6" s="9" cm="1">
        <f t="array" ref="P6">IFERROR(_xlfn.XLOOKUP(1,(Table15[[#This Row],[Name]]='Google Forms'!$B:$B)*(Table15[[#Headers],[Austria - 2 July]]='Google Forms'!$C:$C),'Google Forms'!$K:$K,0,0,-1),0)</f>
        <v>0.25</v>
      </c>
      <c r="Q6" s="9" cm="1">
        <f t="array" ref="Q6">IFERROR(_xlfn.XLOOKUP(1,(Table15[[#This Row],[Name]]='Google Forms'!$B:$B)*(Table15[[#Headers],[Great Britain - 9 July]]='Google Forms'!$C:$C),'Google Forms'!$K:$K,0,0,-1),0)</f>
        <v>2</v>
      </c>
      <c r="R6" s="9" cm="1">
        <f t="array" ref="R6">IFERROR(_xlfn.XLOOKUP(1,(Table15[[#This Row],[Name]]='Google Forms'!$B:$B)*(Table15[[#Headers],[Hungary - 23 July]]='Google Forms'!$C:$C),'Google Forms'!$K:$K,0,0,-1),0)</f>
        <v>12.5</v>
      </c>
      <c r="S6" s="9" cm="1">
        <f t="array" ref="S6">IFERROR(_xlfn.XLOOKUP(1,(Table15[[#This Row],[Name]]='Google Forms'!$B:$B)*(Table15[[#Headers],[Belgium - 30 July]]='Google Forms'!$C:$C),'Google Forms'!$K:$K,0,0,-1),0)</f>
        <v>18</v>
      </c>
      <c r="T6" s="9" cm="1">
        <f t="array" ref="T6">IFERROR(_xlfn.XLOOKUP(1,(Table15[[#This Row],[Name]]='Google Forms'!$B:$B)*(Table15[[#Headers],[Netherlands - 27 August]]='Google Forms'!$C:$C),'Google Forms'!$K:$K,0,0,-1),0)</f>
        <v>18</v>
      </c>
      <c r="U6" s="9" cm="1">
        <f t="array" ref="U6">IFERROR(_xlfn.XLOOKUP(1,(Table15[[#This Row],[Name]]='Google Forms'!$B:$B)*(Table15[[#Headers],[Italy - 3 September]]='Google Forms'!$C:$C),'Google Forms'!$K:$K,0,0,-1),0)</f>
        <v>10</v>
      </c>
      <c r="V6" s="9" cm="1">
        <f t="array" ref="V6">IFERROR(_xlfn.XLOOKUP(1,(Table15[[#This Row],[Name]]='Google Forms'!$B:$B)*(Table15[[#Headers],[Singapore - 17 September]]='Google Forms'!$C:$C),'Google Forms'!$K:$K,0,0,-1),0)</f>
        <v>15</v>
      </c>
      <c r="W6" s="9" cm="1">
        <f t="array" ref="W6">IFERROR(_xlfn.XLOOKUP(1,(Table15[[#This Row],[Name]]='Google Forms'!$B:$B)*(Table15[[#Headers],[Japan - 24 September]]='Google Forms'!$C:$C),'Google Forms'!$K:$K,0,0,-1),0)</f>
        <v>15</v>
      </c>
      <c r="X6" s="9" cm="1">
        <f t="array" ref="X6">IFERROR(_xlfn.XLOOKUP(1,(Table15[[#This Row],[Name]]='Google Forms'!$B:$B)*(Table15[[#Headers],[Qatar - 8 October]]='Google Forms'!$C:$C),'Google Forms'!$K:$K,0,0,-1),0)</f>
        <v>8</v>
      </c>
      <c r="Y6" s="9" cm="1">
        <f t="array" ref="Y6">IFERROR(_xlfn.XLOOKUP(1,(Table15[[#This Row],[Name]]='Google Forms'!$B:$B)*(Table15[[#Headers],[United States - 22 October]]='Google Forms'!$C:$C),'Google Forms'!$K:$K,0,0,-1),0)</f>
        <v>12.5</v>
      </c>
      <c r="Z6" s="9" cm="1">
        <f t="array" ref="Z6">IFERROR(_xlfn.XLOOKUP(1,(Table15[[#This Row],[Name]]='Google Forms'!$B:$B)*(Table15[[#Headers],[Mexico - 29 October]]='Google Forms'!$C:$C),'Google Forms'!$K:$K,0,0,-1),0)</f>
        <v>0.25</v>
      </c>
      <c r="AA6" s="9" cm="1">
        <f t="array" ref="AA6">IFERROR(_xlfn.XLOOKUP(1,(Table15[[#This Row],[Name]]='Google Forms'!$B:$B)*(Table15[[#Headers],[Brazil - 5 November]]='Google Forms'!$C:$C),'Google Forms'!$K:$K,0,0,-1),0)</f>
        <v>25</v>
      </c>
      <c r="AB6" s="9" cm="1">
        <f t="array" ref="AB6">IFERROR(_xlfn.XLOOKUP(1,(Table15[[#This Row],[Name]]='Google Forms'!$B:$B)*(Table15[[#Headers],[Las Vegas - 18 November]]='Google Forms'!$C:$C),'Google Forms'!$K:$K,0,0,-1),0)</f>
        <v>0.5</v>
      </c>
      <c r="AC6" s="9" cm="1">
        <f t="array" ref="AC6">IFERROR(_xlfn.XLOOKUP(1,(Table15[[#This Row],[Name]]='Google Forms'!$B:$B)*(Table15[[#Headers],[Abu Dhabi - 26 November]]='Google Forms'!$C:$C),'Google Forms'!$K:$K,0,0,-1),0)</f>
        <v>5</v>
      </c>
    </row>
    <row r="7" spans="1:29" ht="15.6" x14ac:dyDescent="0.3">
      <c r="A7" s="4">
        <v>6</v>
      </c>
      <c r="B7" t="s">
        <v>60</v>
      </c>
      <c r="C7" cm="1">
        <f t="array" ref="C7">Table15[[#This Row],[Total]]-_xlfn.XLOOKUP($G$35,$H$36:$AC$36,Table15[[#This Row],[Saudi Arabia - 19 March]:[Abu Dhabi - 26 November]])</f>
        <v>203</v>
      </c>
      <c r="D7" cm="1">
        <f t="array" ref="D7">_xlfn.XLOOKUP(B7,_xlfn.SORTBY(Table15[Name],Table15[Previous Race Total],-1),$A$2:$A$27)</f>
        <v>6</v>
      </c>
      <c r="E7" cm="1">
        <f t="array" ref="E7">_xlfn.XLOOKUP(B7,_xlfn.SORTBY(Table15[Name],Table15[Total],-1),$A$2:$A$27)</f>
        <v>6</v>
      </c>
      <c r="F7" s="102">
        <f>Table15[[#This Row],[Previous race Ranking]]-Table15[[#This Row],[Current ranking]]</f>
        <v>0</v>
      </c>
      <c r="G7" s="93">
        <f t="shared" si="0"/>
        <v>215</v>
      </c>
      <c r="H7" s="9">
        <v>0</v>
      </c>
      <c r="I7" s="9">
        <v>8</v>
      </c>
      <c r="J7" s="9">
        <v>25</v>
      </c>
      <c r="K7" s="9" cm="1">
        <f t="array" ref="K7">IFERROR(_xlfn.XLOOKUP(1,(Table15[[#This Row],[Name]]='Google Forms'!$B:$B)*(Table15[[#Headers],[Miami - 7 May]]='Google Forms'!$C:$C),'Google Forms'!$K:$K,0,0,-1),0)</f>
        <v>18</v>
      </c>
      <c r="L7" s="9" cm="1">
        <f t="array" ref="L7">IFERROR(_xlfn.XLOOKUP(1,(Table15[[#This Row],[Name]]='Google Forms'!$B:$B)*(Table15[[#Headers],[Italy - 21 May]]='Google Forms'!$C:$C),'Google Forms'!$K:$K,0,0,-1),0)</f>
        <v>0</v>
      </c>
      <c r="M7" s="9" cm="1">
        <f t="array" ref="M7">IFERROR(_xlfn.XLOOKUP(1,(Table15[[#This Row],[Name]]='Google Forms'!$B:$B)*(Table15[[#Headers],[Monaco - 28 May]]='Google Forms'!$C:$C),'Google Forms'!$K:$K,0,0,-1),0)</f>
        <v>9</v>
      </c>
      <c r="N7" s="9" cm="1">
        <f t="array" ref="N7">IFERROR(_xlfn.XLOOKUP(1,(Table15[[#This Row],[Name]]='Google Forms'!$B:$B)*(Table15[[#Headers],[Spain - 4 June]]='Google Forms'!$C:$C),'Google Forms'!$K:$K,0,0,-1),0)</f>
        <v>0.5</v>
      </c>
      <c r="O7" s="9" cm="1">
        <f t="array" ref="O7">IFERROR(_xlfn.XLOOKUP(1,(Table15[[#This Row],[Name]]='Google Forms'!$B:$B)*(Table15[[#Headers],[Canada - 18 June]]='Google Forms'!$C:$C),'Google Forms'!$K:$K,0,0,-1),0)</f>
        <v>15</v>
      </c>
      <c r="P7" s="9" cm="1">
        <f t="array" ref="P7">IFERROR(_xlfn.XLOOKUP(1,(Table15[[#This Row],[Name]]='Google Forms'!$B:$B)*(Table15[[#Headers],[Austria - 2 July]]='Google Forms'!$C:$C),'Google Forms'!$K:$K,0,0,-1),0)</f>
        <v>25</v>
      </c>
      <c r="Q7" s="9" cm="1">
        <f t="array" ref="Q7">IFERROR(_xlfn.XLOOKUP(1,(Table15[[#This Row],[Name]]='Google Forms'!$B:$B)*(Table15[[#Headers],[Great Britain - 9 July]]='Google Forms'!$C:$C),'Google Forms'!$K:$K,0,0,-1),0)</f>
        <v>0</v>
      </c>
      <c r="R7" s="9" cm="1">
        <f t="array" ref="R7">IFERROR(_xlfn.XLOOKUP(1,(Table15[[#This Row],[Name]]='Google Forms'!$B:$B)*(Table15[[#Headers],[Hungary - 23 July]]='Google Forms'!$C:$C),'Google Forms'!$K:$K,0,0,-1),0)</f>
        <v>10</v>
      </c>
      <c r="S7" s="9" cm="1">
        <f t="array" ref="S7">IFERROR(_xlfn.XLOOKUP(1,(Table15[[#This Row],[Name]]='Google Forms'!$B:$B)*(Table15[[#Headers],[Belgium - 30 July]]='Google Forms'!$C:$C),'Google Forms'!$K:$K,0,0,-1),0)</f>
        <v>18</v>
      </c>
      <c r="T7" s="9" cm="1">
        <f t="array" ref="T7">IFERROR(_xlfn.XLOOKUP(1,(Table15[[#This Row],[Name]]='Google Forms'!$B:$B)*(Table15[[#Headers],[Netherlands - 27 August]]='Google Forms'!$C:$C),'Google Forms'!$K:$K,0,0,-1),0)</f>
        <v>18</v>
      </c>
      <c r="U7" s="9" cm="1">
        <f t="array" ref="U7">IFERROR(_xlfn.XLOOKUP(1,(Table15[[#This Row],[Name]]='Google Forms'!$B:$B)*(Table15[[#Headers],[Italy - 3 September]]='Google Forms'!$C:$C),'Google Forms'!$K:$K,0,0,-1),0)</f>
        <v>8</v>
      </c>
      <c r="V7" s="9" cm="1">
        <f t="array" ref="V7">IFERROR(_xlfn.XLOOKUP(1,(Table15[[#This Row],[Name]]='Google Forms'!$B:$B)*(Table15[[#Headers],[Singapore - 17 September]]='Google Forms'!$C:$C),'Google Forms'!$K:$K,0,0,-1),0)</f>
        <v>12</v>
      </c>
      <c r="W7" s="9" cm="1">
        <f t="array" ref="W7">IFERROR(_xlfn.XLOOKUP(1,(Table15[[#This Row],[Name]]='Google Forms'!$B:$B)*(Table15[[#Headers],[Japan - 24 September]]='Google Forms'!$C:$C),'Google Forms'!$K:$K,0,0,-1),0)</f>
        <v>0</v>
      </c>
      <c r="X7" s="9" cm="1">
        <f t="array" ref="X7">IFERROR(_xlfn.XLOOKUP(1,(Table15[[#This Row],[Name]]='Google Forms'!$B:$B)*(Table15[[#Headers],[Qatar - 8 October]]='Google Forms'!$C:$C),'Google Forms'!$K:$K,0,0,-1),0)</f>
        <v>12</v>
      </c>
      <c r="Y7" s="9" cm="1">
        <f t="array" ref="Y7">IFERROR(_xlfn.XLOOKUP(1,(Table15[[#This Row],[Name]]='Google Forms'!$B:$B)*(Table15[[#Headers],[United States - 22 October]]='Google Forms'!$C:$C),'Google Forms'!$K:$K,0,0,-1),0)</f>
        <v>6</v>
      </c>
      <c r="Z7" s="9" cm="1">
        <f t="array" ref="Z7">IFERROR(_xlfn.XLOOKUP(1,(Table15[[#This Row],[Name]]='Google Forms'!$B:$B)*(Table15[[#Headers],[Mexico - 29 October]]='Google Forms'!$C:$C),'Google Forms'!$K:$K,0,0,-1),0)</f>
        <v>0</v>
      </c>
      <c r="AA7" s="9" cm="1">
        <f t="array" ref="AA7">IFERROR(_xlfn.XLOOKUP(1,(Table15[[#This Row],[Name]]='Google Forms'!$B:$B)*(Table15[[#Headers],[Brazil - 5 November]]='Google Forms'!$C:$C),'Google Forms'!$K:$K,0,0,-1),0)</f>
        <v>12.5</v>
      </c>
      <c r="AB7" s="9" cm="1">
        <f t="array" ref="AB7">IFERROR(_xlfn.XLOOKUP(1,(Table15[[#This Row],[Name]]='Google Forms'!$B:$B)*(Table15[[#Headers],[Las Vegas - 18 November]]='Google Forms'!$C:$C),'Google Forms'!$K:$K,0,0,-1),0)</f>
        <v>6</v>
      </c>
      <c r="AC7" s="9" cm="1">
        <f t="array" ref="AC7">IFERROR(_xlfn.XLOOKUP(1,(Table15[[#This Row],[Name]]='Google Forms'!$B:$B)*(Table15[[#Headers],[Abu Dhabi - 26 November]]='Google Forms'!$C:$C),'Google Forms'!$K:$K,0,0,-1),0)</f>
        <v>12</v>
      </c>
    </row>
    <row r="8" spans="1:29" ht="15.6" x14ac:dyDescent="0.3">
      <c r="A8" s="4">
        <v>7</v>
      </c>
      <c r="B8" t="s">
        <v>58</v>
      </c>
      <c r="C8" cm="1">
        <f t="array" ref="C8">Table15[[#This Row],[Total]]-_xlfn.XLOOKUP($G$35,$H$36:$AC$36,Table15[[#This Row],[Saudi Arabia - 19 March]:[Abu Dhabi - 26 November]])</f>
        <v>197</v>
      </c>
      <c r="D8" cm="1">
        <f t="array" ref="D8">_xlfn.XLOOKUP(B8,_xlfn.SORTBY(Table15[Name],Table15[Previous Race Total],-1),$A$2:$A$27)</f>
        <v>7</v>
      </c>
      <c r="E8" cm="1">
        <f t="array" ref="E8">_xlfn.XLOOKUP(B8,_xlfn.SORTBY(Table15[Name],Table15[Total],-1),$A$2:$A$27)</f>
        <v>7</v>
      </c>
      <c r="F8" s="102">
        <f>Table15[[#This Row],[Previous race Ranking]]-Table15[[#This Row],[Current ranking]]</f>
        <v>0</v>
      </c>
      <c r="G8" s="93">
        <f t="shared" si="0"/>
        <v>203</v>
      </c>
      <c r="H8" s="9">
        <v>9</v>
      </c>
      <c r="I8" s="9">
        <v>0</v>
      </c>
      <c r="J8" s="9">
        <v>25</v>
      </c>
      <c r="K8" s="9" cm="1">
        <f t="array" ref="K8">IFERROR(_xlfn.XLOOKUP(1,(Table15[[#This Row],[Name]]='Google Forms'!$B:$B)*(Table15[[#Headers],[Miami - 7 May]]='Google Forms'!$C:$C),'Google Forms'!$K:$K,0,0,-1),0)</f>
        <v>18</v>
      </c>
      <c r="L8" s="9" cm="1">
        <f t="array" ref="L8">IFERROR(_xlfn.XLOOKUP(1,(Table15[[#This Row],[Name]]='Google Forms'!$B:$B)*(Table15[[#Headers],[Italy - 21 May]]='Google Forms'!$C:$C),'Google Forms'!$K:$K,0,0,-1),0)</f>
        <v>0</v>
      </c>
      <c r="M8" s="9" cm="1">
        <f t="array" ref="M8">IFERROR(_xlfn.XLOOKUP(1,(Table15[[#This Row],[Name]]='Google Forms'!$B:$B)*(Table15[[#Headers],[Monaco - 28 May]]='Google Forms'!$C:$C),'Google Forms'!$K:$K,0,0,-1),0)</f>
        <v>18</v>
      </c>
      <c r="N8" s="9" cm="1">
        <f t="array" ref="N8">IFERROR(_xlfn.XLOOKUP(1,(Table15[[#This Row],[Name]]='Google Forms'!$B:$B)*(Table15[[#Headers],[Spain - 4 June]]='Google Forms'!$C:$C),'Google Forms'!$K:$K,0,0,-1),0)</f>
        <v>3</v>
      </c>
      <c r="O8" s="9" cm="1">
        <f t="array" ref="O8">IFERROR(_xlfn.XLOOKUP(1,(Table15[[#This Row],[Name]]='Google Forms'!$B:$B)*(Table15[[#Headers],[Canada - 18 June]]='Google Forms'!$C:$C),'Google Forms'!$K:$K,0,0,-1),0)</f>
        <v>7.5</v>
      </c>
      <c r="P8" s="9" cm="1">
        <f t="array" ref="P8">IFERROR(_xlfn.XLOOKUP(1,(Table15[[#This Row],[Name]]='Google Forms'!$B:$B)*(Table15[[#Headers],[Austria - 2 July]]='Google Forms'!$C:$C),'Google Forms'!$K:$K,0,0,-1),0)</f>
        <v>1</v>
      </c>
      <c r="Q8" s="9" cm="1">
        <f t="array" ref="Q8">IFERROR(_xlfn.XLOOKUP(1,(Table15[[#This Row],[Name]]='Google Forms'!$B:$B)*(Table15[[#Headers],[Great Britain - 9 July]]='Google Forms'!$C:$C),'Google Forms'!$K:$K,0,0,-1),0)</f>
        <v>6</v>
      </c>
      <c r="R8" s="9" cm="1">
        <f t="array" ref="R8">IFERROR(_xlfn.XLOOKUP(1,(Table15[[#This Row],[Name]]='Google Forms'!$B:$B)*(Table15[[#Headers],[Hungary - 23 July]]='Google Forms'!$C:$C),'Google Forms'!$K:$K,0,0,-1),0)</f>
        <v>12</v>
      </c>
      <c r="S8" s="9" cm="1">
        <f t="array" ref="S8">IFERROR(_xlfn.XLOOKUP(1,(Table15[[#This Row],[Name]]='Google Forms'!$B:$B)*(Table15[[#Headers],[Belgium - 30 July]]='Google Forms'!$C:$C),'Google Forms'!$K:$K,0,0,-1),0)</f>
        <v>18</v>
      </c>
      <c r="T8" s="9" cm="1">
        <f t="array" ref="T8">IFERROR(_xlfn.XLOOKUP(1,(Table15[[#This Row],[Name]]='Google Forms'!$B:$B)*(Table15[[#Headers],[Netherlands - 27 August]]='Google Forms'!$C:$C),'Google Forms'!$K:$K,0,0,-1),0)</f>
        <v>15</v>
      </c>
      <c r="U8" s="9" cm="1">
        <f t="array" ref="U8">IFERROR(_xlfn.XLOOKUP(1,(Table15[[#This Row],[Name]]='Google Forms'!$B:$B)*(Table15[[#Headers],[Italy - 3 September]]='Google Forms'!$C:$C),'Google Forms'!$K:$K,0,0,-1),0)</f>
        <v>4</v>
      </c>
      <c r="V8" s="9" cm="1">
        <f t="array" ref="V8">IFERROR(_xlfn.XLOOKUP(1,(Table15[[#This Row],[Name]]='Google Forms'!$B:$B)*(Table15[[#Headers],[Singapore - 17 September]]='Google Forms'!$C:$C),'Google Forms'!$K:$K,0,0,-1),0)</f>
        <v>3</v>
      </c>
      <c r="W8" s="9" cm="1">
        <f t="array" ref="W8">IFERROR(_xlfn.XLOOKUP(1,(Table15[[#This Row],[Name]]='Google Forms'!$B:$B)*(Table15[[#Headers],[Japan - 24 September]]='Google Forms'!$C:$C),'Google Forms'!$K:$K,0,0,-1),0)</f>
        <v>15</v>
      </c>
      <c r="X8" s="9" cm="1">
        <f t="array" ref="X8">IFERROR(_xlfn.XLOOKUP(1,(Table15[[#This Row],[Name]]='Google Forms'!$B:$B)*(Table15[[#Headers],[Qatar - 8 October]]='Google Forms'!$C:$C),'Google Forms'!$K:$K,0,0,-1),0)</f>
        <v>12</v>
      </c>
      <c r="Y8" s="9" cm="1">
        <f t="array" ref="Y8">IFERROR(_xlfn.XLOOKUP(1,(Table15[[#This Row],[Name]]='Google Forms'!$B:$B)*(Table15[[#Headers],[United States - 22 October]]='Google Forms'!$C:$C),'Google Forms'!$K:$K,0,0,-1),0)</f>
        <v>12</v>
      </c>
      <c r="Z8" s="9" cm="1">
        <f t="array" ref="Z8">IFERROR(_xlfn.XLOOKUP(1,(Table15[[#This Row],[Name]]='Google Forms'!$B:$B)*(Table15[[#Headers],[Mexico - 29 October]]='Google Forms'!$C:$C),'Google Forms'!$K:$K,0,0,-1),0)</f>
        <v>7.5</v>
      </c>
      <c r="AA8" s="9" cm="1">
        <f t="array" ref="AA8">IFERROR(_xlfn.XLOOKUP(1,(Table15[[#This Row],[Name]]='Google Forms'!$B:$B)*(Table15[[#Headers],[Brazil - 5 November]]='Google Forms'!$C:$C),'Google Forms'!$K:$K,0,0,-1),0)</f>
        <v>2</v>
      </c>
      <c r="AB8" s="9" cm="1">
        <f t="array" ref="AB8">IFERROR(_xlfn.XLOOKUP(1,(Table15[[#This Row],[Name]]='Google Forms'!$B:$B)*(Table15[[#Headers],[Las Vegas - 18 November]]='Google Forms'!$C:$C),'Google Forms'!$K:$K,0,0,-1),0)</f>
        <v>9</v>
      </c>
      <c r="AC8" s="9" cm="1">
        <f t="array" ref="AC8">IFERROR(_xlfn.XLOOKUP(1,(Table15[[#This Row],[Name]]='Google Forms'!$B:$B)*(Table15[[#Headers],[Abu Dhabi - 26 November]]='Google Forms'!$C:$C),'Google Forms'!$K:$K,0,0,-1),0)</f>
        <v>6</v>
      </c>
    </row>
    <row r="9" spans="1:29" ht="15.6" x14ac:dyDescent="0.3">
      <c r="A9" s="4">
        <v>8</v>
      </c>
      <c r="B9" t="s">
        <v>56</v>
      </c>
      <c r="C9" cm="1">
        <f t="array" ref="C9">Table15[[#This Row],[Total]]-_xlfn.XLOOKUP($G$35,$H$36:$AC$36,Table15[[#This Row],[Saudi Arabia - 19 March]:[Abu Dhabi - 26 November]])</f>
        <v>189.5</v>
      </c>
      <c r="D9" cm="1">
        <f t="array" ref="D9">_xlfn.XLOOKUP(B9,_xlfn.SORTBY(Table15[Name],Table15[Previous Race Total],-1),$A$2:$A$27)</f>
        <v>9</v>
      </c>
      <c r="E9" cm="1">
        <f t="array" ref="E9">_xlfn.XLOOKUP(B9,_xlfn.SORTBY(Table15[Name],Table15[Total],-1),$A$2:$A$27)</f>
        <v>8</v>
      </c>
      <c r="F9" s="102">
        <f>Table15[[#This Row],[Previous race Ranking]]-Table15[[#This Row],[Current ranking]]</f>
        <v>1</v>
      </c>
      <c r="G9" s="93">
        <f t="shared" si="0"/>
        <v>202</v>
      </c>
      <c r="H9" s="9">
        <v>25</v>
      </c>
      <c r="I9" s="9">
        <v>4</v>
      </c>
      <c r="J9" s="9">
        <v>10</v>
      </c>
      <c r="K9" s="9" cm="1">
        <f t="array" ref="K9">IFERROR(_xlfn.XLOOKUP(1,(Table15[[#This Row],[Name]]='Google Forms'!$B:$B)*(Table15[[#Headers],[Miami - 7 May]]='Google Forms'!$C:$C),'Google Forms'!$K:$K,0,0,-1),0)</f>
        <v>2</v>
      </c>
      <c r="L9" s="9" cm="1">
        <f t="array" ref="L9">IFERROR(_xlfn.XLOOKUP(1,(Table15[[#This Row],[Name]]='Google Forms'!$B:$B)*(Table15[[#Headers],[Italy - 21 May]]='Google Forms'!$C:$C),'Google Forms'!$K:$K,0,0,-1),0)</f>
        <v>0</v>
      </c>
      <c r="M9" s="9" cm="1">
        <f t="array" ref="M9">IFERROR(_xlfn.XLOOKUP(1,(Table15[[#This Row],[Name]]='Google Forms'!$B:$B)*(Table15[[#Headers],[Monaco - 28 May]]='Google Forms'!$C:$C),'Google Forms'!$K:$K,0,0,-1),0)</f>
        <v>12.5</v>
      </c>
      <c r="N9" s="9" cm="1">
        <f t="array" ref="N9">IFERROR(_xlfn.XLOOKUP(1,(Table15[[#This Row],[Name]]='Google Forms'!$B:$B)*(Table15[[#Headers],[Spain - 4 June]]='Google Forms'!$C:$C),'Google Forms'!$K:$K,0,0,-1),0)</f>
        <v>12.5</v>
      </c>
      <c r="O9" s="9" cm="1">
        <f t="array" ref="O9">IFERROR(_xlfn.XLOOKUP(1,(Table15[[#This Row],[Name]]='Google Forms'!$B:$B)*(Table15[[#Headers],[Canada - 18 June]]='Google Forms'!$C:$C),'Google Forms'!$K:$K,0,0,-1),0)</f>
        <v>18</v>
      </c>
      <c r="P9" s="9" cm="1">
        <f t="array" ref="P9">IFERROR(_xlfn.XLOOKUP(1,(Table15[[#This Row],[Name]]='Google Forms'!$B:$B)*(Table15[[#Headers],[Austria - 2 July]]='Google Forms'!$C:$C),'Google Forms'!$K:$K,0,0,-1),0)</f>
        <v>7.5</v>
      </c>
      <c r="Q9" s="9" cm="1">
        <f t="array" ref="Q9">IFERROR(_xlfn.XLOOKUP(1,(Table15[[#This Row],[Name]]='Google Forms'!$B:$B)*(Table15[[#Headers],[Great Britain - 9 July]]='Google Forms'!$C:$C),'Google Forms'!$K:$K,0,0,-1),0)</f>
        <v>6</v>
      </c>
      <c r="R9" s="9" cm="1">
        <f t="array" ref="R9">IFERROR(_xlfn.XLOOKUP(1,(Table15[[#This Row],[Name]]='Google Forms'!$B:$B)*(Table15[[#Headers],[Hungary - 23 July]]='Google Forms'!$C:$C),'Google Forms'!$K:$K,0,0,-1),0)</f>
        <v>6</v>
      </c>
      <c r="S9" s="9" cm="1">
        <f t="array" ref="S9">IFERROR(_xlfn.XLOOKUP(1,(Table15[[#This Row],[Name]]='Google Forms'!$B:$B)*(Table15[[#Headers],[Belgium - 30 July]]='Google Forms'!$C:$C),'Google Forms'!$K:$K,0,0,-1),0)</f>
        <v>12.5</v>
      </c>
      <c r="T9" s="9" cm="1">
        <f t="array" ref="T9">IFERROR(_xlfn.XLOOKUP(1,(Table15[[#This Row],[Name]]='Google Forms'!$B:$B)*(Table15[[#Headers],[Netherlands - 27 August]]='Google Forms'!$C:$C),'Google Forms'!$K:$K,0,0,-1),0)</f>
        <v>5</v>
      </c>
      <c r="U9" s="9" cm="1">
        <f t="array" ref="U9">IFERROR(_xlfn.XLOOKUP(1,(Table15[[#This Row],[Name]]='Google Forms'!$B:$B)*(Table15[[#Headers],[Italy - 3 September]]='Google Forms'!$C:$C),'Google Forms'!$K:$K,0,0,-1),0)</f>
        <v>5</v>
      </c>
      <c r="V9" s="9" cm="1">
        <f t="array" ref="V9">IFERROR(_xlfn.XLOOKUP(1,(Table15[[#This Row],[Name]]='Google Forms'!$B:$B)*(Table15[[#Headers],[Singapore - 17 September]]='Google Forms'!$C:$C),'Google Forms'!$K:$K,0,0,-1),0)</f>
        <v>25</v>
      </c>
      <c r="W9" s="9" cm="1">
        <f t="array" ref="W9">IFERROR(_xlfn.XLOOKUP(1,(Table15[[#This Row],[Name]]='Google Forms'!$B:$B)*(Table15[[#Headers],[Japan - 24 September]]='Google Forms'!$C:$C),'Google Forms'!$K:$K,0,0,-1),0)</f>
        <v>10</v>
      </c>
      <c r="X9" s="9" cm="1">
        <f t="array" ref="X9">IFERROR(_xlfn.XLOOKUP(1,(Table15[[#This Row],[Name]]='Google Forms'!$B:$B)*(Table15[[#Headers],[Qatar - 8 October]]='Google Forms'!$C:$C),'Google Forms'!$K:$K,0,0,-1),0)</f>
        <v>12</v>
      </c>
      <c r="Y9" s="9" cm="1">
        <f t="array" ref="Y9">IFERROR(_xlfn.XLOOKUP(1,(Table15[[#This Row],[Name]]='Google Forms'!$B:$B)*(Table15[[#Headers],[United States - 22 October]]='Google Forms'!$C:$C),'Google Forms'!$K:$K,0,0,-1),0)</f>
        <v>6</v>
      </c>
      <c r="Z9" s="9" cm="1">
        <f t="array" ref="Z9">IFERROR(_xlfn.XLOOKUP(1,(Table15[[#This Row],[Name]]='Google Forms'!$B:$B)*(Table15[[#Headers],[Mexico - 29 October]]='Google Forms'!$C:$C),'Google Forms'!$K:$K,0,0,-1),0)</f>
        <v>3</v>
      </c>
      <c r="AA9" s="9" cm="1">
        <f t="array" ref="AA9">IFERROR(_xlfn.XLOOKUP(1,(Table15[[#This Row],[Name]]='Google Forms'!$B:$B)*(Table15[[#Headers],[Brazil - 5 November]]='Google Forms'!$C:$C),'Google Forms'!$K:$K,0,0,-1),0)</f>
        <v>0</v>
      </c>
      <c r="AB9" s="9" cm="1">
        <f t="array" ref="AB9">IFERROR(_xlfn.XLOOKUP(1,(Table15[[#This Row],[Name]]='Google Forms'!$B:$B)*(Table15[[#Headers],[Las Vegas - 18 November]]='Google Forms'!$C:$C),'Google Forms'!$K:$K,0,0,-1),0)</f>
        <v>7.5</v>
      </c>
      <c r="AC9" s="9" cm="1">
        <f t="array" ref="AC9">IFERROR(_xlfn.XLOOKUP(1,(Table15[[#This Row],[Name]]='Google Forms'!$B:$B)*(Table15[[#Headers],[Abu Dhabi - 26 November]]='Google Forms'!$C:$C),'Google Forms'!$K:$K,0,0,-1),0)</f>
        <v>12.5</v>
      </c>
    </row>
    <row r="10" spans="1:29" ht="15.6" x14ac:dyDescent="0.3">
      <c r="A10" s="4">
        <v>9</v>
      </c>
      <c r="B10" t="s">
        <v>72</v>
      </c>
      <c r="C10" cm="1">
        <f t="array" ref="C10">Table15[[#This Row],[Total]]-_xlfn.XLOOKUP($G$35,$H$36:$AC$36,Table15[[#This Row],[Saudi Arabia - 19 March]:[Abu Dhabi - 26 November]])</f>
        <v>188.25</v>
      </c>
      <c r="D10" cm="1">
        <f t="array" ref="D10">_xlfn.XLOOKUP(B10,_xlfn.SORTBY(Table15[Name],Table15[Previous Race Total],-1),$A$2:$A$27)</f>
        <v>10</v>
      </c>
      <c r="E10" cm="1">
        <f t="array" ref="E10">_xlfn.XLOOKUP(B10,_xlfn.SORTBY(Table15[Name],Table15[Total],-1),$A$2:$A$27)</f>
        <v>9</v>
      </c>
      <c r="F10" s="102">
        <f>Table15[[#This Row],[Previous race Ranking]]-Table15[[#This Row],[Current ranking]]</f>
        <v>1</v>
      </c>
      <c r="G10" s="93">
        <f t="shared" si="0"/>
        <v>200.75</v>
      </c>
      <c r="H10" s="9">
        <v>7.5</v>
      </c>
      <c r="I10" s="9">
        <v>4</v>
      </c>
      <c r="J10" s="9">
        <v>0.25</v>
      </c>
      <c r="K10" s="9" cm="1">
        <f t="array" ref="K10">IFERROR(_xlfn.XLOOKUP(1,(Table15[[#This Row],[Name]]='Google Forms'!$B:$B)*(Table15[[#Headers],[Miami - 7 May]]='Google Forms'!$C:$C),'Google Forms'!$K:$K,0,0,-1),0)</f>
        <v>6</v>
      </c>
      <c r="L10" s="9" cm="1">
        <f t="array" ref="L10">IFERROR(_xlfn.XLOOKUP(1,(Table15[[#This Row],[Name]]='Google Forms'!$B:$B)*(Table15[[#Headers],[Italy - 21 May]]='Google Forms'!$C:$C),'Google Forms'!$K:$K,0,0,-1),0)</f>
        <v>0</v>
      </c>
      <c r="M10" s="9" cm="1">
        <f t="array" ref="M10">IFERROR(_xlfn.XLOOKUP(1,(Table15[[#This Row],[Name]]='Google Forms'!$B:$B)*(Table15[[#Headers],[Monaco - 28 May]]='Google Forms'!$C:$C),'Google Forms'!$K:$K,0,0,-1),0)</f>
        <v>18</v>
      </c>
      <c r="N10" s="9" cm="1">
        <f t="array" ref="N10">IFERROR(_xlfn.XLOOKUP(1,(Table15[[#This Row],[Name]]='Google Forms'!$B:$B)*(Table15[[#Headers],[Spain - 4 June]]='Google Forms'!$C:$C),'Google Forms'!$K:$K,0,0,-1),0)</f>
        <v>12.5</v>
      </c>
      <c r="O10" s="9" cm="1">
        <f t="array" ref="O10">IFERROR(_xlfn.XLOOKUP(1,(Table15[[#This Row],[Name]]='Google Forms'!$B:$B)*(Table15[[#Headers],[Canada - 18 June]]='Google Forms'!$C:$C),'Google Forms'!$K:$K,0,0,-1),0)</f>
        <v>6</v>
      </c>
      <c r="P10" s="9" cm="1">
        <f t="array" ref="P10">IFERROR(_xlfn.XLOOKUP(1,(Table15[[#This Row],[Name]]='Google Forms'!$B:$B)*(Table15[[#Headers],[Austria - 2 July]]='Google Forms'!$C:$C),'Google Forms'!$K:$K,0,0,-1),0)</f>
        <v>12.5</v>
      </c>
      <c r="Q10" s="9" cm="1">
        <f t="array" ref="Q10">IFERROR(_xlfn.XLOOKUP(1,(Table15[[#This Row],[Name]]='Google Forms'!$B:$B)*(Table15[[#Headers],[Great Britain - 9 July]]='Google Forms'!$C:$C),'Google Forms'!$K:$K,0,0,-1),0)</f>
        <v>2</v>
      </c>
      <c r="R10" s="9" cm="1">
        <f t="array" ref="R10">IFERROR(_xlfn.XLOOKUP(1,(Table15[[#This Row],[Name]]='Google Forms'!$B:$B)*(Table15[[#Headers],[Hungary - 23 July]]='Google Forms'!$C:$C),'Google Forms'!$K:$K,0,0,-1),0)</f>
        <v>25</v>
      </c>
      <c r="S10" s="9" cm="1">
        <f t="array" ref="S10">IFERROR(_xlfn.XLOOKUP(1,(Table15[[#This Row],[Name]]='Google Forms'!$B:$B)*(Table15[[#Headers],[Belgium - 30 July]]='Google Forms'!$C:$C),'Google Forms'!$K:$K,0,0,-1),0)</f>
        <v>18</v>
      </c>
      <c r="T10" s="9" cm="1">
        <f t="array" ref="T10">IFERROR(_xlfn.XLOOKUP(1,(Table15[[#This Row],[Name]]='Google Forms'!$B:$B)*(Table15[[#Headers],[Netherlands - 27 August]]='Google Forms'!$C:$C),'Google Forms'!$K:$K,0,0,-1),0)</f>
        <v>15</v>
      </c>
      <c r="U10" s="9" cm="1">
        <f t="array" ref="U10">IFERROR(_xlfn.XLOOKUP(1,(Table15[[#This Row],[Name]]='Google Forms'!$B:$B)*(Table15[[#Headers],[Italy - 3 September]]='Google Forms'!$C:$C),'Google Forms'!$K:$K,0,0,-1),0)</f>
        <v>5</v>
      </c>
      <c r="V10" s="9" cm="1">
        <f t="array" ref="V10">IFERROR(_xlfn.XLOOKUP(1,(Table15[[#This Row],[Name]]='Google Forms'!$B:$B)*(Table15[[#Headers],[Singapore - 17 September]]='Google Forms'!$C:$C),'Google Forms'!$K:$K,0,0,-1),0)</f>
        <v>4</v>
      </c>
      <c r="W10" s="9" cm="1">
        <f t="array" ref="W10">IFERROR(_xlfn.XLOOKUP(1,(Table15[[#This Row],[Name]]='Google Forms'!$B:$B)*(Table15[[#Headers],[Japan - 24 September]]='Google Forms'!$C:$C),'Google Forms'!$K:$K,0,0,-1),0)</f>
        <v>12.5</v>
      </c>
      <c r="X10" s="9" cm="1">
        <f t="array" ref="X10">IFERROR(_xlfn.XLOOKUP(1,(Table15[[#This Row],[Name]]='Google Forms'!$B:$B)*(Table15[[#Headers],[Qatar - 8 October]]='Google Forms'!$C:$C),'Google Forms'!$K:$K,0,0,-1),0)</f>
        <v>10</v>
      </c>
      <c r="Y10" s="9" cm="1">
        <f t="array" ref="Y10">IFERROR(_xlfn.XLOOKUP(1,(Table15[[#This Row],[Name]]='Google Forms'!$B:$B)*(Table15[[#Headers],[United States - 22 October]]='Google Forms'!$C:$C),'Google Forms'!$K:$K,0,0,-1),0)</f>
        <v>4</v>
      </c>
      <c r="Z10" s="9" cm="1">
        <f t="array" ref="Z10">IFERROR(_xlfn.XLOOKUP(1,(Table15[[#This Row],[Name]]='Google Forms'!$B:$B)*(Table15[[#Headers],[Mexico - 29 October]]='Google Forms'!$C:$C),'Google Forms'!$K:$K,0,0,-1),0)</f>
        <v>8</v>
      </c>
      <c r="AA10" s="9" cm="1">
        <f t="array" ref="AA10">IFERROR(_xlfn.XLOOKUP(1,(Table15[[#This Row],[Name]]='Google Forms'!$B:$B)*(Table15[[#Headers],[Brazil - 5 November]]='Google Forms'!$C:$C),'Google Forms'!$K:$K,0,0,-1),0)</f>
        <v>3</v>
      </c>
      <c r="AB10" s="9" cm="1">
        <f t="array" ref="AB10">IFERROR(_xlfn.XLOOKUP(1,(Table15[[#This Row],[Name]]='Google Forms'!$B:$B)*(Table15[[#Headers],[Las Vegas - 18 November]]='Google Forms'!$C:$C),'Google Forms'!$K:$K,0,0,-1),0)</f>
        <v>15</v>
      </c>
      <c r="AC10" s="9" cm="1">
        <f t="array" ref="AC10">IFERROR(_xlfn.XLOOKUP(1,(Table15[[#This Row],[Name]]='Google Forms'!$B:$B)*(Table15[[#Headers],[Abu Dhabi - 26 November]]='Google Forms'!$C:$C),'Google Forms'!$K:$K,0,0,-1),0)</f>
        <v>12.5</v>
      </c>
    </row>
    <row r="11" spans="1:29" ht="15.6" x14ac:dyDescent="0.3">
      <c r="A11" s="116">
        <v>10</v>
      </c>
      <c r="B11" t="s">
        <v>63</v>
      </c>
      <c r="C11" cm="1">
        <f t="array" ref="C11">Table15[[#This Row],[Total]]-_xlfn.XLOOKUP($G$35,$H$36:$AC$36,Table15[[#This Row],[Saudi Arabia - 19 March]:[Abu Dhabi - 26 November]])</f>
        <v>186.5</v>
      </c>
      <c r="D11" cm="1">
        <f t="array" ref="D11">_xlfn.XLOOKUP(B11,_xlfn.SORTBY(Table15[Name],Table15[Previous Race Total],-1),$A$2:$A$27)</f>
        <v>11</v>
      </c>
      <c r="E11" cm="1">
        <f t="array" ref="E11">_xlfn.XLOOKUP(B11,_xlfn.SORTBY(Table15[Name],Table15[Total],-1),$A$2:$A$27)</f>
        <v>10</v>
      </c>
      <c r="F11" s="102">
        <f>Table15[[#This Row],[Previous race Ranking]]-Table15[[#This Row],[Current ranking]]</f>
        <v>1</v>
      </c>
      <c r="G11" s="93">
        <f t="shared" si="0"/>
        <v>198.5</v>
      </c>
      <c r="H11" s="9">
        <v>10</v>
      </c>
      <c r="I11" s="9">
        <v>8</v>
      </c>
      <c r="J11" s="9">
        <v>4</v>
      </c>
      <c r="K11" s="9" cm="1">
        <f t="array" ref="K11">IFERROR(_xlfn.XLOOKUP(1,(Table15[[#This Row],[Name]]='Google Forms'!$B:$B)*(Table15[[#Headers],[Miami - 7 May]]='Google Forms'!$C:$C),'Google Forms'!$K:$K,0,0,-1),0)</f>
        <v>25</v>
      </c>
      <c r="L11" s="9" cm="1">
        <f t="array" ref="L11">IFERROR(_xlfn.XLOOKUP(1,(Table15[[#This Row],[Name]]='Google Forms'!$B:$B)*(Table15[[#Headers],[Italy - 21 May]]='Google Forms'!$C:$C),'Google Forms'!$K:$K,0,0,-1),0)</f>
        <v>0</v>
      </c>
      <c r="M11" s="9" cm="1">
        <f t="array" ref="M11">IFERROR(_xlfn.XLOOKUP(1,(Table15[[#This Row],[Name]]='Google Forms'!$B:$B)*(Table15[[#Headers],[Monaco - 28 May]]='Google Forms'!$C:$C),'Google Forms'!$K:$K,0,0,-1),0)</f>
        <v>8</v>
      </c>
      <c r="N11" s="9" cm="1">
        <f t="array" ref="N11">IFERROR(_xlfn.XLOOKUP(1,(Table15[[#This Row],[Name]]='Google Forms'!$B:$B)*(Table15[[#Headers],[Spain - 4 June]]='Google Forms'!$C:$C),'Google Forms'!$K:$K,0,0,-1),0)</f>
        <v>10</v>
      </c>
      <c r="O11" s="9" cm="1">
        <f t="array" ref="O11">IFERROR(_xlfn.XLOOKUP(1,(Table15[[#This Row],[Name]]='Google Forms'!$B:$B)*(Table15[[#Headers],[Canada - 18 June]]='Google Forms'!$C:$C),'Google Forms'!$K:$K,0,0,-1),0)</f>
        <v>6</v>
      </c>
      <c r="P11" s="9" cm="1">
        <f t="array" ref="P11">IFERROR(_xlfn.XLOOKUP(1,(Table15[[#This Row],[Name]]='Google Forms'!$B:$B)*(Table15[[#Headers],[Austria - 2 July]]='Google Forms'!$C:$C),'Google Forms'!$K:$K,0,0,-1),0)</f>
        <v>15</v>
      </c>
      <c r="Q11" s="9" cm="1">
        <f t="array" ref="Q11">IFERROR(_xlfn.XLOOKUP(1,(Table15[[#This Row],[Name]]='Google Forms'!$B:$B)*(Table15[[#Headers],[Great Britain - 9 July]]='Google Forms'!$C:$C),'Google Forms'!$K:$K,0,0,-1),0)</f>
        <v>0</v>
      </c>
      <c r="R11" s="9" cm="1">
        <f t="array" ref="R11">IFERROR(_xlfn.XLOOKUP(1,(Table15[[#This Row],[Name]]='Google Forms'!$B:$B)*(Table15[[#Headers],[Hungary - 23 July]]='Google Forms'!$C:$C),'Google Forms'!$K:$K,0,0,-1),0)</f>
        <v>0</v>
      </c>
      <c r="S11" s="9" cm="1">
        <f t="array" ref="S11">IFERROR(_xlfn.XLOOKUP(1,(Table15[[#This Row],[Name]]='Google Forms'!$B:$B)*(Table15[[#Headers],[Belgium - 30 July]]='Google Forms'!$C:$C),'Google Forms'!$K:$K,0,0,-1),0)</f>
        <v>25</v>
      </c>
      <c r="T11" s="9" cm="1">
        <f t="array" ref="T11">IFERROR(_xlfn.XLOOKUP(1,(Table15[[#This Row],[Name]]='Google Forms'!$B:$B)*(Table15[[#Headers],[Netherlands - 27 August]]='Google Forms'!$C:$C),'Google Forms'!$K:$K,0,0,-1),0)</f>
        <v>12</v>
      </c>
      <c r="U11" s="9" cm="1">
        <f t="array" ref="U11">IFERROR(_xlfn.XLOOKUP(1,(Table15[[#This Row],[Name]]='Google Forms'!$B:$B)*(Table15[[#Headers],[Italy - 3 September]]='Google Forms'!$C:$C),'Google Forms'!$K:$K,0,0,-1),0)</f>
        <v>4</v>
      </c>
      <c r="V11" s="9" cm="1">
        <f t="array" ref="V11">IFERROR(_xlfn.XLOOKUP(1,(Table15[[#This Row],[Name]]='Google Forms'!$B:$B)*(Table15[[#Headers],[Singapore - 17 September]]='Google Forms'!$C:$C),'Google Forms'!$K:$K,0,0,-1),0)</f>
        <v>0</v>
      </c>
      <c r="W11" s="9" cm="1">
        <f t="array" ref="W11">IFERROR(_xlfn.XLOOKUP(1,(Table15[[#This Row],[Name]]='Google Forms'!$B:$B)*(Table15[[#Headers],[Japan - 24 September]]='Google Forms'!$C:$C),'Google Forms'!$K:$K,0,0,-1),0)</f>
        <v>0</v>
      </c>
      <c r="X11" s="9" cm="1">
        <f t="array" ref="X11">IFERROR(_xlfn.XLOOKUP(1,(Table15[[#This Row],[Name]]='Google Forms'!$B:$B)*(Table15[[#Headers],[Qatar - 8 October]]='Google Forms'!$C:$C),'Google Forms'!$K:$K,0,0,-1),0)</f>
        <v>10</v>
      </c>
      <c r="Y11" s="9" cm="1">
        <f t="array" ref="Y11">IFERROR(_xlfn.XLOOKUP(1,(Table15[[#This Row],[Name]]='Google Forms'!$B:$B)*(Table15[[#Headers],[United States - 22 October]]='Google Forms'!$C:$C),'Google Forms'!$K:$K,0,0,-1),0)</f>
        <v>12</v>
      </c>
      <c r="Z11" s="9" cm="1">
        <f t="array" ref="Z11">IFERROR(_xlfn.XLOOKUP(1,(Table15[[#This Row],[Name]]='Google Forms'!$B:$B)*(Table15[[#Headers],[Mexico - 29 October]]='Google Forms'!$C:$C),'Google Forms'!$K:$K,0,0,-1),0)</f>
        <v>10</v>
      </c>
      <c r="AA11" s="9" cm="1">
        <f t="array" ref="AA11">IFERROR(_xlfn.XLOOKUP(1,(Table15[[#This Row],[Name]]='Google Forms'!$B:$B)*(Table15[[#Headers],[Brazil - 5 November]]='Google Forms'!$C:$C),'Google Forms'!$K:$K,0,0,-1),0)</f>
        <v>12.5</v>
      </c>
      <c r="AB11" s="9" cm="1">
        <f t="array" ref="AB11">IFERROR(_xlfn.XLOOKUP(1,(Table15[[#This Row],[Name]]='Google Forms'!$B:$B)*(Table15[[#Headers],[Las Vegas - 18 November]]='Google Forms'!$C:$C),'Google Forms'!$K:$K,0,0,-1),0)</f>
        <v>15</v>
      </c>
      <c r="AC11" s="9" cm="1">
        <f t="array" ref="AC11">IFERROR(_xlfn.XLOOKUP(1,(Table15[[#This Row],[Name]]='Google Forms'!$B:$B)*(Table15[[#Headers],[Abu Dhabi - 26 November]]='Google Forms'!$C:$C),'Google Forms'!$K:$K,0,0,-1),0)</f>
        <v>12</v>
      </c>
    </row>
    <row r="12" spans="1:29" ht="15.6" x14ac:dyDescent="0.3">
      <c r="A12" s="4">
        <v>11</v>
      </c>
      <c r="B12" t="s">
        <v>64</v>
      </c>
      <c r="C12" cm="1">
        <f t="array" ref="C12">Table15[[#This Row],[Total]]-_xlfn.XLOOKUP($G$35,$H$36:$AC$36,Table15[[#This Row],[Saudi Arabia - 19 March]:[Abu Dhabi - 26 November]])</f>
        <v>184.75</v>
      </c>
      <c r="D12" cm="1">
        <f t="array" ref="D12">_xlfn.XLOOKUP(B12,_xlfn.SORTBY(Table15[Name],Table15[Previous Race Total],-1),$A$2:$A$27)</f>
        <v>12</v>
      </c>
      <c r="E12" cm="1">
        <f t="array" ref="E12">_xlfn.XLOOKUP(B12,_xlfn.SORTBY(Table15[Name],Table15[Total],-1),$A$2:$A$27)</f>
        <v>11</v>
      </c>
      <c r="F12" s="102">
        <f>Table15[[#This Row],[Previous race Ranking]]-Table15[[#This Row],[Current ranking]]</f>
        <v>1</v>
      </c>
      <c r="G12" s="93">
        <f t="shared" si="0"/>
        <v>196.75</v>
      </c>
      <c r="H12" s="9">
        <v>6</v>
      </c>
      <c r="I12" s="9">
        <v>4</v>
      </c>
      <c r="J12" s="9">
        <v>25</v>
      </c>
      <c r="K12" s="9" cm="1">
        <f t="array" ref="K12">IFERROR(_xlfn.XLOOKUP(1,(Table15[[#This Row],[Name]]='Google Forms'!$B:$B)*(Table15[[#Headers],[Miami - 7 May]]='Google Forms'!$C:$C),'Google Forms'!$K:$K,0,0,-1),0)</f>
        <v>18</v>
      </c>
      <c r="L12" s="9" cm="1">
        <f t="array" ref="L12">IFERROR(_xlfn.XLOOKUP(1,(Table15[[#This Row],[Name]]='Google Forms'!$B:$B)*(Table15[[#Headers],[Italy - 21 May]]='Google Forms'!$C:$C),'Google Forms'!$K:$K,0,0,-1),0)</f>
        <v>0</v>
      </c>
      <c r="M12" s="9" cm="1">
        <f t="array" ref="M12">IFERROR(_xlfn.XLOOKUP(1,(Table15[[#This Row],[Name]]='Google Forms'!$B:$B)*(Table15[[#Headers],[Monaco - 28 May]]='Google Forms'!$C:$C),'Google Forms'!$K:$K,0,0,-1),0)</f>
        <v>4</v>
      </c>
      <c r="N12" s="9" cm="1">
        <f t="array" ref="N12">IFERROR(_xlfn.XLOOKUP(1,(Table15[[#This Row],[Name]]='Google Forms'!$B:$B)*(Table15[[#Headers],[Spain - 4 June]]='Google Forms'!$C:$C),'Google Forms'!$K:$K,0,0,-1),0)</f>
        <v>0.5</v>
      </c>
      <c r="O12" s="9" cm="1">
        <f t="array" ref="O12">IFERROR(_xlfn.XLOOKUP(1,(Table15[[#This Row],[Name]]='Google Forms'!$B:$B)*(Table15[[#Headers],[Canada - 18 June]]='Google Forms'!$C:$C),'Google Forms'!$K:$K,0,0,-1),0)</f>
        <v>12</v>
      </c>
      <c r="P12" s="9" cm="1">
        <f t="array" ref="P12">IFERROR(_xlfn.XLOOKUP(1,(Table15[[#This Row],[Name]]='Google Forms'!$B:$B)*(Table15[[#Headers],[Austria - 2 July]]='Google Forms'!$C:$C),'Google Forms'!$K:$K,0,0,-1),0)</f>
        <v>25</v>
      </c>
      <c r="Q12" s="9" cm="1">
        <f t="array" ref="Q12">IFERROR(_xlfn.XLOOKUP(1,(Table15[[#This Row],[Name]]='Google Forms'!$B:$B)*(Table15[[#Headers],[Great Britain - 9 July]]='Google Forms'!$C:$C),'Google Forms'!$K:$K,0,0,-1),0)</f>
        <v>12</v>
      </c>
      <c r="R12" s="9" cm="1">
        <f t="array" ref="R12">IFERROR(_xlfn.XLOOKUP(1,(Table15[[#This Row],[Name]]='Google Forms'!$B:$B)*(Table15[[#Headers],[Hungary - 23 July]]='Google Forms'!$C:$C),'Google Forms'!$K:$K,0,0,-1),0)</f>
        <v>3</v>
      </c>
      <c r="S12" s="9" cm="1">
        <f t="array" ref="S12">IFERROR(_xlfn.XLOOKUP(1,(Table15[[#This Row],[Name]]='Google Forms'!$B:$B)*(Table15[[#Headers],[Belgium - 30 July]]='Google Forms'!$C:$C),'Google Forms'!$K:$K,0,0,-1),0)</f>
        <v>15</v>
      </c>
      <c r="T12" s="9" cm="1">
        <f t="array" ref="T12">IFERROR(_xlfn.XLOOKUP(1,(Table15[[#This Row],[Name]]='Google Forms'!$B:$B)*(Table15[[#Headers],[Netherlands - 27 August]]='Google Forms'!$C:$C),'Google Forms'!$K:$K,0,0,-1),0)</f>
        <v>0</v>
      </c>
      <c r="U12" s="9" cm="1">
        <f t="array" ref="U12">IFERROR(_xlfn.XLOOKUP(1,(Table15[[#This Row],[Name]]='Google Forms'!$B:$B)*(Table15[[#Headers],[Italy - 3 September]]='Google Forms'!$C:$C),'Google Forms'!$K:$K,0,0,-1),0)</f>
        <v>0</v>
      </c>
      <c r="V12" s="9" cm="1">
        <f t="array" ref="V12">IFERROR(_xlfn.XLOOKUP(1,(Table15[[#This Row],[Name]]='Google Forms'!$B:$B)*(Table15[[#Headers],[Singapore - 17 September]]='Google Forms'!$C:$C),'Google Forms'!$K:$K,0,0,-1),0)</f>
        <v>8</v>
      </c>
      <c r="W12" s="9" cm="1">
        <f t="array" ref="W12">IFERROR(_xlfn.XLOOKUP(1,(Table15[[#This Row],[Name]]='Google Forms'!$B:$B)*(Table15[[#Headers],[Japan - 24 September]]='Google Forms'!$C:$C),'Google Forms'!$K:$K,0,0,-1),0)</f>
        <v>10</v>
      </c>
      <c r="X12" s="9" cm="1">
        <f t="array" ref="X12">IFERROR(_xlfn.XLOOKUP(1,(Table15[[#This Row],[Name]]='Google Forms'!$B:$B)*(Table15[[#Headers],[Qatar - 8 October]]='Google Forms'!$C:$C),'Google Forms'!$K:$K,0,0,-1),0)</f>
        <v>25</v>
      </c>
      <c r="Y12" s="9" cm="1">
        <f t="array" ref="Y12">IFERROR(_xlfn.XLOOKUP(1,(Table15[[#This Row],[Name]]='Google Forms'!$B:$B)*(Table15[[#Headers],[United States - 22 October]]='Google Forms'!$C:$C),'Google Forms'!$K:$K,0,0,-1),0)</f>
        <v>0.25</v>
      </c>
      <c r="Z12" s="9" cm="1">
        <f t="array" ref="Z12">IFERROR(_xlfn.XLOOKUP(1,(Table15[[#This Row],[Name]]='Google Forms'!$B:$B)*(Table15[[#Headers],[Mexico - 29 October]]='Google Forms'!$C:$C),'Google Forms'!$K:$K,0,0,-1),0)</f>
        <v>8</v>
      </c>
      <c r="AA12" s="9" cm="1">
        <f t="array" ref="AA12">IFERROR(_xlfn.XLOOKUP(1,(Table15[[#This Row],[Name]]='Google Forms'!$B:$B)*(Table15[[#Headers],[Brazil - 5 November]]='Google Forms'!$C:$C),'Google Forms'!$K:$K,0,0,-1),0)</f>
        <v>9</v>
      </c>
      <c r="AB12" s="9" cm="1">
        <f t="array" ref="AB12">IFERROR(_xlfn.XLOOKUP(1,(Table15[[#This Row],[Name]]='Google Forms'!$B:$B)*(Table15[[#Headers],[Las Vegas - 18 November]]='Google Forms'!$C:$C),'Google Forms'!$K:$K,0,0,-1),0)</f>
        <v>0</v>
      </c>
      <c r="AC12" s="9" cm="1">
        <f t="array" ref="AC12">IFERROR(_xlfn.XLOOKUP(1,(Table15[[#This Row],[Name]]='Google Forms'!$B:$B)*(Table15[[#Headers],[Abu Dhabi - 26 November]]='Google Forms'!$C:$C),'Google Forms'!$K:$K,0,0,-1),0)</f>
        <v>12</v>
      </c>
    </row>
    <row r="13" spans="1:29" ht="15.6" x14ac:dyDescent="0.3">
      <c r="A13" s="4">
        <v>12</v>
      </c>
      <c r="B13" t="s">
        <v>53</v>
      </c>
      <c r="C13" s="98" cm="1">
        <f t="array" ref="C13">Table15[[#This Row],[Total]]-_xlfn.XLOOKUP($G$35,$H$36:$AC$36,Table15[[#This Row],[Saudi Arabia - 19 March]:[Abu Dhabi - 26 November]])</f>
        <v>190</v>
      </c>
      <c r="D13" s="98" cm="1">
        <f t="array" ref="D13">_xlfn.XLOOKUP(B13,_xlfn.SORTBY(Table15[Name],Table15[Previous Race Total],-1),$A$2:$A$27)</f>
        <v>8</v>
      </c>
      <c r="E13" s="98" cm="1">
        <f t="array" ref="E13">_xlfn.XLOOKUP(B13,_xlfn.SORTBY(Table15[Name],Table15[Total],-1),$A$2:$A$27)</f>
        <v>12</v>
      </c>
      <c r="F13" s="102">
        <f>Table15[[#This Row],[Previous race Ranking]]-Table15[[#This Row],[Current ranking]]</f>
        <v>-4</v>
      </c>
      <c r="G13" s="93">
        <f t="shared" si="0"/>
        <v>196</v>
      </c>
      <c r="H13" s="9">
        <v>25</v>
      </c>
      <c r="I13" s="9">
        <v>25</v>
      </c>
      <c r="J13" s="9">
        <v>12.5</v>
      </c>
      <c r="K13" s="9" cm="1">
        <f t="array" ref="K13">IFERROR(_xlfn.XLOOKUP(1,(Table15[[#This Row],[Name]]='Google Forms'!$B:$B)*(Table15[[#Headers],[Miami - 7 May]]='Google Forms'!$C:$C),'Google Forms'!$K:$K,0,0,-1),0)</f>
        <v>1</v>
      </c>
      <c r="L13" s="9" cm="1">
        <f t="array" ref="L13">IFERROR(_xlfn.XLOOKUP(1,(Table15[[#This Row],[Name]]='Google Forms'!$B:$B)*(Table15[[#Headers],[Italy - 21 May]]='Google Forms'!$C:$C),'Google Forms'!$K:$K,0,0,-1),0)</f>
        <v>0</v>
      </c>
      <c r="M13" s="9" cm="1">
        <f t="array" ref="M13">IFERROR(_xlfn.XLOOKUP(1,(Table15[[#This Row],[Name]]='Google Forms'!$B:$B)*(Table15[[#Headers],[Monaco - 28 May]]='Google Forms'!$C:$C),'Google Forms'!$K:$K,0,0,-1),0)</f>
        <v>1</v>
      </c>
      <c r="N13" s="9" cm="1">
        <f t="array" ref="N13">IFERROR(_xlfn.XLOOKUP(1,(Table15[[#This Row],[Name]]='Google Forms'!$B:$B)*(Table15[[#Headers],[Spain - 4 June]]='Google Forms'!$C:$C),'Google Forms'!$K:$K,0,0,-1),0)</f>
        <v>6</v>
      </c>
      <c r="O13" s="9" cm="1">
        <f t="array" ref="O13">IFERROR(_xlfn.XLOOKUP(1,(Table15[[#This Row],[Name]]='Google Forms'!$B:$B)*(Table15[[#Headers],[Canada - 18 June]]='Google Forms'!$C:$C),'Google Forms'!$K:$K,0,0,-1),0)</f>
        <v>15</v>
      </c>
      <c r="P13" s="9" cm="1">
        <f t="array" ref="P13">IFERROR(_xlfn.XLOOKUP(1,(Table15[[#This Row],[Name]]='Google Forms'!$B:$B)*(Table15[[#Headers],[Austria - 2 July]]='Google Forms'!$C:$C),'Google Forms'!$K:$K,0,0,-1),0)</f>
        <v>25</v>
      </c>
      <c r="Q13" s="9" cm="1">
        <f t="array" ref="Q13">IFERROR(_xlfn.XLOOKUP(1,(Table15[[#This Row],[Name]]='Google Forms'!$B:$B)*(Table15[[#Headers],[Great Britain - 9 July]]='Google Forms'!$C:$C),'Google Forms'!$K:$K,0,0,-1),0)</f>
        <v>2</v>
      </c>
      <c r="R13" s="9" cm="1">
        <f t="array" ref="R13">IFERROR(_xlfn.XLOOKUP(1,(Table15[[#This Row],[Name]]='Google Forms'!$B:$B)*(Table15[[#Headers],[Hungary - 23 July]]='Google Forms'!$C:$C),'Google Forms'!$K:$K,0,0,-1),0)</f>
        <v>0</v>
      </c>
      <c r="S13" s="9" cm="1">
        <f t="array" ref="S13">IFERROR(_xlfn.XLOOKUP(1,(Table15[[#This Row],[Name]]='Google Forms'!$B:$B)*(Table15[[#Headers],[Belgium - 30 July]]='Google Forms'!$C:$C),'Google Forms'!$K:$K,0,0,-1),0)</f>
        <v>18</v>
      </c>
      <c r="T13" s="9" cm="1">
        <f t="array" ref="T13">IFERROR(_xlfn.XLOOKUP(1,(Table15[[#This Row],[Name]]='Google Forms'!$B:$B)*(Table15[[#Headers],[Netherlands - 27 August]]='Google Forms'!$C:$C),'Google Forms'!$K:$K,0,0,-1),0)</f>
        <v>7.5</v>
      </c>
      <c r="U13" s="9" cm="1">
        <f t="array" ref="U13">IFERROR(_xlfn.XLOOKUP(1,(Table15[[#This Row],[Name]]='Google Forms'!$B:$B)*(Table15[[#Headers],[Italy - 3 September]]='Google Forms'!$C:$C),'Google Forms'!$K:$K,0,0,-1),0)</f>
        <v>6</v>
      </c>
      <c r="V13" s="9" cm="1">
        <f t="array" ref="V13">IFERROR(_xlfn.XLOOKUP(1,(Table15[[#This Row],[Name]]='Google Forms'!$B:$B)*(Table15[[#Headers],[Singapore - 17 September]]='Google Forms'!$C:$C),'Google Forms'!$K:$K,0,0,-1),0)</f>
        <v>3</v>
      </c>
      <c r="W13" s="9" cm="1">
        <f t="array" ref="W13">IFERROR(_xlfn.XLOOKUP(1,(Table15[[#This Row],[Name]]='Google Forms'!$B:$B)*(Table15[[#Headers],[Japan - 24 September]]='Google Forms'!$C:$C),'Google Forms'!$K:$K,0,0,-1),0)</f>
        <v>10</v>
      </c>
      <c r="X13" s="9" cm="1">
        <f t="array" ref="X13">IFERROR(_xlfn.XLOOKUP(1,(Table15[[#This Row],[Name]]='Google Forms'!$B:$B)*(Table15[[#Headers],[Qatar - 8 October]]='Google Forms'!$C:$C),'Google Forms'!$K:$K,0,0,-1),0)</f>
        <v>6</v>
      </c>
      <c r="Y13" s="9" cm="1">
        <f t="array" ref="Y13">IFERROR(_xlfn.XLOOKUP(1,(Table15[[#This Row],[Name]]='Google Forms'!$B:$B)*(Table15[[#Headers],[United States - 22 October]]='Google Forms'!$C:$C),'Google Forms'!$K:$K,0,0,-1),0)</f>
        <v>6</v>
      </c>
      <c r="Z13" s="9" cm="1">
        <f t="array" ref="Z13">IFERROR(_xlfn.XLOOKUP(1,(Table15[[#This Row],[Name]]='Google Forms'!$B:$B)*(Table15[[#Headers],[Mexico - 29 October]]='Google Forms'!$C:$C),'Google Forms'!$K:$K,0,0,-1),0)</f>
        <v>15</v>
      </c>
      <c r="AA13" s="9" cm="1">
        <f t="array" ref="AA13">IFERROR(_xlfn.XLOOKUP(1,(Table15[[#This Row],[Name]]='Google Forms'!$B:$B)*(Table15[[#Headers],[Brazil - 5 November]]='Google Forms'!$C:$C),'Google Forms'!$K:$K,0,0,-1),0)</f>
        <v>5</v>
      </c>
      <c r="AB13" s="9" cm="1">
        <f t="array" ref="AB13">IFERROR(_xlfn.XLOOKUP(1,(Table15[[#This Row],[Name]]='Google Forms'!$B:$B)*(Table15[[#Headers],[Las Vegas - 18 November]]='Google Forms'!$C:$C),'Google Forms'!$K:$K,0,0,-1),0)</f>
        <v>1</v>
      </c>
      <c r="AC13" s="9" cm="1">
        <f t="array" ref="AC13">IFERROR(_xlfn.XLOOKUP(1,(Table15[[#This Row],[Name]]='Google Forms'!$B:$B)*(Table15[[#Headers],[Abu Dhabi - 26 November]]='Google Forms'!$C:$C),'Google Forms'!$K:$K,0,0,-1),0)</f>
        <v>6</v>
      </c>
    </row>
    <row r="14" spans="1:29" ht="15.6" x14ac:dyDescent="0.3">
      <c r="A14" s="4">
        <v>13</v>
      </c>
      <c r="B14" t="s">
        <v>54</v>
      </c>
      <c r="C14" cm="1">
        <f t="array" ref="C14">Table15[[#This Row],[Total]]-_xlfn.XLOOKUP($G$35,$H$36:$AC$36,Table15[[#This Row],[Saudi Arabia - 19 March]:[Abu Dhabi - 26 November]])</f>
        <v>182</v>
      </c>
      <c r="D14" cm="1">
        <f t="array" ref="D14">_xlfn.XLOOKUP(B14,_xlfn.SORTBY(Table15[Name],Table15[Previous Race Total],-1),$A$2:$A$27)</f>
        <v>14</v>
      </c>
      <c r="E14" cm="1">
        <f t="array" ref="E14">_xlfn.XLOOKUP(B14,_xlfn.SORTBY(Table15[Name],Table15[Total],-1),$A$2:$A$27)</f>
        <v>13</v>
      </c>
      <c r="F14" s="102">
        <f>Table15[[#This Row],[Previous race Ranking]]-Table15[[#This Row],[Current ranking]]</f>
        <v>1</v>
      </c>
      <c r="G14" s="93">
        <f t="shared" si="0"/>
        <v>194</v>
      </c>
      <c r="H14" s="9">
        <v>12.5</v>
      </c>
      <c r="I14" s="9">
        <v>12.5</v>
      </c>
      <c r="J14" s="9">
        <v>5</v>
      </c>
      <c r="K14" s="9" cm="1">
        <f t="array" ref="K14">IFERROR(_xlfn.XLOOKUP(1,(Table15[[#This Row],[Name]]='Google Forms'!$B:$B)*(Table15[[#Headers],[Miami - 7 May]]='Google Forms'!$C:$C),'Google Forms'!$K:$K,0,0,-1),0)</f>
        <v>18</v>
      </c>
      <c r="L14" s="9" cm="1">
        <f t="array" ref="L14">IFERROR(_xlfn.XLOOKUP(1,(Table15[[#This Row],[Name]]='Google Forms'!$B:$B)*(Table15[[#Headers],[Italy - 21 May]]='Google Forms'!$C:$C),'Google Forms'!$K:$K,0,0,-1),0)</f>
        <v>0</v>
      </c>
      <c r="M14" s="9" cm="1">
        <f t="array" ref="M14">IFERROR(_xlfn.XLOOKUP(1,(Table15[[#This Row],[Name]]='Google Forms'!$B:$B)*(Table15[[#Headers],[Monaco - 28 May]]='Google Forms'!$C:$C),'Google Forms'!$K:$K,0,0,-1),0)</f>
        <v>9</v>
      </c>
      <c r="N14" s="9" cm="1">
        <f t="array" ref="N14">IFERROR(_xlfn.XLOOKUP(1,(Table15[[#This Row],[Name]]='Google Forms'!$B:$B)*(Table15[[#Headers],[Spain - 4 June]]='Google Forms'!$C:$C),'Google Forms'!$K:$K,0,0,-1),0)</f>
        <v>12.5</v>
      </c>
      <c r="O14" s="9" cm="1">
        <f t="array" ref="O14">IFERROR(_xlfn.XLOOKUP(1,(Table15[[#This Row],[Name]]='Google Forms'!$B:$B)*(Table15[[#Headers],[Canada - 18 June]]='Google Forms'!$C:$C),'Google Forms'!$K:$K,0,0,-1),0)</f>
        <v>15</v>
      </c>
      <c r="P14" s="9" cm="1">
        <f t="array" ref="P14">IFERROR(_xlfn.XLOOKUP(1,(Table15[[#This Row],[Name]]='Google Forms'!$B:$B)*(Table15[[#Headers],[Austria - 2 July]]='Google Forms'!$C:$C),'Google Forms'!$K:$K,0,0,-1),0)</f>
        <v>1</v>
      </c>
      <c r="Q14" s="9" cm="1">
        <f t="array" ref="Q14">IFERROR(_xlfn.XLOOKUP(1,(Table15[[#This Row],[Name]]='Google Forms'!$B:$B)*(Table15[[#Headers],[Great Britain - 9 July]]='Google Forms'!$C:$C),'Google Forms'!$K:$K,0,0,-1),0)</f>
        <v>12</v>
      </c>
      <c r="R14" s="9" cm="1">
        <f t="array" ref="R14">IFERROR(_xlfn.XLOOKUP(1,(Table15[[#This Row],[Name]]='Google Forms'!$B:$B)*(Table15[[#Headers],[Hungary - 23 July]]='Google Forms'!$C:$C),'Google Forms'!$K:$K,0,0,-1),0)</f>
        <v>4</v>
      </c>
      <c r="S14" s="70" cm="1">
        <f t="array" ref="S14">IFERROR(_xlfn.XLOOKUP(1,(Table15[[#This Row],[Name]]='Google Forms'!$B:$B)*(Table15[[#Headers],[Belgium - 30 July]]='Google Forms'!$C:$C),'Google Forms'!$K:$K,0,0,-1),0)</f>
        <v>12</v>
      </c>
      <c r="T14" s="9" cm="1">
        <f t="array" ref="T14">IFERROR(_xlfn.XLOOKUP(1,(Table15[[#This Row],[Name]]='Google Forms'!$B:$B)*(Table15[[#Headers],[Netherlands - 27 August]]='Google Forms'!$C:$C),'Google Forms'!$K:$K,0,0,-1),0)</f>
        <v>12</v>
      </c>
      <c r="U14" s="9" cm="1">
        <f t="array" ref="U14">IFERROR(_xlfn.XLOOKUP(1,(Table15[[#This Row],[Name]]='Google Forms'!$B:$B)*(Table15[[#Headers],[Italy - 3 September]]='Google Forms'!$C:$C),'Google Forms'!$K:$K,0,0,-1),0)</f>
        <v>4</v>
      </c>
      <c r="V14" s="9" cm="1">
        <f t="array" ref="V14">IFERROR(_xlfn.XLOOKUP(1,(Table15[[#This Row],[Name]]='Google Forms'!$B:$B)*(Table15[[#Headers],[Singapore - 17 September]]='Google Forms'!$C:$C),'Google Forms'!$K:$K,0,0,-1),0)</f>
        <v>2</v>
      </c>
      <c r="W14" s="9" cm="1">
        <f t="array" ref="W14">IFERROR(_xlfn.XLOOKUP(1,(Table15[[#This Row],[Name]]='Google Forms'!$B:$B)*(Table15[[#Headers],[Japan - 24 September]]='Google Forms'!$C:$C),'Google Forms'!$K:$K,0,0,-1),0)</f>
        <v>15</v>
      </c>
      <c r="X14" s="9" cm="1">
        <f t="array" ref="X14">IFERROR(_xlfn.XLOOKUP(1,(Table15[[#This Row],[Name]]='Google Forms'!$B:$B)*(Table15[[#Headers],[Qatar - 8 October]]='Google Forms'!$C:$C),'Google Forms'!$K:$K,0,0,-1),0)</f>
        <v>10</v>
      </c>
      <c r="Y14" s="9" cm="1">
        <f t="array" ref="Y14">IFERROR(_xlfn.XLOOKUP(1,(Table15[[#This Row],[Name]]='Google Forms'!$B:$B)*(Table15[[#Headers],[United States - 22 October]]='Google Forms'!$C:$C),'Google Forms'!$K:$K,0,0,-1),0)</f>
        <v>0</v>
      </c>
      <c r="Z14" s="9" cm="1">
        <f t="array" ref="Z14">IFERROR(_xlfn.XLOOKUP(1,(Table15[[#This Row],[Name]]='Google Forms'!$B:$B)*(Table15[[#Headers],[Mexico - 29 October]]='Google Forms'!$C:$C),'Google Forms'!$K:$K,0,0,-1),0)</f>
        <v>15</v>
      </c>
      <c r="AA14" s="9" cm="1">
        <f t="array" ref="AA14">IFERROR(_xlfn.XLOOKUP(1,(Table15[[#This Row],[Name]]='Google Forms'!$B:$B)*(Table15[[#Headers],[Brazil - 5 November]]='Google Forms'!$C:$C),'Google Forms'!$K:$K,0,0,-1),0)</f>
        <v>0.5</v>
      </c>
      <c r="AB14" s="9" cm="1">
        <f t="array" ref="AB14">IFERROR(_xlfn.XLOOKUP(1,(Table15[[#This Row],[Name]]='Google Forms'!$B:$B)*(Table15[[#Headers],[Las Vegas - 18 November]]='Google Forms'!$C:$C),'Google Forms'!$K:$K,0,0,-1),0)</f>
        <v>10</v>
      </c>
      <c r="AC14" s="9" cm="1">
        <f t="array" ref="AC14">IFERROR(_xlfn.XLOOKUP(1,(Table15[[#This Row],[Name]]='Google Forms'!$B:$B)*(Table15[[#Headers],[Abu Dhabi - 26 November]]='Google Forms'!$C:$C),'Google Forms'!$K:$K,0,0,-1),0)</f>
        <v>12</v>
      </c>
    </row>
    <row r="15" spans="1:29" ht="15.6" x14ac:dyDescent="0.3">
      <c r="A15" s="4">
        <v>14</v>
      </c>
      <c r="B15" t="s">
        <v>67</v>
      </c>
      <c r="C15" cm="1">
        <f t="array" ref="C15">Table15[[#This Row],[Total]]-_xlfn.XLOOKUP($G$35,$H$36:$AC$36,Table15[[#This Row],[Saudi Arabia - 19 March]:[Abu Dhabi - 26 November]])</f>
        <v>173.5</v>
      </c>
      <c r="D15" cm="1">
        <f t="array" ref="D15">_xlfn.XLOOKUP(B15,_xlfn.SORTBY(Table15[Name],Table15[Previous Race Total],-1),$A$2:$A$27)</f>
        <v>15</v>
      </c>
      <c r="E15" cm="1">
        <f t="array" ref="E15">_xlfn.XLOOKUP(B15,_xlfn.SORTBY(Table15[Name],Table15[Total],-1),$A$2:$A$27)</f>
        <v>14</v>
      </c>
      <c r="F15" s="102">
        <f>Table15[[#This Row],[Previous race Ranking]]-Table15[[#This Row],[Current ranking]]</f>
        <v>1</v>
      </c>
      <c r="G15" s="93">
        <f t="shared" si="0"/>
        <v>185.5</v>
      </c>
      <c r="H15" s="9">
        <v>6</v>
      </c>
      <c r="I15" s="9">
        <v>0</v>
      </c>
      <c r="J15" s="9">
        <v>25</v>
      </c>
      <c r="K15" s="9" cm="1">
        <f t="array" ref="K15">IFERROR(_xlfn.XLOOKUP(1,(Table15[[#This Row],[Name]]='Google Forms'!$B:$B)*(Table15[[#Headers],[Miami - 7 May]]='Google Forms'!$C:$C),'Google Forms'!$K:$K,0,0,-1),0)</f>
        <v>9</v>
      </c>
      <c r="L15" s="9" cm="1">
        <f t="array" ref="L15">IFERROR(_xlfn.XLOOKUP(1,(Table15[[#This Row],[Name]]='Google Forms'!$B:$B)*(Table15[[#Headers],[Italy - 21 May]]='Google Forms'!$C:$C),'Google Forms'!$K:$K,0,0,-1),0)</f>
        <v>0</v>
      </c>
      <c r="M15" s="9" cm="1">
        <f t="array" ref="M15">IFERROR(_xlfn.XLOOKUP(1,(Table15[[#This Row],[Name]]='Google Forms'!$B:$B)*(Table15[[#Headers],[Monaco - 28 May]]='Google Forms'!$C:$C),'Google Forms'!$K:$K,0,0,-1),0)</f>
        <v>4</v>
      </c>
      <c r="N15" s="9" cm="1">
        <f t="array" ref="N15">IFERROR(_xlfn.XLOOKUP(1,(Table15[[#This Row],[Name]]='Google Forms'!$B:$B)*(Table15[[#Headers],[Spain - 4 June]]='Google Forms'!$C:$C),'Google Forms'!$K:$K,0,0,-1),0)</f>
        <v>12.5</v>
      </c>
      <c r="O15" s="9" cm="1">
        <f t="array" ref="O15">IFERROR(_xlfn.XLOOKUP(1,(Table15[[#This Row],[Name]]='Google Forms'!$B:$B)*(Table15[[#Headers],[Canada - 18 June]]='Google Forms'!$C:$C),'Google Forms'!$K:$K,0,0,-1),0)</f>
        <v>6</v>
      </c>
      <c r="P15" s="9" cm="1">
        <f t="array" ref="P15">IFERROR(_xlfn.XLOOKUP(1,(Table15[[#This Row],[Name]]='Google Forms'!$B:$B)*(Table15[[#Headers],[Austria - 2 July]]='Google Forms'!$C:$C),'Google Forms'!$K:$K,0,0,-1),0)</f>
        <v>0</v>
      </c>
      <c r="Q15" s="9" cm="1">
        <f t="array" ref="Q15">IFERROR(_xlfn.XLOOKUP(1,(Table15[[#This Row],[Name]]='Google Forms'!$B:$B)*(Table15[[#Headers],[Great Britain - 9 July]]='Google Forms'!$C:$C),'Google Forms'!$K:$K,0,0,-1),0)</f>
        <v>6</v>
      </c>
      <c r="R15" s="9" cm="1">
        <f t="array" ref="R15">IFERROR(_xlfn.XLOOKUP(1,(Table15[[#This Row],[Name]]='Google Forms'!$B:$B)*(Table15[[#Headers],[Hungary - 23 July]]='Google Forms'!$C:$C),'Google Forms'!$K:$K,0,0,-1),0)</f>
        <v>12</v>
      </c>
      <c r="S15" s="9" cm="1">
        <f t="array" ref="S15">IFERROR(_xlfn.XLOOKUP(1,(Table15[[#This Row],[Name]]='Google Forms'!$B:$B)*(Table15[[#Headers],[Belgium - 30 July]]='Google Forms'!$C:$C),'Google Forms'!$K:$K,0,0,-1),0)</f>
        <v>18</v>
      </c>
      <c r="T15" s="9" cm="1">
        <f t="array" ref="T15">IFERROR(_xlfn.XLOOKUP(1,(Table15[[#This Row],[Name]]='Google Forms'!$B:$B)*(Table15[[#Headers],[Netherlands - 27 August]]='Google Forms'!$C:$C),'Google Forms'!$K:$K,0,0,-1),0)</f>
        <v>6</v>
      </c>
      <c r="U15" s="9" cm="1">
        <f t="array" ref="U15">IFERROR(_xlfn.XLOOKUP(1,(Table15[[#This Row],[Name]]='Google Forms'!$B:$B)*(Table15[[#Headers],[Italy - 3 September]]='Google Forms'!$C:$C),'Google Forms'!$K:$K,0,0,-1),0)</f>
        <v>9</v>
      </c>
      <c r="V15" s="9" cm="1">
        <f t="array" ref="V15">IFERROR(_xlfn.XLOOKUP(1,(Table15[[#This Row],[Name]]='Google Forms'!$B:$B)*(Table15[[#Headers],[Singapore - 17 September]]='Google Forms'!$C:$C),'Google Forms'!$K:$K,0,0,-1),0)</f>
        <v>3</v>
      </c>
      <c r="W15" s="9" cm="1">
        <f t="array" ref="W15">IFERROR(_xlfn.XLOOKUP(1,(Table15[[#This Row],[Name]]='Google Forms'!$B:$B)*(Table15[[#Headers],[Japan - 24 September]]='Google Forms'!$C:$C),'Google Forms'!$K:$K,0,0,-1),0)</f>
        <v>18</v>
      </c>
      <c r="X15" s="9" cm="1">
        <f t="array" ref="X15">IFERROR(_xlfn.XLOOKUP(1,(Table15[[#This Row],[Name]]='Google Forms'!$B:$B)*(Table15[[#Headers],[Qatar - 8 October]]='Google Forms'!$C:$C),'Google Forms'!$K:$K,0,0,-1),0)</f>
        <v>8</v>
      </c>
      <c r="Y15" s="9" cm="1">
        <f t="array" ref="Y15">IFERROR(_xlfn.XLOOKUP(1,(Table15[[#This Row],[Name]]='Google Forms'!$B:$B)*(Table15[[#Headers],[United States - 22 October]]='Google Forms'!$C:$C),'Google Forms'!$K:$K,0,0,-1),0)</f>
        <v>6</v>
      </c>
      <c r="Z15" s="9" cm="1">
        <f t="array" ref="Z15">IFERROR(_xlfn.XLOOKUP(1,(Table15[[#This Row],[Name]]='Google Forms'!$B:$B)*(Table15[[#Headers],[Mexico - 29 October]]='Google Forms'!$C:$C),'Google Forms'!$K:$K,0,0,-1),0)</f>
        <v>7.5</v>
      </c>
      <c r="AA15" s="9" cm="1">
        <f t="array" ref="AA15">IFERROR(_xlfn.XLOOKUP(1,(Table15[[#This Row],[Name]]='Google Forms'!$B:$B)*(Table15[[#Headers],[Brazil - 5 November]]='Google Forms'!$C:$C),'Google Forms'!$K:$K,0,0,-1),0)</f>
        <v>12.5</v>
      </c>
      <c r="AB15" s="9" cm="1">
        <f t="array" ref="AB15">IFERROR(_xlfn.XLOOKUP(1,(Table15[[#This Row],[Name]]='Google Forms'!$B:$B)*(Table15[[#Headers],[Las Vegas - 18 November]]='Google Forms'!$C:$C),'Google Forms'!$K:$K,0,0,-1),0)</f>
        <v>5</v>
      </c>
      <c r="AC15" s="9" cm="1">
        <f t="array" ref="AC15">IFERROR(_xlfn.XLOOKUP(1,(Table15[[#This Row],[Name]]='Google Forms'!$B:$B)*(Table15[[#Headers],[Abu Dhabi - 26 November]]='Google Forms'!$C:$C),'Google Forms'!$K:$K,0,0,-1),0)</f>
        <v>12</v>
      </c>
    </row>
    <row r="16" spans="1:29" ht="15.6" x14ac:dyDescent="0.3">
      <c r="A16" s="4">
        <v>15</v>
      </c>
      <c r="B16" t="s">
        <v>61</v>
      </c>
      <c r="C16" cm="1">
        <f t="array" ref="C16">Table15[[#This Row],[Total]]-_xlfn.XLOOKUP($G$35,$H$36:$AC$36,Table15[[#This Row],[Saudi Arabia - 19 March]:[Abu Dhabi - 26 November]])</f>
        <v>159.75</v>
      </c>
      <c r="D16" cm="1">
        <f t="array" ref="D16">_xlfn.XLOOKUP(B16,_xlfn.SORTBY(Table15[Name],Table15[Previous Race Total],-1),$A$2:$A$27)</f>
        <v>18</v>
      </c>
      <c r="E16" cm="1">
        <f t="array" ref="E16">_xlfn.XLOOKUP(B16,_xlfn.SORTBY(Table15[Name],Table15[Total],-1),$A$2:$A$27)</f>
        <v>15</v>
      </c>
      <c r="F16" s="102">
        <f>Table15[[#This Row],[Previous race Ranking]]-Table15[[#This Row],[Current ranking]]</f>
        <v>3</v>
      </c>
      <c r="G16" s="93">
        <f t="shared" si="0"/>
        <v>184.75</v>
      </c>
      <c r="H16" s="9">
        <v>18</v>
      </c>
      <c r="I16" s="9">
        <v>12.5</v>
      </c>
      <c r="J16" s="9">
        <v>10</v>
      </c>
      <c r="K16" s="9" cm="1">
        <f t="array" ref="K16">IFERROR(_xlfn.XLOOKUP(1,(Table15[[#This Row],[Name]]='Google Forms'!$B:$B)*(Table15[[#Headers],[Miami - 7 May]]='Google Forms'!$C:$C),'Google Forms'!$K:$K,0,0,-1),0)</f>
        <v>12.5</v>
      </c>
      <c r="L16" s="9" cm="1">
        <f t="array" ref="L16">IFERROR(_xlfn.XLOOKUP(1,(Table15[[#This Row],[Name]]='Google Forms'!$B:$B)*(Table15[[#Headers],[Italy - 21 May]]='Google Forms'!$C:$C),'Google Forms'!$K:$K,0,0,-1),0)</f>
        <v>0</v>
      </c>
      <c r="M16" s="9" cm="1">
        <f t="array" ref="M16">IFERROR(_xlfn.XLOOKUP(1,(Table15[[#This Row],[Name]]='Google Forms'!$B:$B)*(Table15[[#Headers],[Monaco - 28 May]]='Google Forms'!$C:$C),'Google Forms'!$K:$K,0,0,-1),0)</f>
        <v>4</v>
      </c>
      <c r="N16" s="9" cm="1">
        <f t="array" ref="N16">IFERROR(_xlfn.XLOOKUP(1,(Table15[[#This Row],[Name]]='Google Forms'!$B:$B)*(Table15[[#Headers],[Spain - 4 June]]='Google Forms'!$C:$C),'Google Forms'!$K:$K,0,0,-1),0)</f>
        <v>6</v>
      </c>
      <c r="O16" s="9" cm="1">
        <f t="array" ref="O16">IFERROR(_xlfn.XLOOKUP(1,(Table15[[#This Row],[Name]]='Google Forms'!$B:$B)*(Table15[[#Headers],[Canada - 18 June]]='Google Forms'!$C:$C),'Google Forms'!$K:$K,0,0,-1),0)</f>
        <v>12</v>
      </c>
      <c r="P16" s="9" cm="1">
        <f t="array" ref="P16">IFERROR(_xlfn.XLOOKUP(1,(Table15[[#This Row],[Name]]='Google Forms'!$B:$B)*(Table15[[#Headers],[Austria - 2 July]]='Google Forms'!$C:$C),'Google Forms'!$K:$K,0,0,-1),0)</f>
        <v>1</v>
      </c>
      <c r="Q16" s="9" cm="1">
        <f t="array" ref="Q16">IFERROR(_xlfn.XLOOKUP(1,(Table15[[#This Row],[Name]]='Google Forms'!$B:$B)*(Table15[[#Headers],[Great Britain - 9 July]]='Google Forms'!$C:$C),'Google Forms'!$K:$K,0,0,-1),0)</f>
        <v>2</v>
      </c>
      <c r="R16" s="9" cm="1">
        <f t="array" ref="R16">IFERROR(_xlfn.XLOOKUP(1,(Table15[[#This Row],[Name]]='Google Forms'!$B:$B)*(Table15[[#Headers],[Hungary - 23 July]]='Google Forms'!$C:$C),'Google Forms'!$K:$K,0,0,-1),0)</f>
        <v>5</v>
      </c>
      <c r="S16" s="70" cm="1">
        <f t="array" ref="S16">IFERROR(_xlfn.XLOOKUP(1,(Table15[[#This Row],[Name]]='Google Forms'!$B:$B)*(Table15[[#Headers],[Belgium - 30 July]]='Google Forms'!$C:$C),'Google Forms'!$K:$K,0,0,-1),0)</f>
        <v>12</v>
      </c>
      <c r="T16" s="9" cm="1">
        <f t="array" ref="T16">IFERROR(_xlfn.XLOOKUP(1,(Table15[[#This Row],[Name]]='Google Forms'!$B:$B)*(Table15[[#Headers],[Netherlands - 27 August]]='Google Forms'!$C:$C),'Google Forms'!$K:$K,0,0,-1),0)</f>
        <v>15</v>
      </c>
      <c r="U16" s="9" cm="1">
        <f t="array" ref="U16">IFERROR(_xlfn.XLOOKUP(1,(Table15[[#This Row],[Name]]='Google Forms'!$B:$B)*(Table15[[#Headers],[Italy - 3 September]]='Google Forms'!$C:$C),'Google Forms'!$K:$K,0,0,-1),0)</f>
        <v>0.25</v>
      </c>
      <c r="V16" s="9" cm="1">
        <f t="array" ref="V16">IFERROR(_xlfn.XLOOKUP(1,(Table15[[#This Row],[Name]]='Google Forms'!$B:$B)*(Table15[[#Headers],[Singapore - 17 September]]='Google Forms'!$C:$C),'Google Forms'!$K:$K,0,0,-1),0)</f>
        <v>4</v>
      </c>
      <c r="W16" s="9" cm="1">
        <f t="array" ref="W16">IFERROR(_xlfn.XLOOKUP(1,(Table15[[#This Row],[Name]]='Google Forms'!$B:$B)*(Table15[[#Headers],[Japan - 24 September]]='Google Forms'!$C:$C),'Google Forms'!$K:$K,0,0,-1),0)</f>
        <v>12.5</v>
      </c>
      <c r="X16" s="9" cm="1">
        <f t="array" ref="X16">IFERROR(_xlfn.XLOOKUP(1,(Table15[[#This Row],[Name]]='Google Forms'!$B:$B)*(Table15[[#Headers],[Qatar - 8 October]]='Google Forms'!$C:$C),'Google Forms'!$K:$K,0,0,-1),0)</f>
        <v>12</v>
      </c>
      <c r="Y16" s="9" cm="1">
        <f t="array" ref="Y16">IFERROR(_xlfn.XLOOKUP(1,(Table15[[#This Row],[Name]]='Google Forms'!$B:$B)*(Table15[[#Headers],[United States - 22 October]]='Google Forms'!$C:$C),'Google Forms'!$K:$K,0,0,-1),0)</f>
        <v>10</v>
      </c>
      <c r="Z16" s="9" cm="1">
        <f t="array" ref="Z16">IFERROR(_xlfn.XLOOKUP(1,(Table15[[#This Row],[Name]]='Google Forms'!$B:$B)*(Table15[[#Headers],[Mexico - 29 October]]='Google Forms'!$C:$C),'Google Forms'!$K:$K,0,0,-1),0)</f>
        <v>10</v>
      </c>
      <c r="AA16" s="9" cm="1">
        <f t="array" ref="AA16">IFERROR(_xlfn.XLOOKUP(1,(Table15[[#This Row],[Name]]='Google Forms'!$B:$B)*(Table15[[#Headers],[Brazil - 5 November]]='Google Forms'!$C:$C),'Google Forms'!$K:$K,0,0,-1),0)</f>
        <v>1</v>
      </c>
      <c r="AB16" s="9" cm="1">
        <f t="array" ref="AB16">IFERROR(_xlfn.XLOOKUP(1,(Table15[[#This Row],[Name]]='Google Forms'!$B:$B)*(Table15[[#Headers],[Las Vegas - 18 November]]='Google Forms'!$C:$C),'Google Forms'!$K:$K,0,0,-1),0)</f>
        <v>0</v>
      </c>
      <c r="AC16" s="9" cm="1">
        <f t="array" ref="AC16">IFERROR(_xlfn.XLOOKUP(1,(Table15[[#This Row],[Name]]='Google Forms'!$B:$B)*(Table15[[#Headers],[Abu Dhabi - 26 November]]='Google Forms'!$C:$C),'Google Forms'!$K:$K,0,0,-1),0)</f>
        <v>25</v>
      </c>
    </row>
    <row r="17" spans="1:29" ht="15.6" x14ac:dyDescent="0.3">
      <c r="A17" s="4">
        <v>16</v>
      </c>
      <c r="B17" t="s">
        <v>68</v>
      </c>
      <c r="C17" cm="1">
        <f t="array" ref="C17">Table15[[#This Row],[Total]]-_xlfn.XLOOKUP($G$35,$H$36:$AC$36,Table15[[#This Row],[Saudi Arabia - 19 March]:[Abu Dhabi - 26 November]])</f>
        <v>183.5</v>
      </c>
      <c r="D17" cm="1">
        <f t="array" ref="D17">_xlfn.XLOOKUP(B17,_xlfn.SORTBY(Table15[Name],Table15[Previous Race Total],-1),$A$2:$A$27)</f>
        <v>13</v>
      </c>
      <c r="E17" cm="1">
        <f t="array" ref="E17">_xlfn.XLOOKUP(B17,_xlfn.SORTBY(Table15[Name],Table15[Total],-1),$A$2:$A$27)</f>
        <v>16</v>
      </c>
      <c r="F17" s="102">
        <f>Table15[[#This Row],[Previous race Ranking]]-Table15[[#This Row],[Current ranking]]</f>
        <v>-3</v>
      </c>
      <c r="G17" s="93">
        <f t="shared" si="0"/>
        <v>183.5</v>
      </c>
      <c r="H17" s="9">
        <v>9</v>
      </c>
      <c r="I17" s="9">
        <v>12.5</v>
      </c>
      <c r="J17" s="9">
        <v>12.5</v>
      </c>
      <c r="K17" s="9" cm="1">
        <f t="array" ref="K17">IFERROR(_xlfn.XLOOKUP(1,(Table15[[#This Row],[Name]]='Google Forms'!$B:$B)*(Table15[[#Headers],[Miami - 7 May]]='Google Forms'!$C:$C),'Google Forms'!$K:$K,0,0,-1),0)</f>
        <v>5</v>
      </c>
      <c r="L17" s="9" cm="1">
        <f t="array" ref="L17">IFERROR(_xlfn.XLOOKUP(1,(Table15[[#This Row],[Name]]='Google Forms'!$B:$B)*(Table15[[#Headers],[Italy - 21 May]]='Google Forms'!$C:$C),'Google Forms'!$K:$K,0,0,-1),0)</f>
        <v>0</v>
      </c>
      <c r="M17" s="9" cm="1">
        <f t="array" ref="M17">IFERROR(_xlfn.XLOOKUP(1,(Table15[[#This Row],[Name]]='Google Forms'!$B:$B)*(Table15[[#Headers],[Monaco - 28 May]]='Google Forms'!$C:$C),'Google Forms'!$K:$K,0,0,-1),0)</f>
        <v>0.5</v>
      </c>
      <c r="N17" s="9" cm="1">
        <f t="array" ref="N17">IFERROR(_xlfn.XLOOKUP(1,(Table15[[#This Row],[Name]]='Google Forms'!$B:$B)*(Table15[[#Headers],[Spain - 4 June]]='Google Forms'!$C:$C),'Google Forms'!$K:$K,0,0,-1),0)</f>
        <v>6</v>
      </c>
      <c r="O17" s="9" cm="1">
        <f t="array" ref="O17">IFERROR(_xlfn.XLOOKUP(1,(Table15[[#This Row],[Name]]='Google Forms'!$B:$B)*(Table15[[#Headers],[Canada - 18 June]]='Google Forms'!$C:$C),'Google Forms'!$K:$K,0,0,-1),0)</f>
        <v>15</v>
      </c>
      <c r="P17" s="9" cm="1">
        <f t="array" ref="P17">IFERROR(_xlfn.XLOOKUP(1,(Table15[[#This Row],[Name]]='Google Forms'!$B:$B)*(Table15[[#Headers],[Austria - 2 July]]='Google Forms'!$C:$C),'Google Forms'!$K:$K,0,0,-1),0)</f>
        <v>2</v>
      </c>
      <c r="Q17" s="9" cm="1">
        <f t="array" ref="Q17">IFERROR(_xlfn.XLOOKUP(1,(Table15[[#This Row],[Name]]='Google Forms'!$B:$B)*(Table15[[#Headers],[Great Britain - 9 July]]='Google Forms'!$C:$C),'Google Forms'!$K:$K,0,0,-1),0)</f>
        <v>12</v>
      </c>
      <c r="R17" s="9" cm="1">
        <f t="array" ref="R17">IFERROR(_xlfn.XLOOKUP(1,(Table15[[#This Row],[Name]]='Google Forms'!$B:$B)*(Table15[[#Headers],[Hungary - 23 July]]='Google Forms'!$C:$C),'Google Forms'!$K:$K,0,0,-1),0)</f>
        <v>5</v>
      </c>
      <c r="S17" s="9" cm="1">
        <f t="array" ref="S17">IFERROR(_xlfn.XLOOKUP(1,(Table15[[#This Row],[Name]]='Google Forms'!$B:$B)*(Table15[[#Headers],[Belgium - 30 July]]='Google Forms'!$C:$C),'Google Forms'!$K:$K,0,0,-1),0)</f>
        <v>18</v>
      </c>
      <c r="T17" s="9" cm="1">
        <f t="array" ref="T17">IFERROR(_xlfn.XLOOKUP(1,(Table15[[#This Row],[Name]]='Google Forms'!$B:$B)*(Table15[[#Headers],[Netherlands - 27 August]]='Google Forms'!$C:$C),'Google Forms'!$K:$K,0,0,-1),0)</f>
        <v>15</v>
      </c>
      <c r="U17" s="9" cm="1">
        <f t="array" ref="U17">IFERROR(_xlfn.XLOOKUP(1,(Table15[[#This Row],[Name]]='Google Forms'!$B:$B)*(Table15[[#Headers],[Italy - 3 September]]='Google Forms'!$C:$C),'Google Forms'!$K:$K,0,0,-1),0)</f>
        <v>4</v>
      </c>
      <c r="V17" s="9" cm="1">
        <f t="array" ref="V17">IFERROR(_xlfn.XLOOKUP(1,(Table15[[#This Row],[Name]]='Google Forms'!$B:$B)*(Table15[[#Headers],[Singapore - 17 September]]='Google Forms'!$C:$C),'Google Forms'!$K:$K,0,0,-1),0)</f>
        <v>15</v>
      </c>
      <c r="W17" s="9" cm="1">
        <f t="array" ref="W17">IFERROR(_xlfn.XLOOKUP(1,(Table15[[#This Row],[Name]]='Google Forms'!$B:$B)*(Table15[[#Headers],[Japan - 24 September]]='Google Forms'!$C:$C),'Google Forms'!$K:$K,0,0,-1),0)</f>
        <v>10</v>
      </c>
      <c r="X17" s="9" cm="1">
        <f t="array" ref="X17">IFERROR(_xlfn.XLOOKUP(1,(Table15[[#This Row],[Name]]='Google Forms'!$B:$B)*(Table15[[#Headers],[Qatar - 8 October]]='Google Forms'!$C:$C),'Google Forms'!$K:$K,0,0,-1),0)</f>
        <v>4</v>
      </c>
      <c r="Y17" s="9" cm="1">
        <f t="array" ref="Y17">IFERROR(_xlfn.XLOOKUP(1,(Table15[[#This Row],[Name]]='Google Forms'!$B:$B)*(Table15[[#Headers],[United States - 22 October]]='Google Forms'!$C:$C),'Google Forms'!$K:$K,0,0,-1),0)</f>
        <v>6</v>
      </c>
      <c r="Z17" s="9" cm="1">
        <f t="array" ref="Z17">IFERROR(_xlfn.XLOOKUP(1,(Table15[[#This Row],[Name]]='Google Forms'!$B:$B)*(Table15[[#Headers],[Mexico - 29 October]]='Google Forms'!$C:$C),'Google Forms'!$K:$K,0,0,-1),0)</f>
        <v>8</v>
      </c>
      <c r="AA17" s="9" cm="1">
        <f t="array" ref="AA17">IFERROR(_xlfn.XLOOKUP(1,(Table15[[#This Row],[Name]]='Google Forms'!$B:$B)*(Table15[[#Headers],[Brazil - 5 November]]='Google Forms'!$C:$C),'Google Forms'!$K:$K,0,0,-1),0)</f>
        <v>18</v>
      </c>
      <c r="AB17" s="9" cm="1">
        <f t="array" ref="AB17">IFERROR(_xlfn.XLOOKUP(1,(Table15[[#This Row],[Name]]='Google Forms'!$B:$B)*(Table15[[#Headers],[Las Vegas - 18 November]]='Google Forms'!$C:$C),'Google Forms'!$K:$K,0,0,-1),0)</f>
        <v>6</v>
      </c>
      <c r="AC17" s="9" cm="1">
        <f t="array" ref="AC17">IFERROR(_xlfn.XLOOKUP(1,(Table15[[#This Row],[Name]]='Google Forms'!$B:$B)*(Table15[[#Headers],[Abu Dhabi - 26 November]]='Google Forms'!$C:$C),'Google Forms'!$K:$K,0,0,-1),0)</f>
        <v>0</v>
      </c>
    </row>
    <row r="18" spans="1:29" ht="15.6" x14ac:dyDescent="0.3">
      <c r="A18" s="4">
        <v>17</v>
      </c>
      <c r="B18" t="s">
        <v>66</v>
      </c>
      <c r="C18" cm="1">
        <f t="array" ref="C18">Table15[[#This Row],[Total]]-_xlfn.XLOOKUP($G$35,$H$36:$AC$36,Table15[[#This Row],[Saudi Arabia - 19 March]:[Abu Dhabi - 26 November]])</f>
        <v>152</v>
      </c>
      <c r="D18" cm="1">
        <f t="array" ref="D18">_xlfn.XLOOKUP(B18,_xlfn.SORTBY(Table15[Name],Table15[Previous Race Total],-1),$A$2:$A$27)</f>
        <v>21</v>
      </c>
      <c r="E18" cm="1">
        <f t="array" ref="E18">_xlfn.XLOOKUP(B18,_xlfn.SORTBY(Table15[Name],Table15[Total],-1),$A$2:$A$27)</f>
        <v>17</v>
      </c>
      <c r="F18" s="102">
        <f>Table15[[#This Row],[Previous race Ranking]]-Table15[[#This Row],[Current ranking]]</f>
        <v>4</v>
      </c>
      <c r="G18" s="93">
        <f t="shared" si="0"/>
        <v>177</v>
      </c>
      <c r="H18" s="9">
        <v>0</v>
      </c>
      <c r="I18" s="9">
        <v>7.5</v>
      </c>
      <c r="J18" s="9">
        <v>25</v>
      </c>
      <c r="K18" s="9" cm="1">
        <f t="array" ref="K18">IFERROR(_xlfn.XLOOKUP(1,(Table15[[#This Row],[Name]]='Google Forms'!$B:$B)*(Table15[[#Headers],[Miami - 7 May]]='Google Forms'!$C:$C),'Google Forms'!$K:$K,0,0,-1),0)</f>
        <v>12</v>
      </c>
      <c r="L18" s="9" cm="1">
        <f t="array" ref="L18">IFERROR(_xlfn.XLOOKUP(1,(Table15[[#This Row],[Name]]='Google Forms'!$B:$B)*(Table15[[#Headers],[Italy - 21 May]]='Google Forms'!$C:$C),'Google Forms'!$K:$K,0,0,-1),0)</f>
        <v>0</v>
      </c>
      <c r="M18" s="9" cm="1">
        <f t="array" ref="M18">IFERROR(_xlfn.XLOOKUP(1,(Table15[[#This Row],[Name]]='Google Forms'!$B:$B)*(Table15[[#Headers],[Monaco - 28 May]]='Google Forms'!$C:$C),'Google Forms'!$K:$K,0,0,-1),0)</f>
        <v>0.5</v>
      </c>
      <c r="N18" s="9" cm="1">
        <f t="array" ref="N18">IFERROR(_xlfn.XLOOKUP(1,(Table15[[#This Row],[Name]]='Google Forms'!$B:$B)*(Table15[[#Headers],[Spain - 4 June]]='Google Forms'!$C:$C),'Google Forms'!$K:$K,0,0,-1),0)</f>
        <v>12</v>
      </c>
      <c r="O18" s="9" cm="1">
        <f t="array" ref="O18">IFERROR(_xlfn.XLOOKUP(1,(Table15[[#This Row],[Name]]='Google Forms'!$B:$B)*(Table15[[#Headers],[Canada - 18 June]]='Google Forms'!$C:$C),'Google Forms'!$K:$K,0,0,-1),0)</f>
        <v>6</v>
      </c>
      <c r="P18" s="9" cm="1">
        <f t="array" ref="P18">IFERROR(_xlfn.XLOOKUP(1,(Table15[[#This Row],[Name]]='Google Forms'!$B:$B)*(Table15[[#Headers],[Austria - 2 July]]='Google Forms'!$C:$C),'Google Forms'!$K:$K,0,0,-1),0)</f>
        <v>1</v>
      </c>
      <c r="Q18" s="9" cm="1">
        <f t="array" ref="Q18">IFERROR(_xlfn.XLOOKUP(1,(Table15[[#This Row],[Name]]='Google Forms'!$B:$B)*(Table15[[#Headers],[Great Britain - 9 July]]='Google Forms'!$C:$C),'Google Forms'!$K:$K,0,0,-1),0)</f>
        <v>1</v>
      </c>
      <c r="R18" s="9" cm="1">
        <f t="array" ref="R18">IFERROR(_xlfn.XLOOKUP(1,(Table15[[#This Row],[Name]]='Google Forms'!$B:$B)*(Table15[[#Headers],[Hungary - 23 July]]='Google Forms'!$C:$C),'Google Forms'!$K:$K,0,0,-1),0)</f>
        <v>3</v>
      </c>
      <c r="S18" s="9" cm="1">
        <f t="array" ref="S18">IFERROR(_xlfn.XLOOKUP(1,(Table15[[#This Row],[Name]]='Google Forms'!$B:$B)*(Table15[[#Headers],[Belgium - 30 July]]='Google Forms'!$C:$C),'Google Forms'!$K:$K,0,0,-1),0)</f>
        <v>18</v>
      </c>
      <c r="T18" s="9" cm="1">
        <f t="array" ref="T18">IFERROR(_xlfn.XLOOKUP(1,(Table15[[#This Row],[Name]]='Google Forms'!$B:$B)*(Table15[[#Headers],[Netherlands - 27 August]]='Google Forms'!$C:$C),'Google Forms'!$K:$K,0,0,-1),0)</f>
        <v>15</v>
      </c>
      <c r="U18" s="9" cm="1">
        <f t="array" ref="U18">IFERROR(_xlfn.XLOOKUP(1,(Table15[[#This Row],[Name]]='Google Forms'!$B:$B)*(Table15[[#Headers],[Italy - 3 September]]='Google Forms'!$C:$C),'Google Forms'!$K:$K,0,0,-1),0)</f>
        <v>4</v>
      </c>
      <c r="V18" s="9" cm="1">
        <f t="array" ref="V18">IFERROR(_xlfn.XLOOKUP(1,(Table15[[#This Row],[Name]]='Google Forms'!$B:$B)*(Table15[[#Headers],[Singapore - 17 September]]='Google Forms'!$C:$C),'Google Forms'!$K:$K,0,0,-1),0)</f>
        <v>2</v>
      </c>
      <c r="W18" s="9" cm="1">
        <f t="array" ref="W18">IFERROR(_xlfn.XLOOKUP(1,(Table15[[#This Row],[Name]]='Google Forms'!$B:$B)*(Table15[[#Headers],[Japan - 24 September]]='Google Forms'!$C:$C),'Google Forms'!$K:$K,0,0,-1),0)</f>
        <v>18</v>
      </c>
      <c r="X18" s="9" cm="1">
        <f t="array" ref="X18">IFERROR(_xlfn.XLOOKUP(1,(Table15[[#This Row],[Name]]='Google Forms'!$B:$B)*(Table15[[#Headers],[Qatar - 8 October]]='Google Forms'!$C:$C),'Google Forms'!$K:$K,0,0,-1),0)</f>
        <v>8</v>
      </c>
      <c r="Y18" s="9" cm="1">
        <f t="array" ref="Y18">IFERROR(_xlfn.XLOOKUP(1,(Table15[[#This Row],[Name]]='Google Forms'!$B:$B)*(Table15[[#Headers],[United States - 22 October]]='Google Forms'!$C:$C),'Google Forms'!$K:$K,0,0,-1),0)</f>
        <v>4</v>
      </c>
      <c r="Z18" s="9" cm="1">
        <f t="array" ref="Z18">IFERROR(_xlfn.XLOOKUP(1,(Table15[[#This Row],[Name]]='Google Forms'!$B:$B)*(Table15[[#Headers],[Mexico - 29 October]]='Google Forms'!$C:$C),'Google Forms'!$K:$K,0,0,-1),0)</f>
        <v>4</v>
      </c>
      <c r="AA18" s="9" cm="1">
        <f t="array" ref="AA18">IFERROR(_xlfn.XLOOKUP(1,(Table15[[#This Row],[Name]]='Google Forms'!$B:$B)*(Table15[[#Headers],[Brazil - 5 November]]='Google Forms'!$C:$C),'Google Forms'!$K:$K,0,0,-1),0)</f>
        <v>1</v>
      </c>
      <c r="AB18" s="9" cm="1">
        <f t="array" ref="AB18">IFERROR(_xlfn.XLOOKUP(1,(Table15[[#This Row],[Name]]='Google Forms'!$B:$B)*(Table15[[#Headers],[Las Vegas - 18 November]]='Google Forms'!$C:$C),'Google Forms'!$K:$K,0,0,-1),0)</f>
        <v>10</v>
      </c>
      <c r="AC18" s="9" cm="1">
        <f t="array" ref="AC18">IFERROR(_xlfn.XLOOKUP(1,(Table15[[#This Row],[Name]]='Google Forms'!$B:$B)*(Table15[[#Headers],[Abu Dhabi - 26 November]]='Google Forms'!$C:$C),'Google Forms'!$K:$K,0,0,-1),0)</f>
        <v>25</v>
      </c>
    </row>
    <row r="19" spans="1:29" ht="15.6" x14ac:dyDescent="0.3">
      <c r="A19" s="4">
        <v>18</v>
      </c>
      <c r="B19" t="s">
        <v>69</v>
      </c>
      <c r="C19" cm="1">
        <f t="array" ref="C19">Table15[[#This Row],[Total]]-_xlfn.XLOOKUP($G$35,$H$36:$AC$36,Table15[[#This Row],[Saudi Arabia - 19 March]:[Abu Dhabi - 26 November]])</f>
        <v>160.25</v>
      </c>
      <c r="D19" cm="1">
        <f t="array" ref="D19">_xlfn.XLOOKUP(B19,_xlfn.SORTBY(Table15[Name],Table15[Previous Race Total],-1),$A$2:$A$27)</f>
        <v>17</v>
      </c>
      <c r="E19" cm="1">
        <f t="array" ref="E19">_xlfn.XLOOKUP(B19,_xlfn.SORTBY(Table15[Name],Table15[Total],-1),$A$2:$A$27)</f>
        <v>18</v>
      </c>
      <c r="F19" s="102">
        <f>Table15[[#This Row],[Previous race Ranking]]-Table15[[#This Row],[Current ranking]]</f>
        <v>-1</v>
      </c>
      <c r="G19" s="93">
        <f t="shared" si="0"/>
        <v>172.75</v>
      </c>
      <c r="H19" s="9">
        <v>0</v>
      </c>
      <c r="I19" s="9">
        <v>0</v>
      </c>
      <c r="J19" s="9">
        <v>6</v>
      </c>
      <c r="K19" s="9" cm="1">
        <f t="array" ref="K19">IFERROR(_xlfn.XLOOKUP(1,(Table15[[#This Row],[Name]]='Google Forms'!$B:$B)*(Table15[[#Headers],[Miami - 7 May]]='Google Forms'!$C:$C),'Google Forms'!$K:$K,0,0,-1),0)</f>
        <v>5</v>
      </c>
      <c r="L19" s="9" cm="1">
        <f t="array" ref="L19">IFERROR(_xlfn.XLOOKUP(1,(Table15[[#This Row],[Name]]='Google Forms'!$B:$B)*(Table15[[#Headers],[Italy - 21 May]]='Google Forms'!$C:$C),'Google Forms'!$K:$K,0,0,-1),0)</f>
        <v>0</v>
      </c>
      <c r="M19" s="9" cm="1">
        <f t="array" ref="M19">IFERROR(_xlfn.XLOOKUP(1,(Table15[[#This Row],[Name]]='Google Forms'!$B:$B)*(Table15[[#Headers],[Monaco - 28 May]]='Google Forms'!$C:$C),'Google Forms'!$K:$K,0,0,-1),0)</f>
        <v>7.5</v>
      </c>
      <c r="N19" s="9" cm="1">
        <f t="array" ref="N19">IFERROR(_xlfn.XLOOKUP(1,(Table15[[#This Row],[Name]]='Google Forms'!$B:$B)*(Table15[[#Headers],[Spain - 4 June]]='Google Forms'!$C:$C),'Google Forms'!$K:$K,0,0,-1),0)</f>
        <v>25</v>
      </c>
      <c r="O19" s="9" cm="1">
        <f t="array" ref="O19">IFERROR(_xlfn.XLOOKUP(1,(Table15[[#This Row],[Name]]='Google Forms'!$B:$B)*(Table15[[#Headers],[Canada - 18 June]]='Google Forms'!$C:$C),'Google Forms'!$K:$K,0,0,-1),0)</f>
        <v>15</v>
      </c>
      <c r="P19" s="9" cm="1">
        <f t="array" ref="P19">IFERROR(_xlfn.XLOOKUP(1,(Table15[[#This Row],[Name]]='Google Forms'!$B:$B)*(Table15[[#Headers],[Austria - 2 July]]='Google Forms'!$C:$C),'Google Forms'!$K:$K,0,0,-1),0)</f>
        <v>12.5</v>
      </c>
      <c r="Q19" s="9" cm="1">
        <f t="array" ref="Q19">IFERROR(_xlfn.XLOOKUP(1,(Table15[[#This Row],[Name]]='Google Forms'!$B:$B)*(Table15[[#Headers],[Great Britain - 9 July]]='Google Forms'!$C:$C),'Google Forms'!$K:$K,0,0,-1),0)</f>
        <v>9</v>
      </c>
      <c r="R19" s="9" cm="1">
        <f t="array" ref="R19">IFERROR(_xlfn.XLOOKUP(1,(Table15[[#This Row],[Name]]='Google Forms'!$B:$B)*(Table15[[#Headers],[Hungary - 23 July]]='Google Forms'!$C:$C),'Google Forms'!$K:$K,0,0,-1),0)</f>
        <v>12.5</v>
      </c>
      <c r="S19" s="9" cm="1">
        <f t="array" ref="S19">IFERROR(_xlfn.XLOOKUP(1,(Table15[[#This Row],[Name]]='Google Forms'!$B:$B)*(Table15[[#Headers],[Belgium - 30 July]]='Google Forms'!$C:$C),'Google Forms'!$K:$K,0,0,-1),0)</f>
        <v>15</v>
      </c>
      <c r="T19" s="9" cm="1">
        <f t="array" ref="T19">IFERROR(_xlfn.XLOOKUP(1,(Table15[[#This Row],[Name]]='Google Forms'!$B:$B)*(Table15[[#Headers],[Netherlands - 27 August]]='Google Forms'!$C:$C),'Google Forms'!$K:$K,0,0,-1),0)</f>
        <v>0</v>
      </c>
      <c r="U19" s="9" cm="1">
        <f t="array" ref="U19">IFERROR(_xlfn.XLOOKUP(1,(Table15[[#This Row],[Name]]='Google Forms'!$B:$B)*(Table15[[#Headers],[Italy - 3 September]]='Google Forms'!$C:$C),'Google Forms'!$K:$K,0,0,-1),0)</f>
        <v>0</v>
      </c>
      <c r="V19" s="9" cm="1">
        <f t="array" ref="V19">IFERROR(_xlfn.XLOOKUP(1,(Table15[[#This Row],[Name]]='Google Forms'!$B:$B)*(Table15[[#Headers],[Singapore - 17 September]]='Google Forms'!$C:$C),'Google Forms'!$K:$K,0,0,-1),0)</f>
        <v>8</v>
      </c>
      <c r="W19" s="9" cm="1">
        <f t="array" ref="W19">IFERROR(_xlfn.XLOOKUP(1,(Table15[[#This Row],[Name]]='Google Forms'!$B:$B)*(Table15[[#Headers],[Japan - 24 September]]='Google Forms'!$C:$C),'Google Forms'!$K:$K,0,0,-1),0)</f>
        <v>18</v>
      </c>
      <c r="X19" s="9" cm="1">
        <f t="array" ref="X19">IFERROR(_xlfn.XLOOKUP(1,(Table15[[#This Row],[Name]]='Google Forms'!$B:$B)*(Table15[[#Headers],[Qatar - 8 October]]='Google Forms'!$C:$C),'Google Forms'!$K:$K,0,0,-1),0)</f>
        <v>15</v>
      </c>
      <c r="Y19" s="9" cm="1">
        <f t="array" ref="Y19">IFERROR(_xlfn.XLOOKUP(1,(Table15[[#This Row],[Name]]='Google Forms'!$B:$B)*(Table15[[#Headers],[United States - 22 October]]='Google Forms'!$C:$C),'Google Forms'!$K:$K,0,0,-1),0)</f>
        <v>4</v>
      </c>
      <c r="Z19" s="9" cm="1">
        <f t="array" ref="Z19">IFERROR(_xlfn.XLOOKUP(1,(Table15[[#This Row],[Name]]='Google Forms'!$B:$B)*(Table15[[#Headers],[Mexico - 29 October]]='Google Forms'!$C:$C),'Google Forms'!$K:$K,0,0,-1),0)</f>
        <v>7.5</v>
      </c>
      <c r="AA19" s="9" cm="1">
        <f t="array" ref="AA19">IFERROR(_xlfn.XLOOKUP(1,(Table15[[#This Row],[Name]]='Google Forms'!$B:$B)*(Table15[[#Headers],[Brazil - 5 November]]='Google Forms'!$C:$C),'Google Forms'!$K:$K,0,0,-1),0)</f>
        <v>0</v>
      </c>
      <c r="AB19" s="9" cm="1">
        <f t="array" ref="AB19">IFERROR(_xlfn.XLOOKUP(1,(Table15[[#This Row],[Name]]='Google Forms'!$B:$B)*(Table15[[#Headers],[Las Vegas - 18 November]]='Google Forms'!$C:$C),'Google Forms'!$K:$K,0,0,-1),0)</f>
        <v>0.25</v>
      </c>
      <c r="AC19" s="9" cm="1">
        <f t="array" ref="AC19">IFERROR(_xlfn.XLOOKUP(1,(Table15[[#This Row],[Name]]='Google Forms'!$B:$B)*(Table15[[#Headers],[Abu Dhabi - 26 November]]='Google Forms'!$C:$C),'Google Forms'!$K:$K,0,0,-1),0)</f>
        <v>12.5</v>
      </c>
    </row>
    <row r="20" spans="1:29" ht="15.6" x14ac:dyDescent="0.3">
      <c r="A20" s="4">
        <v>19</v>
      </c>
      <c r="B20" t="s">
        <v>71</v>
      </c>
      <c r="C20" cm="1">
        <f t="array" ref="C20">Table15[[#This Row],[Total]]-_xlfn.XLOOKUP($G$35,$H$36:$AC$36,Table15[[#This Row],[Saudi Arabia - 19 March]:[Abu Dhabi - 26 November]])</f>
        <v>166</v>
      </c>
      <c r="D20" cm="1">
        <f t="array" ref="D20">_xlfn.XLOOKUP(B20,_xlfn.SORTBY(Table15[Name],Table15[Previous Race Total],-1),$A$2:$A$27)</f>
        <v>16</v>
      </c>
      <c r="E20" cm="1">
        <f t="array" ref="E20">_xlfn.XLOOKUP(B20,_xlfn.SORTBY(Table15[Name],Table15[Total],-1),$A$2:$A$27)</f>
        <v>19</v>
      </c>
      <c r="F20" s="102">
        <f>Table15[[#This Row],[Previous race Ranking]]-Table15[[#This Row],[Current ranking]]</f>
        <v>-3</v>
      </c>
      <c r="G20" s="93">
        <f t="shared" si="0"/>
        <v>169</v>
      </c>
      <c r="H20" s="9">
        <v>0</v>
      </c>
      <c r="I20" s="9">
        <v>8</v>
      </c>
      <c r="J20" s="9">
        <v>25</v>
      </c>
      <c r="K20" s="9" cm="1">
        <f t="array" ref="K20">IFERROR(_xlfn.XLOOKUP(1,(Table15[[#This Row],[Name]]='Google Forms'!$B:$B)*(Table15[[#Headers],[Miami - 7 May]]='Google Forms'!$C:$C),'Google Forms'!$K:$K,0,0,-1),0)</f>
        <v>4</v>
      </c>
      <c r="L20" s="9" cm="1">
        <f t="array" ref="L20">IFERROR(_xlfn.XLOOKUP(1,(Table15[[#This Row],[Name]]='Google Forms'!$B:$B)*(Table15[[#Headers],[Italy - 21 May]]='Google Forms'!$C:$C),'Google Forms'!$K:$K,0,0,-1),0)</f>
        <v>0</v>
      </c>
      <c r="M20" s="9" cm="1">
        <f t="array" ref="M20">IFERROR(_xlfn.XLOOKUP(1,(Table15[[#This Row],[Name]]='Google Forms'!$B:$B)*(Table15[[#Headers],[Monaco - 28 May]]='Google Forms'!$C:$C),'Google Forms'!$K:$K,0,0,-1),0)</f>
        <v>1</v>
      </c>
      <c r="N20" s="9" cm="1">
        <f t="array" ref="N20">IFERROR(_xlfn.XLOOKUP(1,(Table15[[#This Row],[Name]]='Google Forms'!$B:$B)*(Table15[[#Headers],[Spain - 4 June]]='Google Forms'!$C:$C),'Google Forms'!$K:$K,0,0,-1),0)</f>
        <v>2</v>
      </c>
      <c r="O20" s="9" cm="1">
        <f t="array" ref="O20">IFERROR(_xlfn.XLOOKUP(1,(Table15[[#This Row],[Name]]='Google Forms'!$B:$B)*(Table15[[#Headers],[Canada - 18 June]]='Google Forms'!$C:$C),'Google Forms'!$K:$K,0,0,-1),0)</f>
        <v>15</v>
      </c>
      <c r="P20" s="9" cm="1">
        <f t="array" ref="P20">IFERROR(_xlfn.XLOOKUP(1,(Table15[[#This Row],[Name]]='Google Forms'!$B:$B)*(Table15[[#Headers],[Austria - 2 July]]='Google Forms'!$C:$C),'Google Forms'!$K:$K,0,0,-1),0)</f>
        <v>0</v>
      </c>
      <c r="Q20" s="9" cm="1">
        <f t="array" ref="Q20">IFERROR(_xlfn.XLOOKUP(1,(Table15[[#This Row],[Name]]='Google Forms'!$B:$B)*(Table15[[#Headers],[Great Britain - 9 July]]='Google Forms'!$C:$C),'Google Forms'!$K:$K,0,0,-1),0)</f>
        <v>12</v>
      </c>
      <c r="R20" s="9" cm="1">
        <f t="array" ref="R20">IFERROR(_xlfn.XLOOKUP(1,(Table15[[#This Row],[Name]]='Google Forms'!$B:$B)*(Table15[[#Headers],[Hungary - 23 July]]='Google Forms'!$C:$C),'Google Forms'!$K:$K,0,0,-1),0)</f>
        <v>5</v>
      </c>
      <c r="S20" s="9" cm="1">
        <f t="array" ref="S20">IFERROR(_xlfn.XLOOKUP(1,(Table15[[#This Row],[Name]]='Google Forms'!$B:$B)*(Table15[[#Headers],[Belgium - 30 July]]='Google Forms'!$C:$C),'Google Forms'!$K:$K,0,0,-1),0)</f>
        <v>18</v>
      </c>
      <c r="T20" s="9" cm="1">
        <f t="array" ref="T20">IFERROR(_xlfn.XLOOKUP(1,(Table15[[#This Row],[Name]]='Google Forms'!$B:$B)*(Table15[[#Headers],[Netherlands - 27 August]]='Google Forms'!$C:$C),'Google Forms'!$K:$K,0,0,-1),0)</f>
        <v>4</v>
      </c>
      <c r="U20" s="9" cm="1">
        <f t="array" ref="U20">IFERROR(_xlfn.XLOOKUP(1,(Table15[[#This Row],[Name]]='Google Forms'!$B:$B)*(Table15[[#Headers],[Italy - 3 September]]='Google Forms'!$C:$C),'Google Forms'!$K:$K,0,0,-1),0)</f>
        <v>5</v>
      </c>
      <c r="V20" s="9" cm="1">
        <f t="array" ref="V20">IFERROR(_xlfn.XLOOKUP(1,(Table15[[#This Row],[Name]]='Google Forms'!$B:$B)*(Table15[[#Headers],[Singapore - 17 September]]='Google Forms'!$C:$C),'Google Forms'!$K:$K,0,0,-1),0)</f>
        <v>3</v>
      </c>
      <c r="W20" s="9" cm="1">
        <f t="array" ref="W20">IFERROR(_xlfn.XLOOKUP(1,(Table15[[#This Row],[Name]]='Google Forms'!$B:$B)*(Table15[[#Headers],[Japan - 24 September]]='Google Forms'!$C:$C),'Google Forms'!$K:$K,0,0,-1),0)</f>
        <v>18</v>
      </c>
      <c r="X20" s="9" cm="1">
        <f t="array" ref="X20">IFERROR(_xlfn.XLOOKUP(1,(Table15[[#This Row],[Name]]='Google Forms'!$B:$B)*(Table15[[#Headers],[Qatar - 8 October]]='Google Forms'!$C:$C),'Google Forms'!$K:$K,0,0,-1),0)</f>
        <v>10</v>
      </c>
      <c r="Y20" s="9" cm="1">
        <f t="array" ref="Y20">IFERROR(_xlfn.XLOOKUP(1,(Table15[[#This Row],[Name]]='Google Forms'!$B:$B)*(Table15[[#Headers],[United States - 22 October]]='Google Forms'!$C:$C),'Google Forms'!$K:$K,0,0,-1),0)</f>
        <v>6</v>
      </c>
      <c r="Z20" s="9" cm="1">
        <f t="array" ref="Z20">IFERROR(_xlfn.XLOOKUP(1,(Table15[[#This Row],[Name]]='Google Forms'!$B:$B)*(Table15[[#Headers],[Mexico - 29 October]]='Google Forms'!$C:$C),'Google Forms'!$K:$K,0,0,-1),0)</f>
        <v>15</v>
      </c>
      <c r="AA20" s="9" cm="1">
        <f t="array" ref="AA20">IFERROR(_xlfn.XLOOKUP(1,(Table15[[#This Row],[Name]]='Google Forms'!$B:$B)*(Table15[[#Headers],[Brazil - 5 November]]='Google Forms'!$C:$C),'Google Forms'!$K:$K,0,0,-1),0)</f>
        <v>5</v>
      </c>
      <c r="AB20" s="9" cm="1">
        <f t="array" ref="AB20">IFERROR(_xlfn.XLOOKUP(1,(Table15[[#This Row],[Name]]='Google Forms'!$B:$B)*(Table15[[#Headers],[Las Vegas - 18 November]]='Google Forms'!$C:$C),'Google Forms'!$K:$K,0,0,-1),0)</f>
        <v>10</v>
      </c>
      <c r="AC20" s="9" cm="1">
        <f t="array" ref="AC20">IFERROR(_xlfn.XLOOKUP(1,(Table15[[#This Row],[Name]]='Google Forms'!$B:$B)*(Table15[[#Headers],[Abu Dhabi - 26 November]]='Google Forms'!$C:$C),'Google Forms'!$K:$K,0,0,-1),0)</f>
        <v>3</v>
      </c>
    </row>
    <row r="21" spans="1:29" ht="15.6" x14ac:dyDescent="0.3">
      <c r="A21" s="4">
        <v>20</v>
      </c>
      <c r="B21" t="s">
        <v>62</v>
      </c>
      <c r="C21" cm="1">
        <f t="array" ref="C21">Table15[[#This Row],[Total]]-_xlfn.XLOOKUP($G$35,$H$36:$AC$36,Table15[[#This Row],[Saudi Arabia - 19 March]:[Abu Dhabi - 26 November]])</f>
        <v>158.5</v>
      </c>
      <c r="D21" cm="1">
        <f t="array" ref="D21">_xlfn.XLOOKUP(B21,_xlfn.SORTBY(Table15[Name],Table15[Previous Race Total],-1),$A$2:$A$27)</f>
        <v>19</v>
      </c>
      <c r="E21" cm="1">
        <f t="array" ref="E21">_xlfn.XLOOKUP(B21,_xlfn.SORTBY(Table15[Name],Table15[Total],-1),$A$2:$A$27)</f>
        <v>20</v>
      </c>
      <c r="F21" s="102">
        <f>Table15[[#This Row],[Previous race Ranking]]-Table15[[#This Row],[Current ranking]]</f>
        <v>-1</v>
      </c>
      <c r="G21" s="93">
        <f t="shared" si="0"/>
        <v>164.5</v>
      </c>
      <c r="H21" s="9">
        <v>5</v>
      </c>
      <c r="I21" s="9">
        <v>0</v>
      </c>
      <c r="J21" s="9">
        <v>25</v>
      </c>
      <c r="K21" s="9" cm="1">
        <f t="array" ref="K21">IFERROR(_xlfn.XLOOKUP(1,(Table15[[#This Row],[Name]]='Google Forms'!$B:$B)*(Table15[[#Headers],[Miami - 7 May]]='Google Forms'!$C:$C),'Google Forms'!$K:$K,0,0,-1),0)</f>
        <v>9</v>
      </c>
      <c r="L21" s="9" cm="1">
        <f t="array" ref="L21">IFERROR(_xlfn.XLOOKUP(1,(Table15[[#This Row],[Name]]='Google Forms'!$B:$B)*(Table15[[#Headers],[Italy - 21 May]]='Google Forms'!$C:$C),'Google Forms'!$K:$K,0,0,-1),0)</f>
        <v>0</v>
      </c>
      <c r="M21" s="9" cm="1">
        <f t="array" ref="M21">IFERROR(_xlfn.XLOOKUP(1,(Table15[[#This Row],[Name]]='Google Forms'!$B:$B)*(Table15[[#Headers],[Monaco - 28 May]]='Google Forms'!$C:$C),'Google Forms'!$K:$K,0,0,-1),0)</f>
        <v>18</v>
      </c>
      <c r="N21" s="9" cm="1">
        <f t="array" ref="N21">IFERROR(_xlfn.XLOOKUP(1,(Table15[[#This Row],[Name]]='Google Forms'!$B:$B)*(Table15[[#Headers],[Spain - 4 June]]='Google Forms'!$C:$C),'Google Forms'!$K:$K,0,0,-1),0)</f>
        <v>0</v>
      </c>
      <c r="O21" s="9" cm="1">
        <f t="array" ref="O21">IFERROR(_xlfn.XLOOKUP(1,(Table15[[#This Row],[Name]]='Google Forms'!$B:$B)*(Table15[[#Headers],[Canada - 18 June]]='Google Forms'!$C:$C),'Google Forms'!$K:$K,0,0,-1),0)</f>
        <v>15</v>
      </c>
      <c r="P21" s="9" cm="1">
        <f t="array" ref="P21">IFERROR(_xlfn.XLOOKUP(1,(Table15[[#This Row],[Name]]='Google Forms'!$B:$B)*(Table15[[#Headers],[Austria - 2 July]]='Google Forms'!$C:$C),'Google Forms'!$K:$K,0,0,-1),0)</f>
        <v>2</v>
      </c>
      <c r="Q21" s="9" cm="1">
        <f t="array" ref="Q21">IFERROR(_xlfn.XLOOKUP(1,(Table15[[#This Row],[Name]]='Google Forms'!$B:$B)*(Table15[[#Headers],[Great Britain - 9 July]]='Google Forms'!$C:$C),'Google Forms'!$K:$K,0,0,-1),0)</f>
        <v>12</v>
      </c>
      <c r="R21" s="9" cm="1">
        <f t="array" ref="R21">IFERROR(_xlfn.XLOOKUP(1,(Table15[[#This Row],[Name]]='Google Forms'!$B:$B)*(Table15[[#Headers],[Hungary - 23 July]]='Google Forms'!$C:$C),'Google Forms'!$K:$K,0,0,-1),0)</f>
        <v>10</v>
      </c>
      <c r="S21" s="9" cm="1">
        <f t="array" ref="S21">IFERROR(_xlfn.XLOOKUP(1,(Table15[[#This Row],[Name]]='Google Forms'!$B:$B)*(Table15[[#Headers],[Belgium - 30 July]]='Google Forms'!$C:$C),'Google Forms'!$K:$K,0,0,-1),0)</f>
        <v>18</v>
      </c>
      <c r="T21" s="9" cm="1">
        <f t="array" ref="T21">IFERROR(_xlfn.XLOOKUP(1,(Table15[[#This Row],[Name]]='Google Forms'!$B:$B)*(Table15[[#Headers],[Netherlands - 27 August]]='Google Forms'!$C:$C),'Google Forms'!$K:$K,0,0,-1),0)</f>
        <v>4</v>
      </c>
      <c r="U21" s="9" cm="1">
        <f t="array" ref="U21">IFERROR(_xlfn.XLOOKUP(1,(Table15[[#This Row],[Name]]='Google Forms'!$B:$B)*(Table15[[#Headers],[Italy - 3 September]]='Google Forms'!$C:$C),'Google Forms'!$K:$K,0,0,-1),0)</f>
        <v>9</v>
      </c>
      <c r="V21" s="9" cm="1">
        <f t="array" ref="V21">IFERROR(_xlfn.XLOOKUP(1,(Table15[[#This Row],[Name]]='Google Forms'!$B:$B)*(Table15[[#Headers],[Singapore - 17 September]]='Google Forms'!$C:$C),'Google Forms'!$K:$K,0,0,-1),0)</f>
        <v>2</v>
      </c>
      <c r="W21" s="9" cm="1">
        <f t="array" ref="W21">IFERROR(_xlfn.XLOOKUP(1,(Table15[[#This Row],[Name]]='Google Forms'!$B:$B)*(Table15[[#Headers],[Japan - 24 September]]='Google Forms'!$C:$C),'Google Forms'!$K:$K,0,0,-1),0)</f>
        <v>10</v>
      </c>
      <c r="X21" s="9" cm="1">
        <f t="array" ref="X21">IFERROR(_xlfn.XLOOKUP(1,(Table15[[#This Row],[Name]]='Google Forms'!$B:$B)*(Table15[[#Headers],[Qatar - 8 October]]='Google Forms'!$C:$C),'Google Forms'!$K:$K,0,0,-1),0)</f>
        <v>6</v>
      </c>
      <c r="Y21" s="9" cm="1">
        <f t="array" ref="Y21">IFERROR(_xlfn.XLOOKUP(1,(Table15[[#This Row],[Name]]='Google Forms'!$B:$B)*(Table15[[#Headers],[United States - 22 October]]='Google Forms'!$C:$C),'Google Forms'!$K:$K,0,0,-1),0)</f>
        <v>0</v>
      </c>
      <c r="Z21" s="9" cm="1">
        <f t="array" ref="Z21">IFERROR(_xlfn.XLOOKUP(1,(Table15[[#This Row],[Name]]='Google Forms'!$B:$B)*(Table15[[#Headers],[Mexico - 29 October]]='Google Forms'!$C:$C),'Google Forms'!$K:$K,0,0,-1),0)</f>
        <v>12.5</v>
      </c>
      <c r="AA21" s="9" cm="1">
        <f t="array" ref="AA21">IFERROR(_xlfn.XLOOKUP(1,(Table15[[#This Row],[Name]]='Google Forms'!$B:$B)*(Table15[[#Headers],[Brazil - 5 November]]='Google Forms'!$C:$C),'Google Forms'!$K:$K,0,0,-1),0)</f>
        <v>0</v>
      </c>
      <c r="AB21" s="9" cm="1">
        <f t="array" ref="AB21">IFERROR(_xlfn.XLOOKUP(1,(Table15[[#This Row],[Name]]='Google Forms'!$B:$B)*(Table15[[#Headers],[Las Vegas - 18 November]]='Google Forms'!$C:$C),'Google Forms'!$K:$K,0,0,-1),0)</f>
        <v>1</v>
      </c>
      <c r="AC21" s="9" cm="1">
        <f t="array" ref="AC21">IFERROR(_xlfn.XLOOKUP(1,(Table15[[#This Row],[Name]]='Google Forms'!$B:$B)*(Table15[[#Headers],[Abu Dhabi - 26 November]]='Google Forms'!$C:$C),'Google Forms'!$K:$K,0,0,-1),0)</f>
        <v>6</v>
      </c>
    </row>
    <row r="22" spans="1:29" ht="15.6" x14ac:dyDescent="0.3">
      <c r="A22" s="4">
        <v>21</v>
      </c>
      <c r="B22" t="s">
        <v>75</v>
      </c>
      <c r="C22" cm="1">
        <f t="array" ref="C22">Table15[[#This Row],[Total]]-_xlfn.XLOOKUP($G$35,$H$36:$AC$36,Table15[[#This Row],[Saudi Arabia - 19 March]:[Abu Dhabi - 26 November]])</f>
        <v>155</v>
      </c>
      <c r="D22" cm="1">
        <f t="array" ref="D22">_xlfn.XLOOKUP(B22,_xlfn.SORTBY(Table15[Name],Table15[Previous Race Total],-1),$A$2:$A$27)</f>
        <v>20</v>
      </c>
      <c r="E22" cm="1">
        <f t="array" ref="E22">_xlfn.XLOOKUP(B22,_xlfn.SORTBY(Table15[Name],Table15[Total],-1),$A$2:$A$27)</f>
        <v>21</v>
      </c>
      <c r="F22" s="102">
        <f>Table15[[#This Row],[Previous race Ranking]]-Table15[[#This Row],[Current ranking]]</f>
        <v>-1</v>
      </c>
      <c r="G22" s="93">
        <f t="shared" si="0"/>
        <v>158</v>
      </c>
      <c r="H22" s="9">
        <v>0</v>
      </c>
      <c r="I22" s="9">
        <v>12.5</v>
      </c>
      <c r="J22" s="9">
        <v>7.5</v>
      </c>
      <c r="K22" s="9" cm="1">
        <f t="array" ref="K22">IFERROR(_xlfn.XLOOKUP(1,(Table15[[#This Row],[Name]]='Google Forms'!$B:$B)*(Table15[[#Headers],[Miami - 7 May]]='Google Forms'!$C:$C),'Google Forms'!$K:$K,0,0,-1),0)</f>
        <v>3</v>
      </c>
      <c r="L22" s="9" cm="1">
        <f t="array" ref="L22">IFERROR(_xlfn.XLOOKUP(1,(Table15[[#This Row],[Name]]='Google Forms'!$B:$B)*(Table15[[#Headers],[Italy - 21 May]]='Google Forms'!$C:$C),'Google Forms'!$K:$K,0,0,-1),0)</f>
        <v>0</v>
      </c>
      <c r="M22" s="9" cm="1">
        <f t="array" ref="M22">IFERROR(_xlfn.XLOOKUP(1,(Table15[[#This Row],[Name]]='Google Forms'!$B:$B)*(Table15[[#Headers],[Monaco - 28 May]]='Google Forms'!$C:$C),'Google Forms'!$K:$K,0,0,-1),0)</f>
        <v>18</v>
      </c>
      <c r="N22" s="9" cm="1">
        <f t="array" ref="N22">IFERROR(_xlfn.XLOOKUP(1,(Table15[[#This Row],[Name]]='Google Forms'!$B:$B)*(Table15[[#Headers],[Spain - 4 June]]='Google Forms'!$C:$C),'Google Forms'!$K:$K,0,0,-1),0)</f>
        <v>4</v>
      </c>
      <c r="O22" s="9" cm="1">
        <f t="array" ref="O22">IFERROR(_xlfn.XLOOKUP(1,(Table15[[#This Row],[Name]]='Google Forms'!$B:$B)*(Table15[[#Headers],[Canada - 18 June]]='Google Forms'!$C:$C),'Google Forms'!$K:$K,0,0,-1),0)</f>
        <v>1</v>
      </c>
      <c r="P22" s="9" cm="1">
        <f t="array" ref="P22">IFERROR(_xlfn.XLOOKUP(1,(Table15[[#This Row],[Name]]='Google Forms'!$B:$B)*(Table15[[#Headers],[Austria - 2 July]]='Google Forms'!$C:$C),'Google Forms'!$K:$K,0,0,-1),0)</f>
        <v>12.5</v>
      </c>
      <c r="Q22" s="9" cm="1">
        <f t="array" ref="Q22">IFERROR(_xlfn.XLOOKUP(1,(Table15[[#This Row],[Name]]='Google Forms'!$B:$B)*(Table15[[#Headers],[Great Britain - 9 July]]='Google Forms'!$C:$C),'Google Forms'!$K:$K,0,0,-1),0)</f>
        <v>2</v>
      </c>
      <c r="R22" s="9" cm="1">
        <f t="array" ref="R22">IFERROR(_xlfn.XLOOKUP(1,(Table15[[#This Row],[Name]]='Google Forms'!$B:$B)*(Table15[[#Headers],[Hungary - 23 July]]='Google Forms'!$C:$C),'Google Forms'!$K:$K,0,0,-1),0)</f>
        <v>0</v>
      </c>
      <c r="S22" s="9" cm="1">
        <f t="array" ref="S22">IFERROR(_xlfn.XLOOKUP(1,(Table15[[#This Row],[Name]]='Google Forms'!$B:$B)*(Table15[[#Headers],[Belgium - 30 July]]='Google Forms'!$C:$C),'Google Forms'!$K:$K,0,0,-1),0)</f>
        <v>25</v>
      </c>
      <c r="T22" s="9" cm="1">
        <f t="array" ref="T22">IFERROR(_xlfn.XLOOKUP(1,(Table15[[#This Row],[Name]]='Google Forms'!$B:$B)*(Table15[[#Headers],[Netherlands - 27 August]]='Google Forms'!$C:$C),'Google Forms'!$K:$K,0,0,-1),0)</f>
        <v>15</v>
      </c>
      <c r="U22" s="9" cm="1">
        <f t="array" ref="U22">IFERROR(_xlfn.XLOOKUP(1,(Table15[[#This Row],[Name]]='Google Forms'!$B:$B)*(Table15[[#Headers],[Italy - 3 September]]='Google Forms'!$C:$C),'Google Forms'!$K:$K,0,0,-1),0)</f>
        <v>10</v>
      </c>
      <c r="V22" s="9" cm="1">
        <f t="array" ref="V22">IFERROR(_xlfn.XLOOKUP(1,(Table15[[#This Row],[Name]]='Google Forms'!$B:$B)*(Table15[[#Headers],[Singapore - 17 September]]='Google Forms'!$C:$C),'Google Forms'!$K:$K,0,0,-1),0)</f>
        <v>4</v>
      </c>
      <c r="W22" s="9" cm="1">
        <f t="array" ref="W22">IFERROR(_xlfn.XLOOKUP(1,(Table15[[#This Row],[Name]]='Google Forms'!$B:$B)*(Table15[[#Headers],[Japan - 24 September]]='Google Forms'!$C:$C),'Google Forms'!$K:$K,0,0,-1),0)</f>
        <v>15</v>
      </c>
      <c r="X22" s="9" cm="1">
        <f t="array" ref="X22">IFERROR(_xlfn.XLOOKUP(1,(Table15[[#This Row],[Name]]='Google Forms'!$B:$B)*(Table15[[#Headers],[Qatar - 8 October]]='Google Forms'!$C:$C),'Google Forms'!$K:$K,0,0,-1),0)</f>
        <v>12</v>
      </c>
      <c r="Y22" s="9" cm="1">
        <f t="array" ref="Y22">IFERROR(_xlfn.XLOOKUP(1,(Table15[[#This Row],[Name]]='Google Forms'!$B:$B)*(Table15[[#Headers],[United States - 22 October]]='Google Forms'!$C:$C),'Google Forms'!$K:$K,0,0,-1),0)</f>
        <v>0</v>
      </c>
      <c r="Z22" s="9" cm="1">
        <f t="array" ref="Z22">IFERROR(_xlfn.XLOOKUP(1,(Table15[[#This Row],[Name]]='Google Forms'!$B:$B)*(Table15[[#Headers],[Mexico - 29 October]]='Google Forms'!$C:$C),'Google Forms'!$K:$K,0,0,-1),0)</f>
        <v>7.5</v>
      </c>
      <c r="AA22" s="9" cm="1">
        <f t="array" ref="AA22">IFERROR(_xlfn.XLOOKUP(1,(Table15[[#This Row],[Name]]='Google Forms'!$B:$B)*(Table15[[#Headers],[Brazil - 5 November]]='Google Forms'!$C:$C),'Google Forms'!$K:$K,0,0,-1),0)</f>
        <v>0</v>
      </c>
      <c r="AB22" s="9" cm="1">
        <f t="array" ref="AB22">IFERROR(_xlfn.XLOOKUP(1,(Table15[[#This Row],[Name]]='Google Forms'!$B:$B)*(Table15[[#Headers],[Las Vegas - 18 November]]='Google Forms'!$C:$C),'Google Forms'!$K:$K,0,0,-1),0)</f>
        <v>6</v>
      </c>
      <c r="AC22" s="9" cm="1">
        <f t="array" ref="AC22">IFERROR(_xlfn.XLOOKUP(1,(Table15[[#This Row],[Name]]='Google Forms'!$B:$B)*(Table15[[#Headers],[Abu Dhabi - 26 November]]='Google Forms'!$C:$C),'Google Forms'!$K:$K,0,0,-1),0)</f>
        <v>3</v>
      </c>
    </row>
    <row r="23" spans="1:29" ht="15.6" x14ac:dyDescent="0.3">
      <c r="A23" s="4">
        <v>22</v>
      </c>
      <c r="B23" t="s">
        <v>74</v>
      </c>
      <c r="C23" cm="1">
        <f t="array" ref="C23">Table15[[#This Row],[Total]]-_xlfn.XLOOKUP($G$35,$H$36:$AC$36,Table15[[#This Row],[Saudi Arabia - 19 March]:[Abu Dhabi - 26 November]])</f>
        <v>145.5</v>
      </c>
      <c r="D23" cm="1">
        <f t="array" ref="D23">_xlfn.XLOOKUP(B23,_xlfn.SORTBY(Table15[Name],Table15[Previous Race Total],-1),$A$2:$A$27)</f>
        <v>22</v>
      </c>
      <c r="E23" cm="1">
        <f t="array" ref="E23">_xlfn.XLOOKUP(B23,_xlfn.SORTBY(Table15[Name],Table15[Total],-1),$A$2:$A$27)</f>
        <v>22</v>
      </c>
      <c r="F23" s="102">
        <f>Table15[[#This Row],[Previous race Ranking]]-Table15[[#This Row],[Current ranking]]</f>
        <v>0</v>
      </c>
      <c r="G23" s="93">
        <f t="shared" si="0"/>
        <v>157.5</v>
      </c>
      <c r="H23" s="9">
        <v>0.5</v>
      </c>
      <c r="I23" s="9">
        <v>0</v>
      </c>
      <c r="J23" s="9">
        <v>25</v>
      </c>
      <c r="K23" s="9" cm="1">
        <f t="array" ref="K23">IFERROR(_xlfn.XLOOKUP(1,(Table15[[#This Row],[Name]]='Google Forms'!$B:$B)*(Table15[[#Headers],[Miami - 7 May]]='Google Forms'!$C:$C),'Google Forms'!$K:$K,0,0,-1),0)</f>
        <v>9</v>
      </c>
      <c r="L23" s="9" cm="1">
        <f t="array" ref="L23">IFERROR(_xlfn.XLOOKUP(1,(Table15[[#This Row],[Name]]='Google Forms'!$B:$B)*(Table15[[#Headers],[Italy - 21 May]]='Google Forms'!$C:$C),'Google Forms'!$K:$K,0,0,-1),0)</f>
        <v>0</v>
      </c>
      <c r="M23" s="9" cm="1">
        <f t="array" ref="M23">IFERROR(_xlfn.XLOOKUP(1,(Table15[[#This Row],[Name]]='Google Forms'!$B:$B)*(Table15[[#Headers],[Monaco - 28 May]]='Google Forms'!$C:$C),'Google Forms'!$K:$K,0,0,-1),0)</f>
        <v>0.5</v>
      </c>
      <c r="N23" s="9" cm="1">
        <f t="array" ref="N23">IFERROR(_xlfn.XLOOKUP(1,(Table15[[#This Row],[Name]]='Google Forms'!$B:$B)*(Table15[[#Headers],[Spain - 4 June]]='Google Forms'!$C:$C),'Google Forms'!$K:$K,0,0,-1),0)</f>
        <v>5</v>
      </c>
      <c r="O23" s="9" cm="1">
        <f t="array" ref="O23">IFERROR(_xlfn.XLOOKUP(1,(Table15[[#This Row],[Name]]='Google Forms'!$B:$B)*(Table15[[#Headers],[Canada - 18 June]]='Google Forms'!$C:$C),'Google Forms'!$K:$K,0,0,-1),0)</f>
        <v>6</v>
      </c>
      <c r="P23" s="9" cm="1">
        <f t="array" ref="P23">IFERROR(_xlfn.XLOOKUP(1,(Table15[[#This Row],[Name]]='Google Forms'!$B:$B)*(Table15[[#Headers],[Austria - 2 July]]='Google Forms'!$C:$C),'Google Forms'!$K:$K,0,0,-1),0)</f>
        <v>7.5</v>
      </c>
      <c r="Q23" s="9" cm="1">
        <f t="array" ref="Q23">IFERROR(_xlfn.XLOOKUP(1,(Table15[[#This Row],[Name]]='Google Forms'!$B:$B)*(Table15[[#Headers],[Great Britain - 9 July]]='Google Forms'!$C:$C),'Google Forms'!$K:$K,0,0,-1),0)</f>
        <v>0</v>
      </c>
      <c r="R23" s="9" cm="1">
        <f t="array" ref="R23">IFERROR(_xlfn.XLOOKUP(1,(Table15[[#This Row],[Name]]='Google Forms'!$B:$B)*(Table15[[#Headers],[Hungary - 23 July]]='Google Forms'!$C:$C),'Google Forms'!$K:$K,0,0,-1),0)</f>
        <v>6</v>
      </c>
      <c r="S23" s="9" cm="1">
        <f t="array" ref="S23">IFERROR(_xlfn.XLOOKUP(1,(Table15[[#This Row],[Name]]='Google Forms'!$B:$B)*(Table15[[#Headers],[Belgium - 30 July]]='Google Forms'!$C:$C),'Google Forms'!$K:$K,0,0,-1),0)</f>
        <v>25</v>
      </c>
      <c r="T23" s="9" cm="1">
        <f t="array" ref="T23">IFERROR(_xlfn.XLOOKUP(1,(Table15[[#This Row],[Name]]='Google Forms'!$B:$B)*(Table15[[#Headers],[Netherlands - 27 August]]='Google Forms'!$C:$C),'Google Forms'!$K:$K,0,0,-1),0)</f>
        <v>18</v>
      </c>
      <c r="U23" s="9" cm="1">
        <f t="array" ref="U23">IFERROR(_xlfn.XLOOKUP(1,(Table15[[#This Row],[Name]]='Google Forms'!$B:$B)*(Table15[[#Headers],[Italy - 3 September]]='Google Forms'!$C:$C),'Google Forms'!$K:$K,0,0,-1),0)</f>
        <v>5</v>
      </c>
      <c r="V23" s="9" cm="1">
        <f t="array" ref="V23">IFERROR(_xlfn.XLOOKUP(1,(Table15[[#This Row],[Name]]='Google Forms'!$B:$B)*(Table15[[#Headers],[Singapore - 17 September]]='Google Forms'!$C:$C),'Google Forms'!$K:$K,0,0,-1),0)</f>
        <v>4</v>
      </c>
      <c r="W23" s="9" cm="1">
        <f t="array" ref="W23">IFERROR(_xlfn.XLOOKUP(1,(Table15[[#This Row],[Name]]='Google Forms'!$B:$B)*(Table15[[#Headers],[Japan - 24 September]]='Google Forms'!$C:$C),'Google Forms'!$K:$K,0,0,-1),0)</f>
        <v>10</v>
      </c>
      <c r="X23" s="9" cm="1">
        <f t="array" ref="X23">IFERROR(_xlfn.XLOOKUP(1,(Table15[[#This Row],[Name]]='Google Forms'!$B:$B)*(Table15[[#Headers],[Qatar - 8 October]]='Google Forms'!$C:$C),'Google Forms'!$K:$K,0,0,-1),0)</f>
        <v>4</v>
      </c>
      <c r="Y23" s="9" cm="1">
        <f t="array" ref="Y23">IFERROR(_xlfn.XLOOKUP(1,(Table15[[#This Row],[Name]]='Google Forms'!$B:$B)*(Table15[[#Headers],[United States - 22 October]]='Google Forms'!$C:$C),'Google Forms'!$K:$K,0,0,-1),0)</f>
        <v>0</v>
      </c>
      <c r="Z23" s="9" cm="1">
        <f t="array" ref="Z23">IFERROR(_xlfn.XLOOKUP(1,(Table15[[#This Row],[Name]]='Google Forms'!$B:$B)*(Table15[[#Headers],[Mexico - 29 October]]='Google Forms'!$C:$C),'Google Forms'!$K:$K,0,0,-1),0)</f>
        <v>15</v>
      </c>
      <c r="AA23" s="9" cm="1">
        <f t="array" ref="AA23">IFERROR(_xlfn.XLOOKUP(1,(Table15[[#This Row],[Name]]='Google Forms'!$B:$B)*(Table15[[#Headers],[Brazil - 5 November]]='Google Forms'!$C:$C),'Google Forms'!$K:$K,0,0,-1),0)</f>
        <v>4</v>
      </c>
      <c r="AB23" s="9" cm="1">
        <f t="array" ref="AB23">IFERROR(_xlfn.XLOOKUP(1,(Table15[[#This Row],[Name]]='Google Forms'!$B:$B)*(Table15[[#Headers],[Las Vegas - 18 November]]='Google Forms'!$C:$C),'Google Forms'!$K:$K,0,0,-1),0)</f>
        <v>1</v>
      </c>
      <c r="AC23" s="9" cm="1">
        <f t="array" ref="AC23">IFERROR(_xlfn.XLOOKUP(1,(Table15[[#This Row],[Name]]='Google Forms'!$B:$B)*(Table15[[#Headers],[Abu Dhabi - 26 November]]='Google Forms'!$C:$C),'Google Forms'!$K:$K,0,0,-1),0)</f>
        <v>12</v>
      </c>
    </row>
    <row r="24" spans="1:29" ht="15.6" x14ac:dyDescent="0.3">
      <c r="A24" s="4">
        <v>23</v>
      </c>
      <c r="B24" t="s">
        <v>70</v>
      </c>
      <c r="C24" cm="1">
        <f t="array" ref="C24">Table15[[#This Row],[Total]]-_xlfn.XLOOKUP($G$35,$H$36:$AC$36,Table15[[#This Row],[Saudi Arabia - 19 March]:[Abu Dhabi - 26 November]])</f>
        <v>134</v>
      </c>
      <c r="D24" cm="1">
        <f t="array" ref="D24">_xlfn.XLOOKUP(B24,_xlfn.SORTBY(Table15[Name],Table15[Previous Race Total],-1),$A$2:$A$27)</f>
        <v>23</v>
      </c>
      <c r="E24" cm="1">
        <f t="array" ref="E24">_xlfn.XLOOKUP(B24,_xlfn.SORTBY(Table15[Name],Table15[Total],-1),$A$2:$A$27)</f>
        <v>23</v>
      </c>
      <c r="F24" s="102">
        <f>Table15[[#This Row],[Previous race Ranking]]-Table15[[#This Row],[Current ranking]]</f>
        <v>0</v>
      </c>
      <c r="G24" s="93">
        <f t="shared" si="0"/>
        <v>139</v>
      </c>
      <c r="H24" s="9">
        <v>10</v>
      </c>
      <c r="I24" s="9">
        <v>4</v>
      </c>
      <c r="J24" s="9">
        <v>5</v>
      </c>
      <c r="K24" s="9" cm="1">
        <f t="array" ref="K24">IFERROR(_xlfn.XLOOKUP(1,(Table15[[#This Row],[Name]]='Google Forms'!$B:$B)*(Table15[[#Headers],[Miami - 7 May]]='Google Forms'!$C:$C),'Google Forms'!$K:$K,0,0,-1),0)</f>
        <v>18</v>
      </c>
      <c r="L24" s="9" cm="1">
        <f t="array" ref="L24">IFERROR(_xlfn.XLOOKUP(1,(Table15[[#This Row],[Name]]='Google Forms'!$B:$B)*(Table15[[#Headers],[Italy - 21 May]]='Google Forms'!$C:$C),'Google Forms'!$K:$K,0,0,-1),0)</f>
        <v>0</v>
      </c>
      <c r="M24" s="9" cm="1">
        <f t="array" ref="M24">IFERROR(_xlfn.XLOOKUP(1,(Table15[[#This Row],[Name]]='Google Forms'!$B:$B)*(Table15[[#Headers],[Monaco - 28 May]]='Google Forms'!$C:$C),'Google Forms'!$K:$K,0,0,-1),0)</f>
        <v>1</v>
      </c>
      <c r="N24" s="9" cm="1">
        <f t="array" ref="N24">IFERROR(_xlfn.XLOOKUP(1,(Table15[[#This Row],[Name]]='Google Forms'!$B:$B)*(Table15[[#Headers],[Spain - 4 June]]='Google Forms'!$C:$C),'Google Forms'!$K:$K,0,0,-1),0)</f>
        <v>6</v>
      </c>
      <c r="O24" s="9" cm="1">
        <f t="array" ref="O24">IFERROR(_xlfn.XLOOKUP(1,(Table15[[#This Row],[Name]]='Google Forms'!$B:$B)*(Table15[[#Headers],[Canada - 18 June]]='Google Forms'!$C:$C),'Google Forms'!$K:$K,0,0,-1),0)</f>
        <v>12</v>
      </c>
      <c r="P24" s="9" cm="1">
        <f t="array" ref="P24">IFERROR(_xlfn.XLOOKUP(1,(Table15[[#This Row],[Name]]='Google Forms'!$B:$B)*(Table15[[#Headers],[Austria - 2 July]]='Google Forms'!$C:$C),'Google Forms'!$K:$K,0,0,-1),0)</f>
        <v>1</v>
      </c>
      <c r="Q24" s="9" cm="1">
        <f t="array" ref="Q24">IFERROR(_xlfn.XLOOKUP(1,(Table15[[#This Row],[Name]]='Google Forms'!$B:$B)*(Table15[[#Headers],[Great Britain - 9 July]]='Google Forms'!$C:$C),'Google Forms'!$K:$K,0,0,-1),0)</f>
        <v>0</v>
      </c>
      <c r="R24" s="9" cm="1">
        <f t="array" ref="R24">IFERROR(_xlfn.XLOOKUP(1,(Table15[[#This Row],[Name]]='Google Forms'!$B:$B)*(Table15[[#Headers],[Hungary - 23 July]]='Google Forms'!$C:$C),'Google Forms'!$K:$K,0,0,-1),0)</f>
        <v>7.5</v>
      </c>
      <c r="S24" s="9" cm="1">
        <f t="array" ref="S24">IFERROR(_xlfn.XLOOKUP(1,(Table15[[#This Row],[Name]]='Google Forms'!$B:$B)*(Table15[[#Headers],[Belgium - 30 July]]='Google Forms'!$C:$C),'Google Forms'!$K:$K,0,0,-1),0)</f>
        <v>15</v>
      </c>
      <c r="T24" s="9" cm="1">
        <f t="array" ref="T24">IFERROR(_xlfn.XLOOKUP(1,(Table15[[#This Row],[Name]]='Google Forms'!$B:$B)*(Table15[[#Headers],[Netherlands - 27 August]]='Google Forms'!$C:$C),'Google Forms'!$K:$K,0,0,-1),0)</f>
        <v>0</v>
      </c>
      <c r="U24" s="9" cm="1">
        <f t="array" ref="U24">IFERROR(_xlfn.XLOOKUP(1,(Table15[[#This Row],[Name]]='Google Forms'!$B:$B)*(Table15[[#Headers],[Italy - 3 September]]='Google Forms'!$C:$C),'Google Forms'!$K:$K,0,0,-1),0)</f>
        <v>4</v>
      </c>
      <c r="V24" s="9" cm="1">
        <f t="array" ref="V24">IFERROR(_xlfn.XLOOKUP(1,(Table15[[#This Row],[Name]]='Google Forms'!$B:$B)*(Table15[[#Headers],[Singapore - 17 September]]='Google Forms'!$C:$C),'Google Forms'!$K:$K,0,0,-1),0)</f>
        <v>8</v>
      </c>
      <c r="W24" s="9" cm="1">
        <f t="array" ref="W24">IFERROR(_xlfn.XLOOKUP(1,(Table15[[#This Row],[Name]]='Google Forms'!$B:$B)*(Table15[[#Headers],[Japan - 24 September]]='Google Forms'!$C:$C),'Google Forms'!$K:$K,0,0,-1),0)</f>
        <v>0</v>
      </c>
      <c r="X24" s="9" cm="1">
        <f t="array" ref="X24">IFERROR(_xlfn.XLOOKUP(1,(Table15[[#This Row],[Name]]='Google Forms'!$B:$B)*(Table15[[#Headers],[Qatar - 8 October]]='Google Forms'!$C:$C),'Google Forms'!$K:$K,0,0,-1),0)</f>
        <v>8</v>
      </c>
      <c r="Y24" s="9" cm="1">
        <f t="array" ref="Y24">IFERROR(_xlfn.XLOOKUP(1,(Table15[[#This Row],[Name]]='Google Forms'!$B:$B)*(Table15[[#Headers],[United States - 22 October]]='Google Forms'!$C:$C),'Google Forms'!$K:$K,0,0,-1),0)</f>
        <v>18</v>
      </c>
      <c r="Z24" s="9" cm="1">
        <f t="array" ref="Z24">IFERROR(_xlfn.XLOOKUP(1,(Table15[[#This Row],[Name]]='Google Forms'!$B:$B)*(Table15[[#Headers],[Mexico - 29 October]]='Google Forms'!$C:$C),'Google Forms'!$K:$K,0,0,-1),0)</f>
        <v>8</v>
      </c>
      <c r="AA24" s="9" cm="1">
        <f t="array" ref="AA24">IFERROR(_xlfn.XLOOKUP(1,(Table15[[#This Row],[Name]]='Google Forms'!$B:$B)*(Table15[[#Headers],[Brazil - 5 November]]='Google Forms'!$C:$C),'Google Forms'!$K:$K,0,0,-1),0)</f>
        <v>1</v>
      </c>
      <c r="AB24" s="9" cm="1">
        <f t="array" ref="AB24">IFERROR(_xlfn.XLOOKUP(1,(Table15[[#This Row],[Name]]='Google Forms'!$B:$B)*(Table15[[#Headers],[Las Vegas - 18 November]]='Google Forms'!$C:$C),'Google Forms'!$K:$K,0,0,-1),0)</f>
        <v>7.5</v>
      </c>
      <c r="AC24" s="9" cm="1">
        <f t="array" ref="AC24">IFERROR(_xlfn.XLOOKUP(1,(Table15[[#This Row],[Name]]='Google Forms'!$B:$B)*(Table15[[#Headers],[Abu Dhabi - 26 November]]='Google Forms'!$C:$C),'Google Forms'!$K:$K,0,0,-1),0)</f>
        <v>5</v>
      </c>
    </row>
    <row r="25" spans="1:29" ht="15.6" x14ac:dyDescent="0.3">
      <c r="A25" s="4">
        <v>24</v>
      </c>
      <c r="B25" t="s">
        <v>76</v>
      </c>
      <c r="C25" cm="1">
        <f t="array" ref="C25">Table15[[#This Row],[Total]]-_xlfn.XLOOKUP($G$35,$H$36:$AC$36,Table15[[#This Row],[Saudi Arabia - 19 March]:[Abu Dhabi - 26 November]])</f>
        <v>123</v>
      </c>
      <c r="D25" cm="1">
        <f t="array" ref="D25">_xlfn.XLOOKUP(B25,_xlfn.SORTBY(Table15[Name],Table15[Previous Race Total],-1),$A$2:$A$27)</f>
        <v>24</v>
      </c>
      <c r="E25" cm="1">
        <f t="array" ref="E25">_xlfn.XLOOKUP(B25,_xlfn.SORTBY(Table15[Name],Table15[Total],-1),$A$2:$A$27)</f>
        <v>24</v>
      </c>
      <c r="F25" s="102">
        <f>Table15[[#This Row],[Previous race Ranking]]-Table15[[#This Row],[Current ranking]]</f>
        <v>0</v>
      </c>
      <c r="G25" s="93">
        <f t="shared" si="0"/>
        <v>129</v>
      </c>
      <c r="H25" s="9">
        <v>0</v>
      </c>
      <c r="I25" s="9">
        <v>0</v>
      </c>
      <c r="J25" s="9">
        <v>0.5</v>
      </c>
      <c r="K25" s="9" cm="1">
        <f t="array" ref="K25">IFERROR(_xlfn.XLOOKUP(1,(Table15[[#This Row],[Name]]='Google Forms'!$B:$B)*(Table15[[#Headers],[Miami - 7 May]]='Google Forms'!$C:$C),'Google Forms'!$K:$K,0,0,-1),0)</f>
        <v>6</v>
      </c>
      <c r="L25" s="9" cm="1">
        <f t="array" ref="L25">IFERROR(_xlfn.XLOOKUP(1,(Table15[[#This Row],[Name]]='Google Forms'!$B:$B)*(Table15[[#Headers],[Italy - 21 May]]='Google Forms'!$C:$C),'Google Forms'!$K:$K,0,0,-1),0)</f>
        <v>0</v>
      </c>
      <c r="M25" s="9" cm="1">
        <f t="array" ref="M25">IFERROR(_xlfn.XLOOKUP(1,(Table15[[#This Row],[Name]]='Google Forms'!$B:$B)*(Table15[[#Headers],[Monaco - 28 May]]='Google Forms'!$C:$C),'Google Forms'!$K:$K,0,0,-1),0)</f>
        <v>7.5</v>
      </c>
      <c r="N25" s="9" cm="1">
        <f t="array" ref="N25">IFERROR(_xlfn.XLOOKUP(1,(Table15[[#This Row],[Name]]='Google Forms'!$B:$B)*(Table15[[#Headers],[Spain - 4 June]]='Google Forms'!$C:$C),'Google Forms'!$K:$K,0,0,-1),0)</f>
        <v>15</v>
      </c>
      <c r="O25" s="9" cm="1">
        <f t="array" ref="O25">IFERROR(_xlfn.XLOOKUP(1,(Table15[[#This Row],[Name]]='Google Forms'!$B:$B)*(Table15[[#Headers],[Canada - 18 June]]='Google Forms'!$C:$C),'Google Forms'!$K:$K,0,0,-1),0)</f>
        <v>6</v>
      </c>
      <c r="P25" s="9" cm="1">
        <f t="array" ref="P25">IFERROR(_xlfn.XLOOKUP(1,(Table15[[#This Row],[Name]]='Google Forms'!$B:$B)*(Table15[[#Headers],[Austria - 2 July]]='Google Forms'!$C:$C),'Google Forms'!$K:$K,0,0,-1),0)</f>
        <v>2</v>
      </c>
      <c r="Q25" s="9" cm="1">
        <f t="array" ref="Q25">IFERROR(_xlfn.XLOOKUP(1,(Table15[[#This Row],[Name]]='Google Forms'!$B:$B)*(Table15[[#Headers],[Great Britain - 9 July]]='Google Forms'!$C:$C),'Google Forms'!$K:$K,0,0,-1),0)</f>
        <v>2</v>
      </c>
      <c r="R25" s="9" cm="1">
        <f t="array" ref="R25">IFERROR(_xlfn.XLOOKUP(1,(Table15[[#This Row],[Name]]='Google Forms'!$B:$B)*(Table15[[#Headers],[Hungary - 23 July]]='Google Forms'!$C:$C),'Google Forms'!$K:$K,0,0,-1),0)</f>
        <v>6</v>
      </c>
      <c r="S25" s="9" cm="1">
        <f t="array" ref="S25">IFERROR(_xlfn.XLOOKUP(1,(Table15[[#This Row],[Name]]='Google Forms'!$B:$B)*(Table15[[#Headers],[Belgium - 30 July]]='Google Forms'!$C:$C),'Google Forms'!$K:$K,0,0,-1),0)</f>
        <v>0</v>
      </c>
      <c r="T25" s="9" cm="1">
        <f t="array" ref="T25">IFERROR(_xlfn.XLOOKUP(1,(Table15[[#This Row],[Name]]='Google Forms'!$B:$B)*(Table15[[#Headers],[Netherlands - 27 August]]='Google Forms'!$C:$C),'Google Forms'!$K:$K,0,0,-1),0)</f>
        <v>12</v>
      </c>
      <c r="U25" s="9" cm="1">
        <f t="array" ref="U25">IFERROR(_xlfn.XLOOKUP(1,(Table15[[#This Row],[Name]]='Google Forms'!$B:$B)*(Table15[[#Headers],[Italy - 3 September]]='Google Forms'!$C:$C),'Google Forms'!$K:$K,0,0,-1),0)</f>
        <v>8</v>
      </c>
      <c r="V25" s="9" cm="1">
        <f t="array" ref="V25">IFERROR(_xlfn.XLOOKUP(1,(Table15[[#This Row],[Name]]='Google Forms'!$B:$B)*(Table15[[#Headers],[Singapore - 17 September]]='Google Forms'!$C:$C),'Google Forms'!$K:$K,0,0,-1),0)</f>
        <v>7.5</v>
      </c>
      <c r="W25" s="9" cm="1">
        <f t="array" ref="W25">IFERROR(_xlfn.XLOOKUP(1,(Table15[[#This Row],[Name]]='Google Forms'!$B:$B)*(Table15[[#Headers],[Japan - 24 September]]='Google Forms'!$C:$C),'Google Forms'!$K:$K,0,0,-1),0)</f>
        <v>18</v>
      </c>
      <c r="X25" s="9" cm="1">
        <f t="array" ref="X25">IFERROR(_xlfn.XLOOKUP(1,(Table15[[#This Row],[Name]]='Google Forms'!$B:$B)*(Table15[[#Headers],[Qatar - 8 October]]='Google Forms'!$C:$C),'Google Forms'!$K:$K,0,0,-1),0)</f>
        <v>7.5</v>
      </c>
      <c r="Y25" s="9" cm="1">
        <f t="array" ref="Y25">IFERROR(_xlfn.XLOOKUP(1,(Table15[[#This Row],[Name]]='Google Forms'!$B:$B)*(Table15[[#Headers],[United States - 22 October]]='Google Forms'!$C:$C),'Google Forms'!$K:$K,0,0,-1),0)</f>
        <v>10</v>
      </c>
      <c r="Z25" s="9" cm="1">
        <f t="array" ref="Z25">IFERROR(_xlfn.XLOOKUP(1,(Table15[[#This Row],[Name]]='Google Forms'!$B:$B)*(Table15[[#Headers],[Mexico - 29 October]]='Google Forms'!$C:$C),'Google Forms'!$K:$K,0,0,-1),0)</f>
        <v>9</v>
      </c>
      <c r="AA25" s="9" cm="1">
        <f t="array" ref="AA25">IFERROR(_xlfn.XLOOKUP(1,(Table15[[#This Row],[Name]]='Google Forms'!$B:$B)*(Table15[[#Headers],[Brazil - 5 November]]='Google Forms'!$C:$C),'Google Forms'!$K:$K,0,0,-1),0)</f>
        <v>6</v>
      </c>
      <c r="AB25" s="9" cm="1">
        <f t="array" ref="AB25">IFERROR(_xlfn.XLOOKUP(1,(Table15[[#This Row],[Name]]='Google Forms'!$B:$B)*(Table15[[#Headers],[Las Vegas - 18 November]]='Google Forms'!$C:$C),'Google Forms'!$K:$K,0,0,-1),0)</f>
        <v>0</v>
      </c>
      <c r="AC25" s="9" cm="1">
        <f t="array" ref="AC25">IFERROR(_xlfn.XLOOKUP(1,(Table15[[#This Row],[Name]]='Google Forms'!$B:$B)*(Table15[[#Headers],[Abu Dhabi - 26 November]]='Google Forms'!$C:$C),'Google Forms'!$K:$K,0,0,-1),0)</f>
        <v>6</v>
      </c>
    </row>
    <row r="26" spans="1:29" ht="15.6" x14ac:dyDescent="0.3">
      <c r="A26" s="4">
        <v>25</v>
      </c>
      <c r="B26" t="s">
        <v>73</v>
      </c>
      <c r="C26" cm="1">
        <f t="array" ref="C26">Table15[[#This Row],[Total]]-_xlfn.XLOOKUP($G$35,$H$36:$AC$36,Table15[[#This Row],[Saudi Arabia - 19 March]:[Abu Dhabi - 26 November]])</f>
        <v>101</v>
      </c>
      <c r="D26" cm="1">
        <f t="array" ref="D26">_xlfn.XLOOKUP(B26,_xlfn.SORTBY(Table15[Name],Table15[Previous Race Total],-1),$A$2:$A$27)</f>
        <v>25</v>
      </c>
      <c r="E26" cm="1">
        <f t="array" ref="E26">_xlfn.XLOOKUP(B26,_xlfn.SORTBY(Table15[Name],Table15[Total],-1),$A$2:$A$27)</f>
        <v>25</v>
      </c>
      <c r="F26" s="102">
        <f>Table15[[#This Row],[Previous race Ranking]]-Table15[[#This Row],[Current ranking]]</f>
        <v>0</v>
      </c>
      <c r="G26" s="93">
        <f t="shared" si="0"/>
        <v>111</v>
      </c>
      <c r="H26" s="9">
        <v>0</v>
      </c>
      <c r="I26" s="9">
        <v>0</v>
      </c>
      <c r="J26" s="9">
        <v>0</v>
      </c>
      <c r="K26" s="9" cm="1">
        <f t="array" ref="K26">IFERROR(_xlfn.XLOOKUP(1,(Table15[[#This Row],[Name]]='Google Forms'!$B:$B)*(Table15[[#Headers],[Miami - 7 May]]='Google Forms'!$C:$C),'Google Forms'!$K:$K,0,0,-1),0)</f>
        <v>0</v>
      </c>
      <c r="L26" s="9" cm="1">
        <f t="array" ref="L26">IFERROR(_xlfn.XLOOKUP(1,(Table15[[#This Row],[Name]]='Google Forms'!$B:$B)*(Table15[[#Headers],[Italy - 21 May]]='Google Forms'!$C:$C),'Google Forms'!$K:$K,0,0,-1),0)</f>
        <v>0</v>
      </c>
      <c r="M26" s="9" cm="1">
        <f t="array" ref="M26">IFERROR(_xlfn.XLOOKUP(1,(Table15[[#This Row],[Name]]='Google Forms'!$B:$B)*(Table15[[#Headers],[Monaco - 28 May]]='Google Forms'!$C:$C),'Google Forms'!$K:$K,0,0,-1),0)</f>
        <v>25</v>
      </c>
      <c r="N26" s="9" cm="1">
        <f t="array" ref="N26">IFERROR(_xlfn.XLOOKUP(1,(Table15[[#This Row],[Name]]='Google Forms'!$B:$B)*(Table15[[#Headers],[Spain - 4 June]]='Google Forms'!$C:$C),'Google Forms'!$K:$K,0,0,-1),0)</f>
        <v>9</v>
      </c>
      <c r="O26" s="9" cm="1">
        <f t="array" ref="O26">IFERROR(_xlfn.XLOOKUP(1,(Table15[[#This Row],[Name]]='Google Forms'!$B:$B)*(Table15[[#Headers],[Canada - 18 June]]='Google Forms'!$C:$C),'Google Forms'!$K:$K,0,0,-1),0)</f>
        <v>15</v>
      </c>
      <c r="P26" s="9" cm="1">
        <f t="array" ref="P26">IFERROR(_xlfn.XLOOKUP(1,(Table15[[#This Row],[Name]]='Google Forms'!$B:$B)*(Table15[[#Headers],[Austria - 2 July]]='Google Forms'!$C:$C),'Google Forms'!$K:$K,0,0,-1),0)</f>
        <v>2</v>
      </c>
      <c r="Q26" s="9" cm="1">
        <f t="array" ref="Q26">IFERROR(_xlfn.XLOOKUP(1,(Table15[[#This Row],[Name]]='Google Forms'!$B:$B)*(Table15[[#Headers],[Great Britain - 9 July]]='Google Forms'!$C:$C),'Google Forms'!$K:$K,0,0,-1),0)</f>
        <v>3</v>
      </c>
      <c r="R26" s="9" cm="1">
        <f t="array" ref="R26">IFERROR(_xlfn.XLOOKUP(1,(Table15[[#This Row],[Name]]='Google Forms'!$B:$B)*(Table15[[#Headers],[Hungary - 23 July]]='Google Forms'!$C:$C),'Google Forms'!$K:$K,0,0,-1),0)</f>
        <v>1</v>
      </c>
      <c r="S26" s="9" cm="1">
        <f t="array" ref="S26">IFERROR(_xlfn.XLOOKUP(1,(Table15[[#This Row],[Name]]='Google Forms'!$B:$B)*(Table15[[#Headers],[Belgium - 30 July]]='Google Forms'!$C:$C),'Google Forms'!$K:$K,0,0,-1),0)</f>
        <v>25</v>
      </c>
      <c r="T26" s="9" cm="1">
        <f t="array" ref="T26">IFERROR(_xlfn.XLOOKUP(1,(Table15[[#This Row],[Name]]='Google Forms'!$B:$B)*(Table15[[#Headers],[Netherlands - 27 August]]='Google Forms'!$C:$C),'Google Forms'!$K:$K,0,0,-1),0)</f>
        <v>0</v>
      </c>
      <c r="U26" s="9" cm="1">
        <f t="array" ref="U26">IFERROR(_xlfn.XLOOKUP(1,(Table15[[#This Row],[Name]]='Google Forms'!$B:$B)*(Table15[[#Headers],[Italy - 3 September]]='Google Forms'!$C:$C),'Google Forms'!$K:$K,0,0,-1),0)</f>
        <v>0</v>
      </c>
      <c r="V26" s="9" cm="1">
        <f t="array" ref="V26">IFERROR(_xlfn.XLOOKUP(1,(Table15[[#This Row],[Name]]='Google Forms'!$B:$B)*(Table15[[#Headers],[Singapore - 17 September]]='Google Forms'!$C:$C),'Google Forms'!$K:$K,0,0,-1),0)</f>
        <v>0</v>
      </c>
      <c r="W26" s="9" cm="1">
        <f t="array" ref="W26">IFERROR(_xlfn.XLOOKUP(1,(Table15[[#This Row],[Name]]='Google Forms'!$B:$B)*(Table15[[#Headers],[Japan - 24 September]]='Google Forms'!$C:$C),'Google Forms'!$K:$K,0,0,-1),0)</f>
        <v>18</v>
      </c>
      <c r="X26" s="9" cm="1">
        <f t="array" ref="X26">IFERROR(_xlfn.XLOOKUP(1,(Table15[[#This Row],[Name]]='Google Forms'!$B:$B)*(Table15[[#Headers],[Qatar - 8 October]]='Google Forms'!$C:$C),'Google Forms'!$K:$K,0,0,-1),0)</f>
        <v>3</v>
      </c>
      <c r="Y26" s="9" cm="1">
        <f t="array" ref="Y26">IFERROR(_xlfn.XLOOKUP(1,(Table15[[#This Row],[Name]]='Google Forms'!$B:$B)*(Table15[[#Headers],[United States - 22 October]]='Google Forms'!$C:$C),'Google Forms'!$K:$K,0,0,-1),0)</f>
        <v>0</v>
      </c>
      <c r="Z26" s="9" cm="1">
        <f t="array" ref="Z26">IFERROR(_xlfn.XLOOKUP(1,(Table15[[#This Row],[Name]]='Google Forms'!$B:$B)*(Table15[[#Headers],[Mexico - 29 October]]='Google Forms'!$C:$C),'Google Forms'!$K:$K,0,0,-1),0)</f>
        <v>0</v>
      </c>
      <c r="AA26" s="9" cm="1">
        <f t="array" ref="AA26">IFERROR(_xlfn.XLOOKUP(1,(Table15[[#This Row],[Name]]='Google Forms'!$B:$B)*(Table15[[#Headers],[Brazil - 5 November]]='Google Forms'!$C:$C),'Google Forms'!$K:$K,0,0,-1),0)</f>
        <v>0</v>
      </c>
      <c r="AB26" s="9" cm="1">
        <f t="array" ref="AB26">IFERROR(_xlfn.XLOOKUP(1,(Table15[[#This Row],[Name]]='Google Forms'!$B:$B)*(Table15[[#Headers],[Las Vegas - 18 November]]='Google Forms'!$C:$C),'Google Forms'!$K:$K,0,0,-1),0)</f>
        <v>0</v>
      </c>
      <c r="AC26" s="9" cm="1">
        <f t="array" ref="AC26">IFERROR(_xlfn.XLOOKUP(1,(Table15[[#This Row],[Name]]='Google Forms'!$B:$B)*(Table15[[#Headers],[Abu Dhabi - 26 November]]='Google Forms'!$C:$C),'Google Forms'!$K:$K,0,0,-1),0)</f>
        <v>10</v>
      </c>
    </row>
    <row r="27" spans="1:29" ht="15.6" x14ac:dyDescent="0.3">
      <c r="A27" s="4">
        <v>26</v>
      </c>
      <c r="B27" t="s">
        <v>65</v>
      </c>
      <c r="C27" cm="1">
        <f t="array" ref="C27">Table15[[#This Row],[Total]]-_xlfn.XLOOKUP($G$35,$H$36:$AC$36,Table15[[#This Row],[Saudi Arabia - 19 March]:[Abu Dhabi - 26 November]])</f>
        <v>74</v>
      </c>
      <c r="D27" cm="1">
        <f t="array" ref="D27">_xlfn.XLOOKUP(B27,_xlfn.SORTBY(Table15[Name],Table15[Previous Race Total],-1),$A$2:$A$27)</f>
        <v>26</v>
      </c>
      <c r="E27" cm="1">
        <f t="array" ref="E27">_xlfn.XLOOKUP(B27,_xlfn.SORTBY(Table15[Name],Table15[Total],-1),$A$2:$A$27)</f>
        <v>26</v>
      </c>
      <c r="F27" s="102">
        <f>Table15[[#This Row],[Previous race Ranking]]-Table15[[#This Row],[Current ranking]]</f>
        <v>0</v>
      </c>
      <c r="G27" s="93">
        <f t="shared" si="0"/>
        <v>74</v>
      </c>
      <c r="H27" s="9">
        <v>9</v>
      </c>
      <c r="I27" s="9">
        <v>7.5</v>
      </c>
      <c r="J27" s="9">
        <v>7.5</v>
      </c>
      <c r="K27" s="9" cm="1">
        <f t="array" ref="K27">IFERROR(_xlfn.XLOOKUP(1,(Table15[[#This Row],[Name]]='Google Forms'!$B:$B)*(Table15[[#Headers],[Miami - 7 May]]='Google Forms'!$C:$C),'Google Forms'!$K:$K,0,0,-1),0)</f>
        <v>9</v>
      </c>
      <c r="L27" s="9" cm="1">
        <f t="array" ref="L27">IFERROR(_xlfn.XLOOKUP(1,(Table15[[#This Row],[Name]]='Google Forms'!$B:$B)*(Table15[[#Headers],[Italy - 21 May]]='Google Forms'!$C:$C),'Google Forms'!$K:$K,0,0,-1),0)</f>
        <v>0</v>
      </c>
      <c r="M27" s="9" cm="1">
        <f t="array" ref="M27">IFERROR(_xlfn.XLOOKUP(1,(Table15[[#This Row],[Name]]='Google Forms'!$B:$B)*(Table15[[#Headers],[Monaco - 28 May]]='Google Forms'!$C:$C),'Google Forms'!$K:$K,0,0,-1),0)</f>
        <v>4</v>
      </c>
      <c r="N27" s="9" cm="1">
        <f t="array" ref="N27">IFERROR(_xlfn.XLOOKUP(1,(Table15[[#This Row],[Name]]='Google Forms'!$B:$B)*(Table15[[#Headers],[Spain - 4 June]]='Google Forms'!$C:$C),'Google Forms'!$K:$K,0,0,-1),0)</f>
        <v>25</v>
      </c>
      <c r="O27" s="9" cm="1">
        <f t="array" ref="O27">IFERROR(_xlfn.XLOOKUP(1,(Table15[[#This Row],[Name]]='Google Forms'!$B:$B)*(Table15[[#Headers],[Canada - 18 June]]='Google Forms'!$C:$C),'Google Forms'!$K:$K,0,0,-1),0)</f>
        <v>2</v>
      </c>
      <c r="P27" s="9" cm="1">
        <f t="array" ref="P27">IFERROR(_xlfn.XLOOKUP(1,(Table15[[#This Row],[Name]]='Google Forms'!$B:$B)*(Table15[[#Headers],[Austria - 2 July]]='Google Forms'!$C:$C),'Google Forms'!$K:$K,0,0,-1),0)</f>
        <v>0</v>
      </c>
      <c r="Q27" s="9" cm="1">
        <f t="array" ref="Q27">IFERROR(_xlfn.XLOOKUP(1,(Table15[[#This Row],[Name]]='Google Forms'!$B:$B)*(Table15[[#Headers],[Great Britain - 9 July]]='Google Forms'!$C:$C),'Google Forms'!$K:$K,0,0,-1),0)</f>
        <v>0</v>
      </c>
      <c r="R27" s="9" cm="1">
        <f t="array" ref="R27">IFERROR(_xlfn.XLOOKUP(1,(Table15[[#This Row],[Name]]='Google Forms'!$B:$B)*(Table15[[#Headers],[Hungary - 23 July]]='Google Forms'!$C:$C),'Google Forms'!$K:$K,0,0,-1),0)</f>
        <v>10</v>
      </c>
      <c r="S27" s="9" cm="1">
        <f t="array" ref="S27">IFERROR(_xlfn.XLOOKUP(1,(Table15[[#This Row],[Name]]='Google Forms'!$B:$B)*(Table15[[#Headers],[Belgium - 30 July]]='Google Forms'!$C:$C),'Google Forms'!$K:$K,0,0,-1),0)</f>
        <v>0</v>
      </c>
      <c r="T27" s="9" cm="1">
        <f t="array" ref="T27">IFERROR(_xlfn.XLOOKUP(1,(Table15[[#This Row],[Name]]='Google Forms'!$B:$B)*(Table15[[#Headers],[Netherlands - 27 August]]='Google Forms'!$C:$C),'Google Forms'!$K:$K,0,0,-1),0)</f>
        <v>0</v>
      </c>
      <c r="U27" s="9" cm="1">
        <f t="array" ref="U27">IFERROR(_xlfn.XLOOKUP(1,(Table15[[#This Row],[Name]]='Google Forms'!$B:$B)*(Table15[[#Headers],[Italy - 3 September]]='Google Forms'!$C:$C),'Google Forms'!$K:$K,0,0,-1),0)</f>
        <v>0</v>
      </c>
      <c r="V27" s="9" cm="1">
        <f t="array" ref="V27">IFERROR(_xlfn.XLOOKUP(1,(Table15[[#This Row],[Name]]='Google Forms'!$B:$B)*(Table15[[#Headers],[Singapore - 17 September]]='Google Forms'!$C:$C),'Google Forms'!$K:$K,0,0,-1),0)</f>
        <v>0</v>
      </c>
      <c r="W27" s="9" cm="1">
        <f t="array" ref="W27">IFERROR(_xlfn.XLOOKUP(1,(Table15[[#This Row],[Name]]='Google Forms'!$B:$B)*(Table15[[#Headers],[Japan - 24 September]]='Google Forms'!$C:$C),'Google Forms'!$K:$K,0,0,-1),0)</f>
        <v>0</v>
      </c>
      <c r="X27" s="9" cm="1">
        <f t="array" ref="X27">IFERROR(_xlfn.XLOOKUP(1,(Table15[[#This Row],[Name]]='Google Forms'!$B:$B)*(Table15[[#Headers],[Qatar - 8 October]]='Google Forms'!$C:$C),'Google Forms'!$K:$K,0,0,-1),0)</f>
        <v>0</v>
      </c>
      <c r="Y27" s="9" cm="1">
        <f t="array" ref="Y27">IFERROR(_xlfn.XLOOKUP(1,(Table15[[#This Row],[Name]]='Google Forms'!$B:$B)*(Table15[[#Headers],[United States - 22 October]]='Google Forms'!$C:$C),'Google Forms'!$K:$K,0,0,-1),0)</f>
        <v>0</v>
      </c>
      <c r="Z27" s="9" cm="1">
        <f t="array" ref="Z27">IFERROR(_xlfn.XLOOKUP(1,(Table15[[#This Row],[Name]]='Google Forms'!$B:$B)*(Table15[[#Headers],[Mexico - 29 October]]='Google Forms'!$C:$C),'Google Forms'!$K:$K,0,0,-1),0)</f>
        <v>0</v>
      </c>
      <c r="AA27" s="9" cm="1">
        <f t="array" ref="AA27">IFERROR(_xlfn.XLOOKUP(1,(Table15[[#This Row],[Name]]='Google Forms'!$B:$B)*(Table15[[#Headers],[Brazil - 5 November]]='Google Forms'!$C:$C),'Google Forms'!$K:$K,0,0,-1),0)</f>
        <v>0</v>
      </c>
      <c r="AB27" s="9" cm="1">
        <f t="array" ref="AB27">IFERROR(_xlfn.XLOOKUP(1,(Table15[[#This Row],[Name]]='Google Forms'!$B:$B)*(Table15[[#Headers],[Las Vegas - 18 November]]='Google Forms'!$C:$C),'Google Forms'!$K:$K,0,0,-1),0)</f>
        <v>0</v>
      </c>
      <c r="AC27" s="9" cm="1">
        <f t="array" ref="AC27">IFERROR(_xlfn.XLOOKUP(1,(Table15[[#This Row],[Name]]='Google Forms'!$B:$B)*(Table15[[#Headers],[Abu Dhabi - 26 November]]='Google Forms'!$C:$C),'Google Forms'!$K:$K,0,0,-1),0)</f>
        <v>0</v>
      </c>
    </row>
    <row r="28" spans="1:29" ht="15.6" x14ac:dyDescent="0.3">
      <c r="A28" s="4"/>
      <c r="F28" s="102"/>
      <c r="G28" s="93"/>
    </row>
    <row r="30" spans="1:29" ht="23.4" x14ac:dyDescent="0.45">
      <c r="B30" s="84" t="s">
        <v>7</v>
      </c>
      <c r="C30" s="84"/>
      <c r="D30" s="84"/>
      <c r="E30" s="84"/>
      <c r="F30" s="100"/>
    </row>
    <row r="31" spans="1:29" ht="13.05" customHeight="1" x14ac:dyDescent="0.45">
      <c r="B31" s="84"/>
      <c r="C31" s="84"/>
      <c r="D31" s="84"/>
      <c r="E31" s="84"/>
      <c r="F31" s="107" t="s">
        <v>466</v>
      </c>
      <c r="G31" s="108"/>
      <c r="H31" s="44"/>
    </row>
    <row r="32" spans="1:29" ht="13.05" customHeight="1" x14ac:dyDescent="0.45">
      <c r="B32" s="84"/>
      <c r="C32" s="84"/>
      <c r="D32" s="84"/>
      <c r="E32" s="84"/>
      <c r="F32" s="107" t="s">
        <v>464</v>
      </c>
      <c r="G32" s="81"/>
      <c r="H32" s="4"/>
    </row>
    <row r="33" spans="1:29" ht="13.05" customHeight="1" x14ac:dyDescent="0.3">
      <c r="D33" s="97"/>
      <c r="E33" s="97"/>
      <c r="F33" s="107" t="s">
        <v>461</v>
      </c>
      <c r="G33" s="109"/>
      <c r="H33" s="105"/>
      <c r="I33" s="105"/>
      <c r="J33" s="105"/>
      <c r="K33" s="105"/>
      <c r="L33" s="9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</row>
    <row r="34" spans="1:29" ht="13.05" customHeight="1" x14ac:dyDescent="0.3">
      <c r="D34" s="97"/>
      <c r="E34" s="97"/>
      <c r="F34" s="107" t="s">
        <v>465</v>
      </c>
      <c r="G34" s="109"/>
      <c r="H34" s="105"/>
      <c r="I34" s="105"/>
      <c r="J34" s="105"/>
      <c r="K34" s="105"/>
      <c r="L34" s="9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</row>
    <row r="35" spans="1:29" ht="13.05" customHeight="1" x14ac:dyDescent="0.3">
      <c r="D35" s="97"/>
      <c r="E35" s="97"/>
      <c r="F35" s="107" t="s">
        <v>454</v>
      </c>
      <c r="G35" s="13">
        <f>SUM(K35:AC35)+3</f>
        <v>22</v>
      </c>
      <c r="H35" s="105"/>
      <c r="I35" s="105"/>
      <c r="J35" s="105"/>
      <c r="K35" s="105">
        <f>IF(MAX(Table15[Miami - 7 May])&gt;0,1,0)</f>
        <v>1</v>
      </c>
      <c r="L35" s="95">
        <v>1</v>
      </c>
      <c r="M35" s="105">
        <f>IF(MAX(Table15[Monaco - 28 May])&gt;0,1,0)</f>
        <v>1</v>
      </c>
      <c r="N35" s="105">
        <f>IF(MAX(Table15[Spain - 4 June])&gt;0,1,0)</f>
        <v>1</v>
      </c>
      <c r="O35" s="105">
        <f>IF(MAX(Table15[Canada - 18 June])&gt;0,1,0)</f>
        <v>1</v>
      </c>
      <c r="P35" s="105">
        <f>IF(MAX(Table15[Austria - 2 July])&gt;0,1,0)</f>
        <v>1</v>
      </c>
      <c r="Q35" s="105">
        <f>IF(MAX(Table15[Great Britain - 9 July])&gt;0,1,0)</f>
        <v>1</v>
      </c>
      <c r="R35" s="105">
        <f>IF(MAX(Table15[Hungary - 23 July])&gt;0,1,0)</f>
        <v>1</v>
      </c>
      <c r="S35" s="105">
        <f>IF(MAX(Table15[Belgium - 30 July])&gt;0,1,0)</f>
        <v>1</v>
      </c>
      <c r="T35" s="105">
        <f>IF(MAX(Table15[Netherlands - 27 August])&gt;0,1,0)</f>
        <v>1</v>
      </c>
      <c r="U35" s="105">
        <f>IF(MAX(Table15[Italy - 3 September])&gt;0,1,0)</f>
        <v>1</v>
      </c>
      <c r="V35" s="105">
        <f>IF(MAX(Table15[Singapore - 17 September])&gt;0,1,0)</f>
        <v>1</v>
      </c>
      <c r="W35" s="105">
        <f>IF(MAX(Table15[Japan - 24 September])&gt;0,1,0)</f>
        <v>1</v>
      </c>
      <c r="X35" s="105">
        <f>IF(MAX(Table15[Qatar - 8 October])&gt;0,1,0)</f>
        <v>1</v>
      </c>
      <c r="Y35" s="105">
        <f>IF(MAX(Table15[United States - 22 October])&gt;0,1,0)</f>
        <v>1</v>
      </c>
      <c r="Z35" s="105">
        <f>IF(MAX(Table15[Mexico - 29 October])&gt;0,1,0)</f>
        <v>1</v>
      </c>
      <c r="AA35" s="105">
        <f>IF(MAX(Table15[Brazil - 5 November])&gt;0,1,0)</f>
        <v>1</v>
      </c>
      <c r="AB35" s="105">
        <f>IF(MAX(Table15[Las Vegas - 18 November])&gt;0,1,0)</f>
        <v>1</v>
      </c>
      <c r="AC35" s="105">
        <f>IF(MAX(Table15[Abu Dhabi - 26 November])&gt;0,1,0)</f>
        <v>1</v>
      </c>
    </row>
    <row r="36" spans="1:29" ht="13.05" customHeight="1" x14ac:dyDescent="0.3">
      <c r="D36" s="97"/>
      <c r="E36" s="97"/>
      <c r="F36" s="107" t="s">
        <v>456</v>
      </c>
      <c r="G36" s="96"/>
      <c r="H36" s="105"/>
      <c r="I36" s="105"/>
      <c r="J36" s="105"/>
      <c r="K36" s="105">
        <v>4</v>
      </c>
      <c r="L36" s="105">
        <v>5</v>
      </c>
      <c r="M36" s="105">
        <v>6</v>
      </c>
      <c r="N36" s="105">
        <v>7</v>
      </c>
      <c r="O36" s="105">
        <v>8</v>
      </c>
      <c r="P36" s="105">
        <v>9</v>
      </c>
      <c r="Q36" s="105">
        <v>10</v>
      </c>
      <c r="R36" s="105">
        <v>11</v>
      </c>
      <c r="S36" s="105">
        <v>12</v>
      </c>
      <c r="T36" s="105">
        <v>13</v>
      </c>
      <c r="U36" s="105">
        <v>14</v>
      </c>
      <c r="V36" s="105">
        <v>15</v>
      </c>
      <c r="W36" s="105">
        <v>16</v>
      </c>
      <c r="X36" s="105">
        <v>17</v>
      </c>
      <c r="Y36" s="105">
        <v>18</v>
      </c>
      <c r="Z36" s="105">
        <v>19</v>
      </c>
      <c r="AA36" s="105">
        <v>20</v>
      </c>
      <c r="AB36" s="105">
        <v>21</v>
      </c>
      <c r="AC36" s="105">
        <v>22</v>
      </c>
    </row>
    <row r="37" spans="1:29" ht="13.05" customHeight="1" x14ac:dyDescent="0.3">
      <c r="D37" s="97"/>
      <c r="E37" s="97"/>
      <c r="F37" s="14"/>
      <c r="G37" s="14"/>
      <c r="H37" s="106"/>
      <c r="I37" s="106"/>
      <c r="J37" s="106"/>
      <c r="K37" s="106" t="s">
        <v>8</v>
      </c>
      <c r="L37" s="106" t="s">
        <v>9</v>
      </c>
      <c r="M37" s="106" t="s">
        <v>10</v>
      </c>
      <c r="N37" s="106" t="s">
        <v>11</v>
      </c>
      <c r="O37" s="106" t="s">
        <v>12</v>
      </c>
      <c r="P37" s="106" t="s">
        <v>13</v>
      </c>
      <c r="Q37" s="106" t="s">
        <v>14</v>
      </c>
      <c r="R37" s="106" t="s">
        <v>15</v>
      </c>
      <c r="S37" s="106" t="s">
        <v>16</v>
      </c>
      <c r="T37" s="106" t="s">
        <v>17</v>
      </c>
      <c r="U37" s="106" t="s">
        <v>18</v>
      </c>
      <c r="V37" s="106" t="s">
        <v>19</v>
      </c>
      <c r="W37" s="106" t="s">
        <v>20</v>
      </c>
      <c r="X37" s="106" t="s">
        <v>21</v>
      </c>
      <c r="Y37" s="106" t="s">
        <v>22</v>
      </c>
      <c r="Z37" s="106" t="s">
        <v>23</v>
      </c>
      <c r="AA37" s="106" t="s">
        <v>24</v>
      </c>
      <c r="AB37" s="106" t="s">
        <v>25</v>
      </c>
      <c r="AC37" s="106" t="s">
        <v>26</v>
      </c>
    </row>
    <row r="38" spans="1:29" s="14" customFormat="1" x14ac:dyDescent="0.3">
      <c r="A38" s="68"/>
      <c r="B38" s="27"/>
      <c r="C38" s="27"/>
      <c r="D38" s="27"/>
      <c r="E38" s="27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9"/>
    </row>
    <row r="39" spans="1:29" s="43" customFormat="1" x14ac:dyDescent="0.3">
      <c r="A39" s="3"/>
      <c r="F39" s="4"/>
      <c r="G39" s="67" t="s">
        <v>79</v>
      </c>
      <c r="H39" s="43" t="str" cm="1">
        <f t="array" ref="H39:H41">IF(MAX(Table15[Saudi Arabia - 19 March])=0,"",_xlfn._xlws.FILTER(Table15[[Name]:[Name]],Table15[Saudi Arabia - 19 March]=MAX(Table15[Saudi Arabia - 19 March])))</f>
        <v>Suzzy B</v>
      </c>
      <c r="I39" s="43" t="str" cm="1">
        <f t="array" ref="I39:I42">IF(MAX(Table15[Australia - 2 April])=0,"",_xlfn._xlws.FILTER(Table15[[Name]:[Name]],Table15[Australia - 2 April]=MAX(Table15[Australia - 2 April])))</f>
        <v>Suzzy B</v>
      </c>
      <c r="J39" s="43" t="str" cm="1">
        <f t="array" ref="J39:J47">IF(MAX(Table15[Azerbaijan - 30 April])=0,"",_xlfn._xlws.FILTER(Table15[[Name]:[Name]],Table15[Azerbaijan - 30 April]=MAX(Table15[Azerbaijan - 30 April])))</f>
        <v>Markus</v>
      </c>
      <c r="K39" s="43" t="str" cm="1">
        <f t="array" ref="K39:K40">IF(MAX(Table15[Miami - 7 May])=0,"",_xlfn._xlws.FILTER(Table15[[Name]:[Name]],Table15[Miami - 7 May]=MAX(Table15[Miami - 7 May])))</f>
        <v>Kristel</v>
      </c>
      <c r="L39" s="43" t="str" cm="1">
        <f t="array" ref="L39">IF(MAX(Table15[Italy - 21 May])=0,"",_xlfn._xlws.FILTER(Table15[[Name]:[Name]],Table15[Italy - 21 May]=MAX(Table15[Italy - 21 May])))</f>
        <v/>
      </c>
      <c r="M39" s="43" t="str" cm="1">
        <f t="array" ref="M39:M40">IF(MAX(Table15[Monaco - 28 May])=0,"",_xlfn._xlws.FILTER(Table15[[Name]:[Name]],Table15[Monaco - 28 May]=MAX(Table15[Monaco - 28 May])))</f>
        <v>Suzzy B</v>
      </c>
      <c r="N39" s="43" t="str" cm="1">
        <f t="array" ref="N39:N41">IF(MAX(Table15[Spain - 4 June])=0,"",_xlfn._xlws.FILTER(Table15[[Name]:[Name]],Table15[Spain - 4 June]=MAX(Table15[Spain - 4 June])))</f>
        <v>Joshua</v>
      </c>
      <c r="O39" s="43" t="str" cm="1">
        <f t="array" ref="O39">IF(MAX(Table15[Canada - 18 June])=0,"",_xlfn._xlws.FILTER(Table15[[Name]:[Name]],Table15[Canada - 18 June]=MAX(Table15[Canada - 18 June])))</f>
        <v>Mike</v>
      </c>
      <c r="P39" s="43" t="str" cm="1">
        <f t="array" ref="P39:P42">IF(MAX(Table15[Austria - 2 July])=0,"",_xlfn._xlws.FILTER(Table15[[Name]:[Name]],Table15[Austria - 2 July]=MAX(Table15[Austria - 2 July])))</f>
        <v>Kristel</v>
      </c>
      <c r="Q39" s="43" t="str" cm="1">
        <f t="array" ref="Q39:Q45">IF(MAX(Table15[Great Britain - 9 July])=0,"",_xlfn._xlws.FILTER(Table15[[Name]:[Name]],Table15[Great Britain - 9 July]=MAX(Table15[Great Britain - 9 July])))</f>
        <v>Markus</v>
      </c>
      <c r="R39" s="43" t="str" cm="1">
        <f t="array" ref="R39">IF(MAX(Table15[Hungary - 23 July])=0,"",_xlfn._xlws.FILTER(Table15[[Name]:[Name]],Table15[Hungary - 23 July]=MAX(Table15[Hungary - 23 July])))</f>
        <v>Nico SR</v>
      </c>
      <c r="S39" s="43" t="str" cm="1">
        <f t="array" ref="S39:S43">IF(MAX(Table15[Belgium - 30 July])=0,"",_xlfn._xlws.FILTER(Table15[[Name]:[Name]],Table15[Belgium - 30 July]=MAX(Table15[Belgium - 30 July])))</f>
        <v>Suzzy B</v>
      </c>
      <c r="T39" s="43" t="str" cm="1">
        <f t="array" ref="T39:T42">IF(MAX(Table15[Netherlands - 27 August])=0,"",_xlfn._xlws.FILTER(Table15[[Name]:[Name]],Table15[Netherlands - 27 August]=MAX(Table15[Netherlands - 27 August])))</f>
        <v>Markus</v>
      </c>
      <c r="U39" s="43" t="str" cm="1">
        <f t="array" ref="U39">IF(MAX(Table15[Italy - 3 September])=0,"",_xlfn._xlws.FILTER(Table15[[Name]:[Name]],Table15[Italy - 3 September]=MAX(Table15[Italy - 3 September])))</f>
        <v>Markus</v>
      </c>
      <c r="V39" s="43" t="str" cm="1">
        <f t="array" ref="V39:V40">IF(MAX(Table15[Singapore - 17 September])=0,"",_xlfn._xlws.FILTER(Table15[[Name]:[Name]],Table15[Singapore - 17 September]=MAX(Table15[Singapore - 17 September])))</f>
        <v>Wade</v>
      </c>
      <c r="W39" s="43" t="str" cm="1">
        <f t="array" ref="W39:W46">IF(MAX(Table15[Japan - 24 September])=0,"",_xlfn._xlws.FILTER(Table15[[Name]:[Name]],Table15[Japan - 24 September]=MAX(Table15[Japan - 24 September])))</f>
        <v>Markus</v>
      </c>
      <c r="X39" s="43" t="str" cm="1">
        <f t="array" ref="X39">IF(MAX(Table15[Qatar - 8 October])=0,"",_xlfn._xlws.FILTER(Table15[[Name]:[Name]],Table15[Qatar - 8 October]=MAX(Table15[Qatar - 8 October])))</f>
        <v>Oscar</v>
      </c>
      <c r="Y39" s="43" t="str" cm="1">
        <f t="array" ref="Y39">IF(MAX(Table15[United States - 22 October])=0,"",_xlfn._xlws.FILTER(Table15[[Name]:[Name]],Table15[United States - 22 October]=MAX(Table15[United States - 22 October])))</f>
        <v>Petra</v>
      </c>
      <c r="Z39" s="43" t="str" cm="1">
        <f t="array" ref="Z39:Z42">IF(MAX(Table15[Mexico - 29 October])=0,"",_xlfn._xlws.FILTER(Table15[[Name]:[Name]],Table15[Mexico - 29 October]=MAX(Table15[Mexico - 29 October])))</f>
        <v>Deville</v>
      </c>
      <c r="AA39" s="43" t="str" cm="1">
        <f t="array" ref="AA39">IF(MAX(Table15[Brazil - 5 November])=0,"",_xlfn._xlws.FILTER(Table15[[Name]:[Name]],Table15[Brazil - 5 November]=MAX(Table15[Brazil - 5 November])))</f>
        <v>Joshua</v>
      </c>
      <c r="AB39" s="43" t="str" cm="1">
        <f t="array" ref="AB39:AB40">IF(MAX(Table15[Las Vegas - 18 November])=0,"",_xlfn._xlws.FILTER(Table15[[Name]:[Name]],Table15[Las Vegas - 18 November]=MAX(Table15[Las Vegas - 18 November])))</f>
        <v>Nico SR</v>
      </c>
      <c r="AC39" s="43" t="str" cm="1">
        <f t="array" ref="AC39:AC40">IF(MAX(Table15[Abu Dhabi - 26 November])=0,"",_xlfn._xlws.FILTER(Table15[[Name]:[Name]],Table15[Abu Dhabi - 26 November]=MAX(Table15[Abu Dhabi - 26 November])))</f>
        <v>Alida</v>
      </c>
    </row>
    <row r="40" spans="1:29" s="43" customFormat="1" x14ac:dyDescent="0.3">
      <c r="A40" s="3"/>
      <c r="F40" s="4"/>
      <c r="H40" s="43" t="str">
        <v>Mike</v>
      </c>
      <c r="I40" s="43" t="str">
        <v>Wade</v>
      </c>
      <c r="J40" s="43" t="str">
        <v>Frank</v>
      </c>
      <c r="K40" s="44" t="str">
        <v>Ilarie</v>
      </c>
      <c r="L40" s="44"/>
      <c r="M40" s="44" t="str">
        <v>Riaan</v>
      </c>
      <c r="N40" s="44" t="str">
        <v>Bernd</v>
      </c>
      <c r="O40" s="44"/>
      <c r="P40" s="44" t="str">
        <v>Frank</v>
      </c>
      <c r="Q40" s="44" t="str">
        <v>Suzzy B</v>
      </c>
      <c r="R40" s="44"/>
      <c r="S40" s="44" t="str">
        <v>Ilarie</v>
      </c>
      <c r="T40" s="44" t="str">
        <v>Joshua</v>
      </c>
      <c r="U40" s="44"/>
      <c r="V40" s="44" t="str">
        <v>Mike</v>
      </c>
      <c r="W40" s="44" t="str">
        <v>Kristel</v>
      </c>
      <c r="X40" s="44"/>
      <c r="Y40" s="44"/>
      <c r="Z40" s="44" t="str">
        <v>Liz</v>
      </c>
      <c r="AA40" s="44"/>
      <c r="AB40" s="44" t="str">
        <v>Ilarie</v>
      </c>
      <c r="AC40" s="44" t="str">
        <v>PJ</v>
      </c>
    </row>
    <row r="41" spans="1:29" s="43" customFormat="1" x14ac:dyDescent="0.3">
      <c r="A41" s="3"/>
      <c r="F41" s="4"/>
      <c r="H41" s="43" t="str">
        <v>Deville</v>
      </c>
      <c r="I41" s="43" t="str">
        <v>Joshua</v>
      </c>
      <c r="J41" s="43" t="str">
        <v>Jimbo</v>
      </c>
      <c r="K41" s="44"/>
      <c r="L41" s="44"/>
      <c r="M41" s="44"/>
      <c r="N41" s="44" t="str">
        <v>Clarice</v>
      </c>
      <c r="O41" s="44"/>
      <c r="P41" s="44" t="str">
        <v>Oscar</v>
      </c>
      <c r="Q41" s="44" t="str">
        <v>Oscar</v>
      </c>
      <c r="R41" s="44"/>
      <c r="S41" s="44" t="str">
        <v>Liam</v>
      </c>
      <c r="T41" s="44" t="str">
        <v>Frank</v>
      </c>
      <c r="U41" s="44"/>
      <c r="V41" s="44"/>
      <c r="W41" s="44" t="str">
        <v>Nico JR</v>
      </c>
      <c r="X41" s="44"/>
      <c r="Y41" s="44"/>
      <c r="Z41" s="44" t="str">
        <v>Pam</v>
      </c>
      <c r="AA41" s="44"/>
      <c r="AB41" s="44"/>
      <c r="AC41" s="44"/>
    </row>
    <row r="42" spans="1:29" s="43" customFormat="1" x14ac:dyDescent="0.3">
      <c r="A42" s="3"/>
      <c r="F42" s="4"/>
      <c r="I42" s="43" t="str">
        <v>Deville</v>
      </c>
      <c r="J42" s="43" t="str">
        <v>Oscar</v>
      </c>
      <c r="K42" s="44"/>
      <c r="L42" s="44"/>
      <c r="M42" s="44"/>
      <c r="N42" s="44"/>
      <c r="O42" s="44"/>
      <c r="P42" s="44" t="str">
        <v>Deville</v>
      </c>
      <c r="Q42" s="44" t="str">
        <v>Liz</v>
      </c>
      <c r="R42" s="44"/>
      <c r="S42" s="44" t="str">
        <v>Lee</v>
      </c>
      <c r="T42" s="44" t="str">
        <v>Lee</v>
      </c>
      <c r="U42" s="44"/>
      <c r="V42" s="44"/>
      <c r="W42" s="44" t="str">
        <v>PJ</v>
      </c>
      <c r="X42" s="44"/>
      <c r="Y42" s="44"/>
      <c r="Z42" s="44" t="str">
        <v>Lee</v>
      </c>
      <c r="AA42" s="44"/>
      <c r="AB42" s="44"/>
      <c r="AC42" s="44"/>
    </row>
    <row r="43" spans="1:29" s="43" customFormat="1" x14ac:dyDescent="0.3">
      <c r="A43" s="3"/>
      <c r="F43" s="4"/>
      <c r="J43" s="43" t="str">
        <v>Nico JR</v>
      </c>
      <c r="K43" s="44"/>
      <c r="L43" s="44"/>
      <c r="M43" s="44"/>
      <c r="N43" s="44"/>
      <c r="O43" s="44"/>
      <c r="P43" s="44"/>
      <c r="Q43" s="44" t="str">
        <v>Jason</v>
      </c>
      <c r="R43" s="44"/>
      <c r="S43" s="44" t="str">
        <v>Riaan</v>
      </c>
      <c r="T43" s="44"/>
      <c r="U43" s="44"/>
      <c r="V43" s="44"/>
      <c r="W43" s="44" t="str">
        <v>Bernd</v>
      </c>
      <c r="X43" s="44"/>
      <c r="Y43" s="44"/>
      <c r="Z43" s="44"/>
      <c r="AA43" s="44"/>
      <c r="AB43" s="44"/>
      <c r="AC43" s="44"/>
    </row>
    <row r="44" spans="1:29" s="43" customFormat="1" x14ac:dyDescent="0.3">
      <c r="A44" s="3"/>
      <c r="B44" s="117"/>
      <c r="C44" s="118"/>
      <c r="F44" s="4"/>
      <c r="J44" s="43" t="str">
        <v>PJ</v>
      </c>
      <c r="K44" s="44"/>
      <c r="L44" s="44"/>
      <c r="M44" s="44"/>
      <c r="N44" s="44"/>
      <c r="O44" s="44"/>
      <c r="P44" s="44"/>
      <c r="Q44" s="44" t="str">
        <v>Pam</v>
      </c>
      <c r="R44" s="44"/>
      <c r="S44" s="44"/>
      <c r="T44" s="44"/>
      <c r="U44" s="44"/>
      <c r="V44" s="44"/>
      <c r="W44" s="44" t="str">
        <v>Pam</v>
      </c>
      <c r="X44" s="44"/>
      <c r="Y44" s="44"/>
      <c r="Z44" s="44"/>
      <c r="AA44" s="44"/>
      <c r="AB44" s="44"/>
      <c r="AC44" s="44"/>
    </row>
    <row r="45" spans="1:29" s="43" customFormat="1" x14ac:dyDescent="0.3">
      <c r="A45" s="3"/>
      <c r="B45" s="117"/>
      <c r="C45" s="118"/>
      <c r="F45" s="4"/>
      <c r="J45" s="43" t="str">
        <v>Pam</v>
      </c>
      <c r="K45" s="44"/>
      <c r="L45" s="44"/>
      <c r="M45" s="44"/>
      <c r="N45" s="44"/>
      <c r="O45" s="44"/>
      <c r="P45" s="44"/>
      <c r="Q45" s="44" t="str">
        <v>Reinhard</v>
      </c>
      <c r="R45" s="44"/>
      <c r="S45" s="44"/>
      <c r="T45" s="44"/>
      <c r="U45" s="44"/>
      <c r="V45" s="44"/>
      <c r="W45" s="44" t="str">
        <v>Smartin</v>
      </c>
      <c r="X45" s="44"/>
      <c r="Y45" s="44"/>
      <c r="Z45" s="44"/>
      <c r="AA45" s="44"/>
      <c r="AB45" s="44"/>
      <c r="AC45" s="44"/>
    </row>
    <row r="46" spans="1:29" s="43" customFormat="1" x14ac:dyDescent="0.3">
      <c r="A46" s="3"/>
      <c r="F46" s="4"/>
      <c r="H46" s="44"/>
      <c r="I46" s="44"/>
      <c r="J46" s="44" t="str">
        <v>Reinhard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 t="str">
        <v>Riaan</v>
      </c>
      <c r="X46" s="44"/>
      <c r="Y46" s="44"/>
      <c r="Z46" s="44"/>
      <c r="AA46" s="44"/>
      <c r="AB46" s="44"/>
      <c r="AC46" s="44"/>
    </row>
    <row r="47" spans="1:29" s="43" customFormat="1" x14ac:dyDescent="0.3">
      <c r="A47" s="3"/>
      <c r="B47" s="13"/>
      <c r="C47" s="13"/>
      <c r="F47" s="4"/>
      <c r="H47" s="44"/>
      <c r="I47" s="44"/>
      <c r="J47" s="44" t="str">
        <v>Lee</v>
      </c>
      <c r="K47" s="44"/>
      <c r="L47" s="44"/>
      <c r="M47" s="44"/>
      <c r="N47" s="44"/>
      <c r="O47" s="44"/>
      <c r="P47" s="44"/>
      <c r="Q47" s="44"/>
      <c r="R47" s="44"/>
      <c r="S47" s="99"/>
      <c r="T47" s="44"/>
      <c r="U47" s="44"/>
      <c r="V47" s="44"/>
      <c r="W47" s="44"/>
      <c r="X47" s="44"/>
      <c r="Y47" s="44"/>
      <c r="Z47" s="44"/>
      <c r="AA47" s="44"/>
      <c r="AB47" s="44"/>
      <c r="AC47" s="44"/>
    </row>
    <row r="48" spans="1:29" s="43" customFormat="1" x14ac:dyDescent="0.3">
      <c r="A48" s="3"/>
      <c r="B48" s="117"/>
      <c r="C48" s="119"/>
      <c r="E48" s="119"/>
      <c r="F48" s="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</row>
    <row r="49" spans="1:38" s="43" customFormat="1" x14ac:dyDescent="0.3">
      <c r="A49" s="3"/>
      <c r="B49" s="117"/>
      <c r="C49" s="119"/>
      <c r="D49" s="117"/>
      <c r="E49" s="119"/>
      <c r="F49" s="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</row>
    <row r="50" spans="1:38" s="43" customFormat="1" x14ac:dyDescent="0.3">
      <c r="A50" s="3"/>
      <c r="B50" s="117"/>
      <c r="C50" s="119"/>
      <c r="D50" s="117"/>
      <c r="E50" s="119"/>
      <c r="F50" s="4"/>
      <c r="H50" s="44"/>
      <c r="I50" s="44"/>
      <c r="J50" s="44"/>
      <c r="K50" s="44"/>
      <c r="L50" s="44"/>
      <c r="M50" s="44"/>
      <c r="N50" s="44"/>
      <c r="O50" s="44"/>
      <c r="P50" s="44"/>
      <c r="R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</row>
    <row r="51" spans="1:38" s="43" customFormat="1" x14ac:dyDescent="0.3">
      <c r="A51" s="3"/>
      <c r="B51" s="117"/>
      <c r="C51" s="119"/>
      <c r="D51" s="117"/>
      <c r="E51" s="119"/>
      <c r="F51" s="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I51" s="17"/>
      <c r="AJ51" s="17"/>
      <c r="AK51" s="17"/>
      <c r="AL51" s="17"/>
    </row>
    <row r="52" spans="1:38" s="43" customFormat="1" x14ac:dyDescent="0.3">
      <c r="A52" s="3"/>
      <c r="B52" s="117"/>
      <c r="C52" s="119"/>
      <c r="D52" s="117"/>
      <c r="E52" s="119"/>
      <c r="F52" s="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110"/>
      <c r="AB52" s="17"/>
      <c r="AC52" s="17"/>
      <c r="AD52" s="17"/>
      <c r="AI52"/>
      <c r="AJ52"/>
      <c r="AK52" s="113"/>
      <c r="AL52" s="98"/>
    </row>
    <row r="53" spans="1:38" s="43" customFormat="1" x14ac:dyDescent="0.3">
      <c r="A53" s="3"/>
      <c r="B53" s="117"/>
      <c r="C53" s="119"/>
      <c r="D53" s="117"/>
      <c r="E53" s="119"/>
      <c r="F53" s="4"/>
      <c r="H53" s="44"/>
      <c r="I53" s="44"/>
      <c r="J53" s="44"/>
      <c r="K53" s="44"/>
      <c r="L53" s="44"/>
      <c r="M53" s="42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110"/>
      <c r="AB53"/>
      <c r="AC53" s="110"/>
      <c r="AD53"/>
      <c r="AI53"/>
      <c r="AJ53"/>
      <c r="AK53" s="113"/>
      <c r="AL53" s="98"/>
    </row>
    <row r="54" spans="1:38" s="43" customFormat="1" x14ac:dyDescent="0.3">
      <c r="A54" s="3"/>
      <c r="B54" s="117"/>
      <c r="C54" s="119"/>
      <c r="D54" s="117"/>
      <c r="E54" s="119"/>
      <c r="F54" s="4"/>
      <c r="H54" s="44"/>
      <c r="I54" s="44"/>
      <c r="J54" s="44"/>
      <c r="K54" s="44"/>
      <c r="L54" s="44"/>
      <c r="M54" s="42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110"/>
      <c r="AB54"/>
      <c r="AC54" s="110"/>
      <c r="AD54"/>
      <c r="AI54"/>
      <c r="AJ54"/>
      <c r="AK54" s="113"/>
      <c r="AL54" s="98"/>
    </row>
    <row r="55" spans="1:38" s="43" customFormat="1" x14ac:dyDescent="0.3">
      <c r="A55" s="3"/>
      <c r="B55" s="117"/>
      <c r="C55" s="119"/>
      <c r="D55" s="117"/>
      <c r="E55" s="119"/>
      <c r="F55" s="4"/>
      <c r="H55" s="44"/>
      <c r="I55" s="44"/>
      <c r="J55" s="44"/>
      <c r="K55" s="44"/>
      <c r="L55" s="44"/>
      <c r="M55" s="42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110"/>
      <c r="AB55"/>
      <c r="AC55" s="110"/>
      <c r="AD55"/>
      <c r="AI55"/>
      <c r="AJ55"/>
      <c r="AK55" s="113"/>
      <c r="AL55" s="98"/>
    </row>
    <row r="56" spans="1:38" s="43" customFormat="1" x14ac:dyDescent="0.3">
      <c r="A56" s="3"/>
      <c r="B56" s="117"/>
      <c r="C56" s="119"/>
      <c r="D56" s="117"/>
      <c r="E56" s="119"/>
      <c r="F56" s="4"/>
      <c r="H56" s="44"/>
      <c r="I56" s="44"/>
      <c r="J56" s="44"/>
      <c r="K56" s="44"/>
      <c r="L56" s="44"/>
      <c r="M56" s="42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110"/>
      <c r="AB56"/>
      <c r="AC56" s="110"/>
      <c r="AD56"/>
      <c r="AI56"/>
      <c r="AJ56"/>
      <c r="AK56" s="113"/>
      <c r="AL56" s="98"/>
    </row>
    <row r="57" spans="1:38" s="43" customFormat="1" x14ac:dyDescent="0.3">
      <c r="A57" s="3"/>
      <c r="B57" s="117"/>
      <c r="C57" s="119"/>
      <c r="D57" s="117"/>
      <c r="E57" s="119"/>
      <c r="F57" s="4"/>
      <c r="H57" s="44"/>
      <c r="I57" s="44"/>
      <c r="J57" s="44"/>
      <c r="K57" s="44"/>
      <c r="L57" s="44"/>
      <c r="M57" s="42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110"/>
      <c r="AB57"/>
      <c r="AC57" s="110"/>
      <c r="AD57"/>
      <c r="AI57"/>
      <c r="AJ57"/>
      <c r="AK57" s="113"/>
      <c r="AL57" s="98"/>
    </row>
    <row r="58" spans="1:38" s="43" customFormat="1" x14ac:dyDescent="0.3">
      <c r="A58" s="3"/>
      <c r="B58" s="117"/>
      <c r="C58" s="119"/>
      <c r="D58" s="117"/>
      <c r="E58" s="119"/>
      <c r="F58" s="4"/>
      <c r="H58" s="44"/>
      <c r="I58" s="44"/>
      <c r="J58" s="44"/>
      <c r="K58" s="44"/>
      <c r="L58" s="44"/>
      <c r="M58" s="42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110"/>
      <c r="AB58"/>
      <c r="AC58" s="110"/>
      <c r="AD58"/>
      <c r="AI58"/>
      <c r="AJ58"/>
      <c r="AK58" s="113"/>
      <c r="AL58" s="98"/>
    </row>
    <row r="59" spans="1:38" s="43" customFormat="1" x14ac:dyDescent="0.3">
      <c r="A59" s="3"/>
      <c r="B59" s="117"/>
      <c r="C59" s="119"/>
      <c r="D59" s="117"/>
      <c r="E59" s="119"/>
      <c r="F59" s="4"/>
      <c r="H59" s="44"/>
      <c r="I59" s="44"/>
      <c r="J59" s="44"/>
      <c r="K59" s="44"/>
      <c r="L59" s="44"/>
      <c r="M59" s="42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110"/>
      <c r="AB59" s="17"/>
      <c r="AC59" s="110"/>
      <c r="AD59"/>
      <c r="AI59"/>
      <c r="AJ59"/>
      <c r="AK59" s="113"/>
      <c r="AL59" s="98"/>
    </row>
    <row r="60" spans="1:38" s="43" customFormat="1" x14ac:dyDescent="0.3">
      <c r="A60" s="3"/>
      <c r="B60" s="117"/>
      <c r="C60" s="119"/>
      <c r="D60" s="117"/>
      <c r="E60" s="119"/>
      <c r="F60" s="4"/>
      <c r="H60" s="44"/>
      <c r="I60" s="44"/>
      <c r="J60" s="44"/>
      <c r="K60" s="44"/>
      <c r="L60" s="44"/>
      <c r="M60" s="42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110"/>
      <c r="AB60"/>
      <c r="AC60" s="110"/>
      <c r="AD60"/>
      <c r="AI60"/>
      <c r="AJ60"/>
      <c r="AK60" s="113"/>
      <c r="AL60" s="98"/>
    </row>
    <row r="61" spans="1:38" s="43" customFormat="1" x14ac:dyDescent="0.3">
      <c r="A61" s="3"/>
      <c r="B61" s="117"/>
      <c r="C61" s="119"/>
      <c r="D61" s="117"/>
      <c r="E61" s="119"/>
      <c r="F61" s="4"/>
      <c r="H61" s="44"/>
      <c r="I61" s="44"/>
      <c r="J61" s="44"/>
      <c r="K61" s="44"/>
      <c r="L61" s="44"/>
      <c r="M61" s="42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110"/>
      <c r="AB61"/>
      <c r="AC61" s="110"/>
      <c r="AD61"/>
      <c r="AI61"/>
      <c r="AJ61"/>
      <c r="AK61" s="113"/>
      <c r="AL61" s="98"/>
    </row>
    <row r="62" spans="1:38" s="43" customFormat="1" x14ac:dyDescent="0.3">
      <c r="A62" s="3"/>
      <c r="B62" s="117"/>
      <c r="C62" s="119"/>
      <c r="D62" s="117"/>
      <c r="E62" s="119"/>
      <c r="F62" s="4"/>
      <c r="H62" s="44"/>
      <c r="I62" s="44"/>
      <c r="J62" s="44"/>
      <c r="K62" s="44"/>
      <c r="L62" s="44"/>
      <c r="M62" s="42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110"/>
      <c r="AB62"/>
      <c r="AC62" s="110"/>
      <c r="AD62"/>
      <c r="AI62"/>
      <c r="AJ62"/>
      <c r="AK62" s="113"/>
      <c r="AL62" s="98"/>
    </row>
    <row r="63" spans="1:38" s="43" customFormat="1" x14ac:dyDescent="0.3">
      <c r="A63" s="3"/>
      <c r="B63" s="117"/>
      <c r="C63" s="119"/>
      <c r="D63" s="117"/>
      <c r="E63" s="119"/>
      <c r="F63" s="4"/>
      <c r="H63" s="44"/>
      <c r="I63" s="44"/>
      <c r="J63" s="44"/>
      <c r="K63" s="44"/>
      <c r="L63" s="44"/>
      <c r="M63" s="42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110"/>
      <c r="AB63"/>
      <c r="AC63"/>
      <c r="AD63"/>
      <c r="AI63"/>
      <c r="AJ63"/>
      <c r="AK63" s="113"/>
      <c r="AL63" s="98"/>
    </row>
    <row r="64" spans="1:38" s="43" customFormat="1" x14ac:dyDescent="0.3">
      <c r="A64" s="3"/>
      <c r="B64" s="117"/>
      <c r="C64" s="119"/>
      <c r="D64" s="117"/>
      <c r="E64" s="119"/>
      <c r="F64" s="4"/>
      <c r="H64" s="44"/>
      <c r="I64" s="44"/>
      <c r="J64" s="44"/>
      <c r="K64" s="44"/>
      <c r="L64" s="44"/>
      <c r="M64" s="42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110"/>
      <c r="AB64"/>
      <c r="AC64" s="110"/>
      <c r="AD64"/>
      <c r="AI64"/>
      <c r="AJ64"/>
      <c r="AK64" s="113"/>
      <c r="AL64" s="98"/>
    </row>
    <row r="65" spans="1:38" s="43" customFormat="1" x14ac:dyDescent="0.3">
      <c r="A65" s="3"/>
      <c r="B65" s="117"/>
      <c r="C65" s="119"/>
      <c r="D65" s="117"/>
      <c r="E65" s="119"/>
      <c r="F65" s="4"/>
      <c r="H65" s="44"/>
      <c r="I65" s="44"/>
      <c r="J65" s="44"/>
      <c r="K65" s="44"/>
      <c r="L65" s="44"/>
      <c r="M65" s="42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110"/>
      <c r="AB65"/>
      <c r="AC65" s="110"/>
      <c r="AD65"/>
      <c r="AI65"/>
      <c r="AJ65"/>
      <c r="AK65" s="113"/>
      <c r="AL65" s="98"/>
    </row>
    <row r="66" spans="1:38" s="43" customFormat="1" x14ac:dyDescent="0.3">
      <c r="A66" s="3"/>
      <c r="B66" s="117"/>
      <c r="C66" s="119"/>
      <c r="D66" s="117"/>
      <c r="E66" s="119"/>
      <c r="F66" s="4"/>
      <c r="H66" s="44"/>
      <c r="I66" s="44"/>
      <c r="J66" s="44"/>
      <c r="K66" s="44"/>
      <c r="L66" s="44"/>
      <c r="M66" s="42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110"/>
      <c r="AB66"/>
      <c r="AC66" s="110"/>
      <c r="AD66"/>
      <c r="AI66"/>
      <c r="AJ66"/>
      <c r="AK66" s="113"/>
      <c r="AL66" s="98"/>
    </row>
    <row r="67" spans="1:38" s="43" customFormat="1" x14ac:dyDescent="0.3">
      <c r="A67" s="3"/>
      <c r="B67" s="117"/>
      <c r="C67" s="119"/>
      <c r="E67" s="119"/>
      <c r="F67" s="4"/>
      <c r="H67" s="44"/>
      <c r="I67" s="44"/>
      <c r="J67" s="44"/>
      <c r="K67" s="44"/>
      <c r="L67" s="44"/>
      <c r="M67" s="42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110"/>
      <c r="AB67"/>
      <c r="AC67" s="110"/>
      <c r="AD67"/>
      <c r="AI67"/>
      <c r="AJ67"/>
      <c r="AK67" s="113"/>
      <c r="AL67" s="98"/>
    </row>
    <row r="68" spans="1:38" s="43" customFormat="1" x14ac:dyDescent="0.3">
      <c r="A68" s="3"/>
      <c r="F68" s="4"/>
      <c r="H68" s="44"/>
      <c r="I68" s="44"/>
      <c r="J68" s="44"/>
      <c r="K68" s="44"/>
      <c r="L68" s="44"/>
      <c r="M68" s="42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110"/>
      <c r="AB68"/>
      <c r="AC68" s="110"/>
      <c r="AD68"/>
      <c r="AI68"/>
      <c r="AJ68"/>
      <c r="AK68" s="113"/>
      <c r="AL68" s="98"/>
    </row>
    <row r="69" spans="1:38" s="43" customFormat="1" x14ac:dyDescent="0.3">
      <c r="A69" s="3"/>
      <c r="B69" s="120"/>
      <c r="C69" s="112"/>
      <c r="D69" s="97"/>
      <c r="F69" s="4"/>
      <c r="H69" s="44"/>
      <c r="I69" s="44"/>
      <c r="J69" s="44"/>
      <c r="K69" s="44"/>
      <c r="L69" s="44"/>
      <c r="M69" s="42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110"/>
      <c r="AB69"/>
      <c r="AC69" s="110"/>
      <c r="AD69"/>
      <c r="AI69"/>
      <c r="AJ69"/>
      <c r="AK69" s="113"/>
      <c r="AL69" s="98"/>
    </row>
    <row r="70" spans="1:38" s="43" customFormat="1" x14ac:dyDescent="0.3">
      <c r="A70" s="3"/>
      <c r="B70" s="120"/>
      <c r="C70" s="112"/>
      <c r="D70" s="97"/>
      <c r="F70" s="4"/>
      <c r="H70" s="44"/>
      <c r="I70" s="44"/>
      <c r="J70" s="44"/>
      <c r="K70" s="44"/>
      <c r="L70" s="44"/>
      <c r="M70" s="42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110"/>
      <c r="AB70"/>
      <c r="AC70" s="110"/>
      <c r="AD70"/>
      <c r="AI70"/>
      <c r="AJ70"/>
      <c r="AK70" s="113"/>
      <c r="AL70" s="98"/>
    </row>
    <row r="71" spans="1:38" s="43" customFormat="1" x14ac:dyDescent="0.3">
      <c r="A71" s="3"/>
      <c r="C71" s="112"/>
      <c r="D71" s="97"/>
      <c r="F71" s="4"/>
      <c r="H71" s="44"/>
      <c r="I71" s="44"/>
      <c r="J71" s="44"/>
      <c r="K71" s="44"/>
      <c r="L71" s="44"/>
      <c r="M71" s="42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110"/>
      <c r="AB71"/>
      <c r="AC71" s="110"/>
      <c r="AD71"/>
      <c r="AI71"/>
      <c r="AJ71"/>
      <c r="AK71" s="113"/>
      <c r="AL71" s="98"/>
    </row>
    <row r="72" spans="1:38" s="43" customFormat="1" x14ac:dyDescent="0.3">
      <c r="A72" s="3"/>
      <c r="C72" s="97"/>
      <c r="D72" s="97"/>
      <c r="F72" s="4"/>
      <c r="H72" s="44"/>
      <c r="I72" s="44"/>
      <c r="J72" s="44"/>
      <c r="K72" s="44"/>
      <c r="L72" s="44"/>
      <c r="M72" s="42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110"/>
      <c r="AB72"/>
      <c r="AC72"/>
      <c r="AD72"/>
      <c r="AI72"/>
      <c r="AJ72"/>
      <c r="AK72" s="113"/>
      <c r="AL72" s="98"/>
    </row>
    <row r="73" spans="1:38" s="43" customFormat="1" x14ac:dyDescent="0.3">
      <c r="A73" s="3"/>
      <c r="B73" s="120"/>
      <c r="C73" s="112"/>
      <c r="D73" s="97"/>
      <c r="F73" s="4"/>
      <c r="H73" s="44"/>
      <c r="I73" s="44"/>
      <c r="J73" s="44"/>
      <c r="K73" s="44"/>
      <c r="L73" s="44"/>
      <c r="M73" s="42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/>
      <c r="AB73"/>
      <c r="AC73" s="44"/>
      <c r="AI73"/>
      <c r="AJ73"/>
      <c r="AK73" s="113"/>
      <c r="AL73" s="98"/>
    </row>
    <row r="74" spans="1:38" s="43" customFormat="1" x14ac:dyDescent="0.3">
      <c r="A74" s="3"/>
      <c r="C74" s="112"/>
      <c r="D74" s="97"/>
      <c r="F74" s="4"/>
      <c r="H74" s="44"/>
      <c r="I74" s="44"/>
      <c r="J74" s="44"/>
      <c r="K74" s="44"/>
      <c r="L74" s="44"/>
      <c r="M74" s="42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I74"/>
      <c r="AJ74"/>
      <c r="AK74" s="113"/>
      <c r="AL74" s="98"/>
    </row>
    <row r="75" spans="1:38" s="43" customFormat="1" x14ac:dyDescent="0.3">
      <c r="A75" s="3"/>
      <c r="C75" s="97"/>
      <c r="D75" s="97"/>
      <c r="F75" s="4"/>
      <c r="H75" s="44"/>
      <c r="I75" s="44"/>
      <c r="J75" s="44"/>
      <c r="K75" s="44"/>
      <c r="L75" s="44"/>
      <c r="M75" s="42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I75"/>
      <c r="AJ75"/>
      <c r="AK75" s="113"/>
      <c r="AL75" s="98"/>
    </row>
    <row r="76" spans="1:38" s="43" customFormat="1" x14ac:dyDescent="0.3">
      <c r="A76" s="3"/>
      <c r="B76" s="120"/>
      <c r="C76" s="112"/>
      <c r="D76" s="97"/>
      <c r="F76" s="4"/>
      <c r="H76" s="44"/>
      <c r="I76" s="44"/>
      <c r="J76" s="44"/>
      <c r="K76" s="44"/>
      <c r="L76" s="44"/>
      <c r="M76" s="42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I76"/>
      <c r="AJ76"/>
      <c r="AK76" s="113"/>
      <c r="AL76" s="98"/>
    </row>
    <row r="77" spans="1:38" s="43" customFormat="1" x14ac:dyDescent="0.3">
      <c r="A77" s="3"/>
      <c r="C77" s="112"/>
      <c r="D77" s="97"/>
      <c r="F77" s="4"/>
      <c r="H77" s="44"/>
      <c r="I77" s="44"/>
      <c r="J77" s="44"/>
      <c r="K77" s="44"/>
      <c r="L77" s="44"/>
      <c r="M77" s="42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I77"/>
      <c r="AJ77"/>
      <c r="AK77" s="113"/>
      <c r="AL77" s="98"/>
    </row>
    <row r="78" spans="1:38" s="43" customFormat="1" x14ac:dyDescent="0.3">
      <c r="A78" s="3"/>
      <c r="C78" s="97"/>
      <c r="D78" s="97"/>
      <c r="F78" s="4"/>
      <c r="H78" s="44"/>
      <c r="I78" s="44"/>
      <c r="J78" s="44"/>
      <c r="K78" s="44"/>
      <c r="L78" s="44"/>
      <c r="M78" s="42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</row>
    <row r="79" spans="1:38" s="43" customFormat="1" x14ac:dyDescent="0.3">
      <c r="A79" s="3"/>
      <c r="B79" s="120"/>
      <c r="C79" s="112"/>
      <c r="D79" s="97"/>
      <c r="F79" s="4"/>
      <c r="H79" s="44"/>
      <c r="I79" s="44"/>
      <c r="J79" s="44"/>
      <c r="K79" s="44"/>
      <c r="L79" s="44"/>
      <c r="M79" s="42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</row>
    <row r="80" spans="1:38" s="43" customFormat="1" x14ac:dyDescent="0.3">
      <c r="A80" s="3"/>
      <c r="C80" s="112"/>
      <c r="D80" s="97"/>
      <c r="F80" s="4"/>
      <c r="H80" s="44"/>
      <c r="I80" s="44"/>
      <c r="J80" s="44"/>
      <c r="K80" s="44"/>
      <c r="L80" s="44"/>
      <c r="M80" s="42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</row>
    <row r="81" spans="1:29" s="43" customFormat="1" x14ac:dyDescent="0.3">
      <c r="A81" s="3"/>
      <c r="F81" s="4"/>
      <c r="H81" s="44"/>
      <c r="I81" s="44"/>
      <c r="J81" s="44"/>
      <c r="K81" s="44"/>
      <c r="L81" s="44"/>
      <c r="M81" s="42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</row>
    <row r="82" spans="1:29" s="43" customFormat="1" x14ac:dyDescent="0.3">
      <c r="A82" s="3"/>
      <c r="B82" s="120"/>
      <c r="C82" s="112"/>
      <c r="D82" s="97"/>
      <c r="F82" s="4"/>
      <c r="H82" s="44"/>
      <c r="I82" s="44"/>
      <c r="J82" s="44"/>
      <c r="K82" s="44"/>
      <c r="L82" s="44"/>
      <c r="M82" s="42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</row>
    <row r="83" spans="1:29" s="43" customFormat="1" x14ac:dyDescent="0.3">
      <c r="A83" s="3"/>
      <c r="C83" s="112"/>
      <c r="D83" s="97"/>
      <c r="F83" s="4"/>
      <c r="H83" s="44"/>
      <c r="I83" s="44"/>
      <c r="J83" s="44"/>
      <c r="K83" s="44"/>
      <c r="L83" s="44"/>
      <c r="M83" s="42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</row>
    <row r="84" spans="1:29" s="43" customFormat="1" x14ac:dyDescent="0.3">
      <c r="A84" s="3"/>
      <c r="C84" s="97"/>
      <c r="D84" s="97"/>
      <c r="F84" s="4"/>
      <c r="H84" s="44"/>
      <c r="I84" s="44"/>
      <c r="J84" s="44"/>
      <c r="K84" s="44"/>
      <c r="L84" s="44"/>
      <c r="M84" s="42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</row>
    <row r="85" spans="1:29" s="43" customFormat="1" x14ac:dyDescent="0.3">
      <c r="A85" s="3"/>
      <c r="B85" s="120"/>
      <c r="C85" s="112"/>
      <c r="D85" s="97"/>
      <c r="F85" s="4"/>
      <c r="H85" s="44"/>
      <c r="I85" s="44"/>
      <c r="J85" s="44"/>
      <c r="K85" s="44"/>
      <c r="L85" s="44"/>
      <c r="M85" s="42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</row>
    <row r="86" spans="1:29" s="43" customFormat="1" x14ac:dyDescent="0.3">
      <c r="A86" s="3"/>
      <c r="C86" s="112"/>
      <c r="D86" s="97"/>
      <c r="F86" s="4"/>
      <c r="H86" s="44"/>
      <c r="I86" s="44"/>
      <c r="J86" s="44"/>
      <c r="K86" s="44"/>
      <c r="L86" s="44"/>
      <c r="M86" s="42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</row>
    <row r="87" spans="1:29" s="43" customFormat="1" x14ac:dyDescent="0.3">
      <c r="A87" s="3"/>
      <c r="F87" s="4"/>
      <c r="H87" s="44"/>
      <c r="I87" s="44"/>
      <c r="J87" s="44"/>
      <c r="K87" s="44"/>
      <c r="L87" s="44"/>
      <c r="M87" s="42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</row>
    <row r="88" spans="1:29" s="43" customFormat="1" x14ac:dyDescent="0.3">
      <c r="A88" s="3"/>
      <c r="B88" s="120"/>
      <c r="C88" s="112"/>
      <c r="D88" s="97"/>
      <c r="F88" s="4"/>
      <c r="H88" s="44"/>
      <c r="I88" s="44"/>
      <c r="J88" s="44"/>
      <c r="K88" s="44"/>
      <c r="L88" s="44"/>
      <c r="M88" s="42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</row>
    <row r="89" spans="1:29" s="43" customFormat="1" x14ac:dyDescent="0.3">
      <c r="A89" s="3"/>
      <c r="C89" s="112">
        <f t="shared" ref="C89" si="1">C88</f>
        <v>0</v>
      </c>
      <c r="D89" s="97" t="e">
        <f>_xlfn.FORECAST.LINEAR(C89,$E$48:$E$49,$D$48:$D$49)</f>
        <v>#DIV/0!</v>
      </c>
      <c r="F89" s="4"/>
      <c r="H89" s="44"/>
      <c r="I89" s="44"/>
      <c r="J89" s="44"/>
      <c r="K89" s="44"/>
      <c r="L89" s="44"/>
      <c r="M89" s="42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</row>
    <row r="90" spans="1:29" s="43" customFormat="1" x14ac:dyDescent="0.3">
      <c r="A90" s="3"/>
      <c r="B90" s="72"/>
      <c r="C90" s="72"/>
      <c r="D90" s="72"/>
      <c r="E90" s="72"/>
      <c r="F90" s="103"/>
      <c r="G90" s="72"/>
      <c r="H90" s="73">
        <f>IF(MAX(Table15[Saudi Arabia - 19 March])=0,"",1)</f>
        <v>1</v>
      </c>
      <c r="I90" s="73">
        <f>IF(MAX(Table15[Australia - 2 April])=0,"",1)</f>
        <v>1</v>
      </c>
      <c r="J90" s="73">
        <f>IF(MAX(Table15[Azerbaijan - 30 April])=0,"",1)</f>
        <v>1</v>
      </c>
      <c r="K90" s="73">
        <f>IF(MAX(Table15[Miami - 7 May])=0,"",1)</f>
        <v>1</v>
      </c>
      <c r="L90" s="73">
        <v>1</v>
      </c>
      <c r="M90" s="73">
        <f>IF(MAX(Table15[Monaco - 28 May])=0,"",1)</f>
        <v>1</v>
      </c>
      <c r="N90" s="73">
        <f>IF(MAX(Table15[Spain - 4 June])=0,"",1)</f>
        <v>1</v>
      </c>
      <c r="O90" s="73">
        <f>IF(MAX(Table15[Canada - 18 June])=0,"",1)</f>
        <v>1</v>
      </c>
      <c r="P90" s="73">
        <f>IF(MAX(Table15[Austria - 2 July])=0,"",1)</f>
        <v>1</v>
      </c>
      <c r="Q90" s="73">
        <f>IF(MAX(Table15[Great Britain - 9 July])=0,"",1)</f>
        <v>1</v>
      </c>
      <c r="R90" s="73">
        <f>IF(MAX(Table15[Hungary - 23 July])=0,"",1)</f>
        <v>1</v>
      </c>
      <c r="S90" s="73">
        <f>IF(MAX(Table15[Belgium - 30 July])=0,"",1)</f>
        <v>1</v>
      </c>
      <c r="T90" s="73">
        <f>IF(MAX(Table15[Netherlands - 27 August])=0,"",1)</f>
        <v>1</v>
      </c>
      <c r="U90" s="73">
        <f>IF(MAX(Table15[Italy - 3 September])=0,"",1)</f>
        <v>1</v>
      </c>
      <c r="V90" s="73">
        <f>IF(MAX(Table15[Singapore - 17 September])=0,"",1)</f>
        <v>1</v>
      </c>
      <c r="W90" s="73">
        <f>IF(MAX(Table15[Japan - 24 September])=0,"",1)</f>
        <v>1</v>
      </c>
      <c r="X90" s="73">
        <f>IF(MAX(Table15[Qatar - 8 October])=0,"",1)</f>
        <v>1</v>
      </c>
      <c r="Y90" s="73">
        <f>IF(MAX(Table15[United States - 22 October])=0,"",1)</f>
        <v>1</v>
      </c>
      <c r="Z90" s="73">
        <f>IF(MAX(Table15[Mexico - 29 October])=0,"",1)</f>
        <v>1</v>
      </c>
      <c r="AA90" s="73">
        <f>IF(MAX(Table15[Brazil - 5 November])=0,"",1)</f>
        <v>1</v>
      </c>
      <c r="AB90" s="73">
        <f>IF(MAX(Table15[Las Vegas - 18 November])=0,"",1)</f>
        <v>1</v>
      </c>
      <c r="AC90" s="73">
        <f>IF(MAX(Table15[Abu Dhabi - 26 November])=0,"",1)</f>
        <v>1</v>
      </c>
    </row>
    <row r="91" spans="1:29" s="43" customFormat="1" x14ac:dyDescent="0.3">
      <c r="A91" s="3"/>
      <c r="B91" s="74" t="s">
        <v>80</v>
      </c>
      <c r="C91" s="74"/>
      <c r="D91" s="74"/>
      <c r="E91" s="74"/>
      <c r="F91" s="104"/>
      <c r="G91" s="75"/>
      <c r="H91" s="76">
        <v>1</v>
      </c>
      <c r="I91" s="76">
        <v>2</v>
      </c>
      <c r="J91" s="76">
        <v>3</v>
      </c>
      <c r="K91" s="76">
        <v>4</v>
      </c>
      <c r="L91" s="76">
        <v>5</v>
      </c>
      <c r="M91" s="76">
        <v>6</v>
      </c>
      <c r="N91" s="76">
        <v>7</v>
      </c>
      <c r="O91" s="76">
        <v>8</v>
      </c>
      <c r="P91" s="76">
        <v>9</v>
      </c>
      <c r="Q91" s="76">
        <v>10</v>
      </c>
      <c r="R91" s="76">
        <v>11</v>
      </c>
      <c r="S91" s="76">
        <v>12</v>
      </c>
      <c r="T91" s="76">
        <v>13</v>
      </c>
      <c r="U91" s="76">
        <v>14</v>
      </c>
      <c r="V91" s="76">
        <v>15</v>
      </c>
      <c r="W91" s="76">
        <v>16</v>
      </c>
      <c r="X91" s="76">
        <v>17</v>
      </c>
      <c r="Y91" s="76">
        <v>18</v>
      </c>
      <c r="Z91" s="76">
        <v>19</v>
      </c>
      <c r="AA91" s="76">
        <v>20</v>
      </c>
      <c r="AB91" s="76">
        <v>21</v>
      </c>
      <c r="AC91" s="76">
        <v>22</v>
      </c>
    </row>
    <row r="92" spans="1:29" s="43" customFormat="1" x14ac:dyDescent="0.3">
      <c r="A92" s="3"/>
      <c r="B92" s="72" t="str" cm="1">
        <f t="array" ref="B92:B117">_xlfn.UNIQUE(Table15[Name])</f>
        <v>Markus</v>
      </c>
      <c r="C92" s="72"/>
      <c r="D92" s="72"/>
      <c r="E92" s="72"/>
      <c r="F92" s="103"/>
      <c r="G92" s="77"/>
      <c r="H92" s="70" cm="1">
        <f t="array" ref="H92:H117">Table15[Saudi Arabia - 19 March]*H90</f>
        <v>9</v>
      </c>
      <c r="I92" s="70" cm="1">
        <f t="array" ref="I92:I117">IFERROR((_xlfn.ANCHORARRAY(H92)+Table15[Australia - 2 April])*I90,NA())</f>
        <v>13</v>
      </c>
      <c r="J92" s="70" cm="1">
        <f t="array" ref="J92:J117">IFERROR((_xlfn.ANCHORARRAY(I92)+Table15[Azerbaijan - 30 April])*J90,NA())</f>
        <v>38</v>
      </c>
      <c r="K92" s="70" cm="1">
        <f t="array" ref="K92:K117">IFERROR((_xlfn.ANCHORARRAY(J92)+Table15[Miami - 7 May])*K90,NA())</f>
        <v>47</v>
      </c>
      <c r="L92" s="70" cm="1">
        <f t="array" ref="L92:L117">IFERROR((_xlfn.ANCHORARRAY(K92)+Table15[Italy - 21 May])*L90,NA())</f>
        <v>47</v>
      </c>
      <c r="M92" s="70" cm="1">
        <f t="array" ref="M92:M117">IFERROR((_xlfn.ANCHORARRAY(L92)+Table15[Monaco - 28 May])*M90,NA())</f>
        <v>57</v>
      </c>
      <c r="N92" s="70" cm="1">
        <f t="array" ref="N92:N117">IFERROR((_xlfn.ANCHORARRAY(M92)+Table15[Spain - 4 June])*N90,NA())</f>
        <v>69</v>
      </c>
      <c r="O92" s="70" cm="1">
        <f t="array" ref="O92:O117">IFERROR((_xlfn.ANCHORARRAY(N92)+Table15[Canada - 18 June])*O90,NA())</f>
        <v>84</v>
      </c>
      <c r="P92" s="70" cm="1">
        <f t="array" ref="P92:P117">IFERROR((_xlfn.ANCHORARRAY(O92)+Table15[Austria - 2 July])*P90,NA())</f>
        <v>96.5</v>
      </c>
      <c r="Q92" s="70" cm="1">
        <f t="array" ref="Q92:Q117">IFERROR((_xlfn.ANCHORARRAY(P92)+Table15[Great Britain - 9 July])*Q90,NA())</f>
        <v>108.5</v>
      </c>
      <c r="R92" s="70" cm="1">
        <f t="array" ref="R92:R117">IFERROR((_xlfn.ANCHORARRAY(Q92)+Table15[Hungary - 23 July])*R90,NA())</f>
        <v>118.5</v>
      </c>
      <c r="S92" s="70" cm="1">
        <f t="array" ref="S92:S117">IFERROR((_xlfn.ANCHORARRAY(R92)+Table15[Belgium - 30 July])*S90,NA())</f>
        <v>133.5</v>
      </c>
      <c r="T92" s="70" cm="1">
        <f t="array" ref="T92:T117">IFERROR((_xlfn.ANCHORARRAY(S92)+Table15[Netherlands - 27 August])*T90,NA())</f>
        <v>151.5</v>
      </c>
      <c r="U92" s="70" cm="1">
        <f t="array" ref="U92:U117">IFERROR((_xlfn.ANCHORARRAY(T92)+Table15[Italy - 3 September])*U90,NA())</f>
        <v>164</v>
      </c>
      <c r="V92" s="70" cm="1">
        <f t="array" ref="V92:V117">IFERROR((_xlfn.ANCHORARRAY(U92)+Table15[Singapore - 17 September])*V90,NA())</f>
        <v>176.5</v>
      </c>
      <c r="W92" s="70" cm="1">
        <f t="array" ref="W92:W117">IFERROR((_xlfn.ANCHORARRAY(V92)+Table15[Japan - 24 September])*W90,NA())</f>
        <v>194.5</v>
      </c>
      <c r="X92" s="70" cm="1">
        <f t="array" ref="X92:X117">IFERROR((_xlfn.ANCHORARRAY(W92)+Table15[Qatar - 8 October])*X90,NA())</f>
        <v>206.5</v>
      </c>
      <c r="Y92" s="70" cm="1">
        <f t="array" ref="Y92:Y117">IFERROR((_xlfn.ANCHORARRAY(X92)+Table15[United States - 22 October])*Y90,NA())</f>
        <v>216.5</v>
      </c>
      <c r="Z92" s="70" cm="1">
        <f t="array" ref="Z92:Z117">IFERROR((_xlfn.ANCHORARRAY(Y92)+Table15[Mexico - 29 October])*Z90,NA())</f>
        <v>219.5</v>
      </c>
      <c r="AA92" s="70" cm="1">
        <f t="array" ref="AA92:AA117">IFERROR((_xlfn.ANCHORARRAY(Z92)+Table15[Brazil - 5 November])*AA90,NA())</f>
        <v>227.5</v>
      </c>
      <c r="AB92" s="70" cm="1">
        <f t="array" ref="AB92:AB117">IFERROR((_xlfn.ANCHORARRAY(AA92)+Table15[Las Vegas - 18 November])*AB90,NA())</f>
        <v>233.5</v>
      </c>
      <c r="AC92" s="70" cm="1">
        <f t="array" ref="AC92:AC117">IFERROR((_xlfn.ANCHORARRAY(AB92)+Table15[Abu Dhabi - 26 November])*AC90,NA())</f>
        <v>243.5</v>
      </c>
    </row>
    <row r="93" spans="1:29" s="43" customFormat="1" x14ac:dyDescent="0.3">
      <c r="A93" s="3"/>
      <c r="B93" s="72" t="str">
        <v>Kristel</v>
      </c>
      <c r="C93" s="72"/>
      <c r="D93" s="72"/>
      <c r="E93" s="72"/>
      <c r="F93" s="103"/>
      <c r="G93" s="72"/>
      <c r="H93" s="70">
        <v>3</v>
      </c>
      <c r="I93" s="70">
        <v>11</v>
      </c>
      <c r="J93" s="70">
        <v>26</v>
      </c>
      <c r="K93" s="70">
        <v>51</v>
      </c>
      <c r="L93" s="70">
        <v>51</v>
      </c>
      <c r="M93" s="70">
        <v>63.5</v>
      </c>
      <c r="N93" s="70">
        <v>69.5</v>
      </c>
      <c r="O93" s="70">
        <v>84.5</v>
      </c>
      <c r="P93" s="70">
        <v>109.5</v>
      </c>
      <c r="Q93" s="70">
        <v>109.5</v>
      </c>
      <c r="R93" s="70">
        <v>122</v>
      </c>
      <c r="S93" s="70">
        <v>137</v>
      </c>
      <c r="T93" s="70">
        <v>152</v>
      </c>
      <c r="U93" s="70">
        <v>162</v>
      </c>
      <c r="V93" s="70">
        <v>171</v>
      </c>
      <c r="W93" s="70">
        <v>189</v>
      </c>
      <c r="X93" s="70">
        <v>197</v>
      </c>
      <c r="Y93" s="70">
        <v>197</v>
      </c>
      <c r="Z93" s="70">
        <v>206</v>
      </c>
      <c r="AA93" s="70">
        <v>218.5</v>
      </c>
      <c r="AB93" s="70">
        <v>228.5</v>
      </c>
      <c r="AC93" s="70">
        <v>240.5</v>
      </c>
    </row>
    <row r="94" spans="1:29" s="43" customFormat="1" x14ac:dyDescent="0.3">
      <c r="A94" s="3"/>
      <c r="B94" s="72" t="str">
        <v>Suzzy B</v>
      </c>
      <c r="C94" s="72"/>
      <c r="D94" s="72"/>
      <c r="E94" s="72"/>
      <c r="F94" s="103"/>
      <c r="G94" s="72"/>
      <c r="H94" s="70">
        <v>25</v>
      </c>
      <c r="I94" s="70">
        <v>50</v>
      </c>
      <c r="J94" s="70">
        <v>55</v>
      </c>
      <c r="K94" s="70">
        <v>57</v>
      </c>
      <c r="L94" s="70">
        <v>57</v>
      </c>
      <c r="M94" s="70">
        <v>82</v>
      </c>
      <c r="N94" s="70">
        <v>91</v>
      </c>
      <c r="O94" s="70">
        <v>106</v>
      </c>
      <c r="P94" s="70">
        <v>107</v>
      </c>
      <c r="Q94" s="70">
        <v>119</v>
      </c>
      <c r="R94" s="70">
        <v>125</v>
      </c>
      <c r="S94" s="70">
        <v>150</v>
      </c>
      <c r="T94" s="70">
        <v>150</v>
      </c>
      <c r="U94" s="70">
        <v>160</v>
      </c>
      <c r="V94" s="70">
        <v>167.5</v>
      </c>
      <c r="W94" s="70">
        <v>175</v>
      </c>
      <c r="X94" s="70">
        <v>179</v>
      </c>
      <c r="Y94" s="70">
        <v>191</v>
      </c>
      <c r="Z94" s="70">
        <v>203</v>
      </c>
      <c r="AA94" s="70">
        <v>213</v>
      </c>
      <c r="AB94" s="70">
        <v>219</v>
      </c>
      <c r="AC94" s="70">
        <v>229</v>
      </c>
    </row>
    <row r="95" spans="1:29" s="43" customFormat="1" x14ac:dyDescent="0.3">
      <c r="A95" s="3"/>
      <c r="B95" s="72" t="str">
        <v>Wade</v>
      </c>
      <c r="C95" s="72"/>
      <c r="D95" s="72"/>
      <c r="E95" s="72"/>
      <c r="F95" s="103"/>
      <c r="G95" s="72"/>
      <c r="H95" s="70">
        <v>18</v>
      </c>
      <c r="I95" s="70">
        <v>43</v>
      </c>
      <c r="J95" s="70">
        <v>55.5</v>
      </c>
      <c r="K95" s="70">
        <v>67.5</v>
      </c>
      <c r="L95" s="70">
        <v>67.5</v>
      </c>
      <c r="M95" s="70">
        <v>76.5</v>
      </c>
      <c r="N95" s="70">
        <v>86.5</v>
      </c>
      <c r="O95" s="70">
        <v>95.5</v>
      </c>
      <c r="P95" s="70">
        <v>108</v>
      </c>
      <c r="Q95" s="70">
        <v>108</v>
      </c>
      <c r="R95" s="70">
        <v>114</v>
      </c>
      <c r="S95" s="70">
        <v>129</v>
      </c>
      <c r="T95" s="70">
        <v>136.5</v>
      </c>
      <c r="U95" s="70">
        <v>144</v>
      </c>
      <c r="V95" s="70">
        <v>169</v>
      </c>
      <c r="W95" s="70">
        <v>184</v>
      </c>
      <c r="X95" s="70">
        <v>194</v>
      </c>
      <c r="Y95" s="70">
        <v>200</v>
      </c>
      <c r="Z95" s="70">
        <v>207.5</v>
      </c>
      <c r="AA95" s="70">
        <v>208.5</v>
      </c>
      <c r="AB95" s="70">
        <v>213.5</v>
      </c>
      <c r="AC95" s="70">
        <v>225.5</v>
      </c>
    </row>
    <row r="96" spans="1:29" s="43" customFormat="1" x14ac:dyDescent="0.3">
      <c r="A96" s="3"/>
      <c r="B96" s="72" t="str">
        <v>Joshua</v>
      </c>
      <c r="C96" s="72"/>
      <c r="D96" s="72"/>
      <c r="E96" s="72"/>
      <c r="F96" s="103"/>
      <c r="G96" s="72"/>
      <c r="H96" s="70">
        <v>6</v>
      </c>
      <c r="I96" s="70">
        <v>31</v>
      </c>
      <c r="J96" s="70">
        <v>31.25</v>
      </c>
      <c r="K96" s="70">
        <v>43.25</v>
      </c>
      <c r="L96" s="70">
        <v>43.25</v>
      </c>
      <c r="M96" s="70">
        <v>43.75</v>
      </c>
      <c r="N96" s="70">
        <v>68.75</v>
      </c>
      <c r="O96" s="70">
        <v>76.25</v>
      </c>
      <c r="P96" s="70">
        <v>76.5</v>
      </c>
      <c r="Q96" s="70">
        <v>78.5</v>
      </c>
      <c r="R96" s="70">
        <v>91</v>
      </c>
      <c r="S96" s="70">
        <v>109</v>
      </c>
      <c r="T96" s="70">
        <v>127</v>
      </c>
      <c r="U96" s="70">
        <v>137</v>
      </c>
      <c r="V96" s="70">
        <v>152</v>
      </c>
      <c r="W96" s="70">
        <v>167</v>
      </c>
      <c r="X96" s="70">
        <v>175</v>
      </c>
      <c r="Y96" s="70">
        <v>187.5</v>
      </c>
      <c r="Z96" s="70">
        <v>187.75</v>
      </c>
      <c r="AA96" s="70">
        <v>212.75</v>
      </c>
      <c r="AB96" s="70">
        <v>213.25</v>
      </c>
      <c r="AC96" s="70">
        <v>218.25</v>
      </c>
    </row>
    <row r="97" spans="1:29" s="43" customFormat="1" x14ac:dyDescent="0.3">
      <c r="A97" s="3"/>
      <c r="B97" s="72" t="str">
        <v>Frank</v>
      </c>
      <c r="C97" s="72"/>
      <c r="D97" s="72"/>
      <c r="E97" s="72"/>
      <c r="F97" s="103"/>
      <c r="G97" s="72"/>
      <c r="H97" s="70">
        <v>0</v>
      </c>
      <c r="I97" s="70">
        <v>8</v>
      </c>
      <c r="J97" s="70">
        <v>33</v>
      </c>
      <c r="K97" s="70">
        <v>51</v>
      </c>
      <c r="L97" s="70">
        <v>51</v>
      </c>
      <c r="M97" s="70">
        <v>60</v>
      </c>
      <c r="N97" s="70">
        <v>60.5</v>
      </c>
      <c r="O97" s="70">
        <v>75.5</v>
      </c>
      <c r="P97" s="70">
        <v>100.5</v>
      </c>
      <c r="Q97" s="70">
        <v>100.5</v>
      </c>
      <c r="R97" s="70">
        <v>110.5</v>
      </c>
      <c r="S97" s="70">
        <v>128.5</v>
      </c>
      <c r="T97" s="70">
        <v>146.5</v>
      </c>
      <c r="U97" s="70">
        <v>154.5</v>
      </c>
      <c r="V97" s="70">
        <v>166.5</v>
      </c>
      <c r="W97" s="70">
        <v>166.5</v>
      </c>
      <c r="X97" s="70">
        <v>178.5</v>
      </c>
      <c r="Y97" s="70">
        <v>184.5</v>
      </c>
      <c r="Z97" s="70">
        <v>184.5</v>
      </c>
      <c r="AA97" s="70">
        <v>197</v>
      </c>
      <c r="AB97" s="70">
        <v>203</v>
      </c>
      <c r="AC97" s="70">
        <v>215</v>
      </c>
    </row>
    <row r="98" spans="1:29" s="43" customFormat="1" x14ac:dyDescent="0.3">
      <c r="A98" s="3"/>
      <c r="B98" s="72" t="str">
        <v>Jimbo</v>
      </c>
      <c r="C98" s="72"/>
      <c r="D98" s="72"/>
      <c r="E98" s="72"/>
      <c r="F98" s="103"/>
      <c r="G98" s="72"/>
      <c r="H98" s="70">
        <v>9</v>
      </c>
      <c r="I98" s="70">
        <v>9</v>
      </c>
      <c r="J98" s="70">
        <v>34</v>
      </c>
      <c r="K98" s="70">
        <v>52</v>
      </c>
      <c r="L98" s="70">
        <v>52</v>
      </c>
      <c r="M98" s="70">
        <v>70</v>
      </c>
      <c r="N98" s="70">
        <v>73</v>
      </c>
      <c r="O98" s="70">
        <v>80.5</v>
      </c>
      <c r="P98" s="70">
        <v>81.5</v>
      </c>
      <c r="Q98" s="70">
        <v>87.5</v>
      </c>
      <c r="R98" s="70">
        <v>99.5</v>
      </c>
      <c r="S98" s="70">
        <v>117.5</v>
      </c>
      <c r="T98" s="70">
        <v>132.5</v>
      </c>
      <c r="U98" s="70">
        <v>136.5</v>
      </c>
      <c r="V98" s="70">
        <v>139.5</v>
      </c>
      <c r="W98" s="70">
        <v>154.5</v>
      </c>
      <c r="X98" s="70">
        <v>166.5</v>
      </c>
      <c r="Y98" s="70">
        <v>178.5</v>
      </c>
      <c r="Z98" s="70">
        <v>186</v>
      </c>
      <c r="AA98" s="70">
        <v>188</v>
      </c>
      <c r="AB98" s="70">
        <v>197</v>
      </c>
      <c r="AC98" s="70">
        <v>203</v>
      </c>
    </row>
    <row r="99" spans="1:29" s="43" customFormat="1" x14ac:dyDescent="0.3">
      <c r="A99" s="3"/>
      <c r="B99" s="72" t="str">
        <v>Mike</v>
      </c>
      <c r="C99" s="72"/>
      <c r="D99" s="72"/>
      <c r="E99" s="72"/>
      <c r="F99" s="103"/>
      <c r="G99" s="72"/>
      <c r="H99" s="70">
        <v>25</v>
      </c>
      <c r="I99" s="70">
        <v>29</v>
      </c>
      <c r="J99" s="70">
        <v>39</v>
      </c>
      <c r="K99" s="70">
        <v>41</v>
      </c>
      <c r="L99" s="70">
        <v>41</v>
      </c>
      <c r="M99" s="70">
        <v>53.5</v>
      </c>
      <c r="N99" s="70">
        <v>66</v>
      </c>
      <c r="O99" s="70">
        <v>84</v>
      </c>
      <c r="P99" s="70">
        <v>91.5</v>
      </c>
      <c r="Q99" s="70">
        <v>97.5</v>
      </c>
      <c r="R99" s="70">
        <v>103.5</v>
      </c>
      <c r="S99" s="70">
        <v>116</v>
      </c>
      <c r="T99" s="70">
        <v>121</v>
      </c>
      <c r="U99" s="70">
        <v>126</v>
      </c>
      <c r="V99" s="70">
        <v>151</v>
      </c>
      <c r="W99" s="70">
        <v>161</v>
      </c>
      <c r="X99" s="70">
        <v>173</v>
      </c>
      <c r="Y99" s="70">
        <v>179</v>
      </c>
      <c r="Z99" s="70">
        <v>182</v>
      </c>
      <c r="AA99" s="70">
        <v>182</v>
      </c>
      <c r="AB99" s="70">
        <v>189.5</v>
      </c>
      <c r="AC99" s="70">
        <v>202</v>
      </c>
    </row>
    <row r="100" spans="1:29" s="43" customFormat="1" x14ac:dyDescent="0.3">
      <c r="A100" s="3"/>
      <c r="B100" s="72" t="str">
        <v>Nico SR</v>
      </c>
      <c r="C100" s="72"/>
      <c r="D100" s="72"/>
      <c r="E100" s="72"/>
      <c r="F100" s="103"/>
      <c r="G100" s="72"/>
      <c r="H100" s="70">
        <v>7.5</v>
      </c>
      <c r="I100" s="70">
        <v>11.5</v>
      </c>
      <c r="J100" s="70">
        <v>11.75</v>
      </c>
      <c r="K100" s="70">
        <v>17.75</v>
      </c>
      <c r="L100" s="70">
        <v>17.75</v>
      </c>
      <c r="M100" s="70">
        <v>35.75</v>
      </c>
      <c r="N100" s="70">
        <v>48.25</v>
      </c>
      <c r="O100" s="70">
        <v>54.25</v>
      </c>
      <c r="P100" s="70">
        <v>66.75</v>
      </c>
      <c r="Q100" s="70">
        <v>68.75</v>
      </c>
      <c r="R100" s="70">
        <v>93.75</v>
      </c>
      <c r="S100" s="70">
        <v>111.75</v>
      </c>
      <c r="T100" s="70">
        <v>126.75</v>
      </c>
      <c r="U100" s="70">
        <v>131.75</v>
      </c>
      <c r="V100" s="70">
        <v>135.75</v>
      </c>
      <c r="W100" s="70">
        <v>148.25</v>
      </c>
      <c r="X100" s="70">
        <v>158.25</v>
      </c>
      <c r="Y100" s="70">
        <v>162.25</v>
      </c>
      <c r="Z100" s="70">
        <v>170.25</v>
      </c>
      <c r="AA100" s="70">
        <v>173.25</v>
      </c>
      <c r="AB100" s="70">
        <v>188.25</v>
      </c>
      <c r="AC100" s="70">
        <v>200.75</v>
      </c>
    </row>
    <row r="101" spans="1:29" s="43" customFormat="1" x14ac:dyDescent="0.3">
      <c r="A101" s="3"/>
      <c r="B101" s="72" t="str">
        <v>Ilarie</v>
      </c>
      <c r="C101" s="72"/>
      <c r="D101" s="72"/>
      <c r="E101" s="72"/>
      <c r="F101" s="103"/>
      <c r="G101" s="72"/>
      <c r="H101" s="70">
        <v>10</v>
      </c>
      <c r="I101" s="70">
        <v>18</v>
      </c>
      <c r="J101" s="70">
        <v>22</v>
      </c>
      <c r="K101" s="70">
        <v>47</v>
      </c>
      <c r="L101" s="70">
        <v>47</v>
      </c>
      <c r="M101" s="70">
        <v>55</v>
      </c>
      <c r="N101" s="70">
        <v>65</v>
      </c>
      <c r="O101" s="70">
        <v>71</v>
      </c>
      <c r="P101" s="70">
        <v>86</v>
      </c>
      <c r="Q101" s="70">
        <v>86</v>
      </c>
      <c r="R101" s="70">
        <v>86</v>
      </c>
      <c r="S101" s="70">
        <v>111</v>
      </c>
      <c r="T101" s="70">
        <v>123</v>
      </c>
      <c r="U101" s="70">
        <v>127</v>
      </c>
      <c r="V101" s="70">
        <v>127</v>
      </c>
      <c r="W101" s="70">
        <v>127</v>
      </c>
      <c r="X101" s="70">
        <v>137</v>
      </c>
      <c r="Y101" s="70">
        <v>149</v>
      </c>
      <c r="Z101" s="70">
        <v>159</v>
      </c>
      <c r="AA101" s="70">
        <v>171.5</v>
      </c>
      <c r="AB101" s="70">
        <v>186.5</v>
      </c>
      <c r="AC101" s="70">
        <v>198.5</v>
      </c>
    </row>
    <row r="102" spans="1:29" s="43" customFormat="1" x14ac:dyDescent="0.3">
      <c r="A102" s="3"/>
      <c r="B102" s="72" t="str">
        <v>Oscar</v>
      </c>
      <c r="C102" s="72"/>
      <c r="D102" s="72"/>
      <c r="E102" s="72"/>
      <c r="F102" s="103"/>
      <c r="G102" s="72"/>
      <c r="H102" s="70">
        <v>6</v>
      </c>
      <c r="I102" s="70">
        <v>10</v>
      </c>
      <c r="J102" s="70">
        <v>35</v>
      </c>
      <c r="K102" s="70">
        <v>53</v>
      </c>
      <c r="L102" s="70">
        <v>53</v>
      </c>
      <c r="M102" s="70">
        <v>57</v>
      </c>
      <c r="N102" s="70">
        <v>57.5</v>
      </c>
      <c r="O102" s="70">
        <v>69.5</v>
      </c>
      <c r="P102" s="70">
        <v>94.5</v>
      </c>
      <c r="Q102" s="70">
        <v>106.5</v>
      </c>
      <c r="R102" s="70">
        <v>109.5</v>
      </c>
      <c r="S102" s="70">
        <v>124.5</v>
      </c>
      <c r="T102" s="70">
        <v>124.5</v>
      </c>
      <c r="U102" s="70">
        <v>124.5</v>
      </c>
      <c r="V102" s="70">
        <v>132.5</v>
      </c>
      <c r="W102" s="70">
        <v>142.5</v>
      </c>
      <c r="X102" s="70">
        <v>167.5</v>
      </c>
      <c r="Y102" s="70">
        <v>167.75</v>
      </c>
      <c r="Z102" s="70">
        <v>175.75</v>
      </c>
      <c r="AA102" s="70">
        <v>184.75</v>
      </c>
      <c r="AB102" s="70">
        <v>184.75</v>
      </c>
      <c r="AC102" s="70">
        <v>196.75</v>
      </c>
    </row>
    <row r="103" spans="1:29" s="43" customFormat="1" x14ac:dyDescent="0.3">
      <c r="A103" s="3"/>
      <c r="B103" s="72" t="str">
        <v>Deville</v>
      </c>
      <c r="C103" s="72"/>
      <c r="D103" s="72"/>
      <c r="E103" s="72"/>
      <c r="F103" s="103"/>
      <c r="G103" s="72"/>
      <c r="H103" s="70">
        <v>25</v>
      </c>
      <c r="I103" s="70">
        <v>50</v>
      </c>
      <c r="J103" s="70">
        <v>62.5</v>
      </c>
      <c r="K103" s="70">
        <v>63.5</v>
      </c>
      <c r="L103" s="70">
        <v>63.5</v>
      </c>
      <c r="M103" s="70">
        <v>64.5</v>
      </c>
      <c r="N103" s="70">
        <v>70.5</v>
      </c>
      <c r="O103" s="70">
        <v>85.5</v>
      </c>
      <c r="P103" s="70">
        <v>110.5</v>
      </c>
      <c r="Q103" s="70">
        <v>112.5</v>
      </c>
      <c r="R103" s="70">
        <v>112.5</v>
      </c>
      <c r="S103" s="70">
        <v>130.5</v>
      </c>
      <c r="T103" s="70">
        <v>138</v>
      </c>
      <c r="U103" s="70">
        <v>144</v>
      </c>
      <c r="V103" s="70">
        <v>147</v>
      </c>
      <c r="W103" s="70">
        <v>157</v>
      </c>
      <c r="X103" s="70">
        <v>163</v>
      </c>
      <c r="Y103" s="70">
        <v>169</v>
      </c>
      <c r="Z103" s="70">
        <v>184</v>
      </c>
      <c r="AA103" s="70">
        <v>189</v>
      </c>
      <c r="AB103" s="70">
        <v>190</v>
      </c>
      <c r="AC103" s="70">
        <v>196</v>
      </c>
    </row>
    <row r="104" spans="1:29" s="43" customFormat="1" x14ac:dyDescent="0.3">
      <c r="A104" s="3"/>
      <c r="B104" s="72" t="str">
        <v>Liz</v>
      </c>
      <c r="C104" s="72"/>
      <c r="D104" s="72"/>
      <c r="E104" s="72"/>
      <c r="F104" s="103"/>
      <c r="G104" s="72"/>
      <c r="H104" s="70">
        <v>12.5</v>
      </c>
      <c r="I104" s="70">
        <v>25</v>
      </c>
      <c r="J104" s="70">
        <v>30</v>
      </c>
      <c r="K104" s="70">
        <v>48</v>
      </c>
      <c r="L104" s="70">
        <v>48</v>
      </c>
      <c r="M104" s="70">
        <v>57</v>
      </c>
      <c r="N104" s="70">
        <v>69.5</v>
      </c>
      <c r="O104" s="70">
        <v>84.5</v>
      </c>
      <c r="P104" s="70">
        <v>85.5</v>
      </c>
      <c r="Q104" s="70">
        <v>97.5</v>
      </c>
      <c r="R104" s="70">
        <v>101.5</v>
      </c>
      <c r="S104" s="70">
        <v>113.5</v>
      </c>
      <c r="T104" s="70">
        <v>125.5</v>
      </c>
      <c r="U104" s="70">
        <v>129.5</v>
      </c>
      <c r="V104" s="70">
        <v>131.5</v>
      </c>
      <c r="W104" s="70">
        <v>146.5</v>
      </c>
      <c r="X104" s="70">
        <v>156.5</v>
      </c>
      <c r="Y104" s="70">
        <v>156.5</v>
      </c>
      <c r="Z104" s="70">
        <v>171.5</v>
      </c>
      <c r="AA104" s="70">
        <v>172</v>
      </c>
      <c r="AB104" s="70">
        <v>182</v>
      </c>
      <c r="AC104" s="70">
        <v>194</v>
      </c>
    </row>
    <row r="105" spans="1:29" s="43" customFormat="1" x14ac:dyDescent="0.3">
      <c r="A105" s="3"/>
      <c r="B105" s="72" t="str">
        <v>Nico JR</v>
      </c>
      <c r="C105" s="72"/>
      <c r="D105" s="72"/>
      <c r="E105" s="72"/>
      <c r="F105" s="103"/>
      <c r="G105" s="72"/>
      <c r="H105" s="70">
        <v>6</v>
      </c>
      <c r="I105" s="70">
        <v>6</v>
      </c>
      <c r="J105" s="70">
        <v>31</v>
      </c>
      <c r="K105" s="70">
        <v>40</v>
      </c>
      <c r="L105" s="70">
        <v>40</v>
      </c>
      <c r="M105" s="70">
        <v>44</v>
      </c>
      <c r="N105" s="70">
        <v>56.5</v>
      </c>
      <c r="O105" s="70">
        <v>62.5</v>
      </c>
      <c r="P105" s="70">
        <v>62.5</v>
      </c>
      <c r="Q105" s="70">
        <v>68.5</v>
      </c>
      <c r="R105" s="70">
        <v>80.5</v>
      </c>
      <c r="S105" s="70">
        <v>98.5</v>
      </c>
      <c r="T105" s="70">
        <v>104.5</v>
      </c>
      <c r="U105" s="70">
        <v>113.5</v>
      </c>
      <c r="V105" s="70">
        <v>116.5</v>
      </c>
      <c r="W105" s="70">
        <v>134.5</v>
      </c>
      <c r="X105" s="70">
        <v>142.5</v>
      </c>
      <c r="Y105" s="70">
        <v>148.5</v>
      </c>
      <c r="Z105" s="70">
        <v>156</v>
      </c>
      <c r="AA105" s="70">
        <v>168.5</v>
      </c>
      <c r="AB105" s="70">
        <v>173.5</v>
      </c>
      <c r="AC105" s="70">
        <v>185.5</v>
      </c>
    </row>
    <row r="106" spans="1:29" s="43" customFormat="1" x14ac:dyDescent="0.3">
      <c r="A106" s="3"/>
      <c r="B106" s="72" t="str">
        <v>Alida</v>
      </c>
      <c r="C106" s="72"/>
      <c r="D106" s="72"/>
      <c r="E106" s="72"/>
      <c r="F106" s="103"/>
      <c r="G106" s="72"/>
      <c r="H106" s="70">
        <v>18</v>
      </c>
      <c r="I106" s="70">
        <v>30.5</v>
      </c>
      <c r="J106" s="70">
        <v>40.5</v>
      </c>
      <c r="K106" s="70">
        <v>53</v>
      </c>
      <c r="L106" s="70">
        <v>53</v>
      </c>
      <c r="M106" s="70">
        <v>57</v>
      </c>
      <c r="N106" s="70">
        <v>63</v>
      </c>
      <c r="O106" s="70">
        <v>75</v>
      </c>
      <c r="P106" s="70">
        <v>76</v>
      </c>
      <c r="Q106" s="70">
        <v>78</v>
      </c>
      <c r="R106" s="70">
        <v>83</v>
      </c>
      <c r="S106" s="70">
        <v>95</v>
      </c>
      <c r="T106" s="70">
        <v>110</v>
      </c>
      <c r="U106" s="70">
        <v>110.25</v>
      </c>
      <c r="V106" s="70">
        <v>114.25</v>
      </c>
      <c r="W106" s="70">
        <v>126.75</v>
      </c>
      <c r="X106" s="70">
        <v>138.75</v>
      </c>
      <c r="Y106" s="70">
        <v>148.75</v>
      </c>
      <c r="Z106" s="70">
        <v>158.75</v>
      </c>
      <c r="AA106" s="70">
        <v>159.75</v>
      </c>
      <c r="AB106" s="70">
        <v>159.75</v>
      </c>
      <c r="AC106" s="70">
        <v>184.75</v>
      </c>
    </row>
    <row r="107" spans="1:29" s="43" customFormat="1" x14ac:dyDescent="0.3">
      <c r="A107" s="3"/>
      <c r="B107" s="72" t="str">
        <v>Jason</v>
      </c>
      <c r="C107" s="72"/>
      <c r="D107" s="72"/>
      <c r="E107" s="72"/>
      <c r="F107" s="103"/>
      <c r="G107" s="72"/>
      <c r="H107" s="70">
        <v>9</v>
      </c>
      <c r="I107" s="70">
        <v>21.5</v>
      </c>
      <c r="J107" s="70">
        <v>34</v>
      </c>
      <c r="K107" s="70">
        <v>39</v>
      </c>
      <c r="L107" s="70">
        <v>39</v>
      </c>
      <c r="M107" s="70">
        <v>39.5</v>
      </c>
      <c r="N107" s="70">
        <v>45.5</v>
      </c>
      <c r="O107" s="70">
        <v>60.5</v>
      </c>
      <c r="P107" s="70">
        <v>62.5</v>
      </c>
      <c r="Q107" s="70">
        <v>74.5</v>
      </c>
      <c r="R107" s="70">
        <v>79.5</v>
      </c>
      <c r="S107" s="70">
        <v>97.5</v>
      </c>
      <c r="T107" s="70">
        <v>112.5</v>
      </c>
      <c r="U107" s="70">
        <v>116.5</v>
      </c>
      <c r="V107" s="70">
        <v>131.5</v>
      </c>
      <c r="W107" s="70">
        <v>141.5</v>
      </c>
      <c r="X107" s="70">
        <v>145.5</v>
      </c>
      <c r="Y107" s="70">
        <v>151.5</v>
      </c>
      <c r="Z107" s="70">
        <v>159.5</v>
      </c>
      <c r="AA107" s="70">
        <v>177.5</v>
      </c>
      <c r="AB107" s="70">
        <v>183.5</v>
      </c>
      <c r="AC107" s="70">
        <v>183.5</v>
      </c>
    </row>
    <row r="108" spans="1:29" s="43" customFormat="1" x14ac:dyDescent="0.3">
      <c r="A108" s="3"/>
      <c r="B108" s="72" t="str">
        <v>PJ</v>
      </c>
      <c r="C108" s="72"/>
      <c r="D108" s="72"/>
      <c r="E108" s="72"/>
      <c r="F108" s="103"/>
      <c r="G108" s="72"/>
      <c r="H108" s="70">
        <v>0</v>
      </c>
      <c r="I108" s="70">
        <v>7.5</v>
      </c>
      <c r="J108" s="70">
        <v>32.5</v>
      </c>
      <c r="K108" s="70">
        <v>44.5</v>
      </c>
      <c r="L108" s="70">
        <v>44.5</v>
      </c>
      <c r="M108" s="70">
        <v>45</v>
      </c>
      <c r="N108" s="70">
        <v>57</v>
      </c>
      <c r="O108" s="70">
        <v>63</v>
      </c>
      <c r="P108" s="70">
        <v>64</v>
      </c>
      <c r="Q108" s="70">
        <v>65</v>
      </c>
      <c r="R108" s="70">
        <v>68</v>
      </c>
      <c r="S108" s="70">
        <v>86</v>
      </c>
      <c r="T108" s="70">
        <v>101</v>
      </c>
      <c r="U108" s="70">
        <v>105</v>
      </c>
      <c r="V108" s="70">
        <v>107</v>
      </c>
      <c r="W108" s="70">
        <v>125</v>
      </c>
      <c r="X108" s="70">
        <v>133</v>
      </c>
      <c r="Y108" s="70">
        <v>137</v>
      </c>
      <c r="Z108" s="70">
        <v>141</v>
      </c>
      <c r="AA108" s="70">
        <v>142</v>
      </c>
      <c r="AB108" s="70">
        <v>152</v>
      </c>
      <c r="AC108" s="70">
        <v>177</v>
      </c>
    </row>
    <row r="109" spans="1:29" s="43" customFormat="1" x14ac:dyDescent="0.3">
      <c r="A109" s="3"/>
      <c r="B109" s="72" t="str">
        <v>Bernd</v>
      </c>
      <c r="C109" s="72"/>
      <c r="D109" s="72"/>
      <c r="E109" s="72"/>
      <c r="F109" s="103"/>
      <c r="G109" s="72"/>
      <c r="H109" s="70">
        <v>0</v>
      </c>
      <c r="I109" s="70">
        <v>0</v>
      </c>
      <c r="J109" s="70">
        <v>6</v>
      </c>
      <c r="K109" s="70">
        <v>11</v>
      </c>
      <c r="L109" s="70">
        <v>11</v>
      </c>
      <c r="M109" s="70">
        <v>18.5</v>
      </c>
      <c r="N109" s="70">
        <v>43.5</v>
      </c>
      <c r="O109" s="70">
        <v>58.5</v>
      </c>
      <c r="P109" s="70">
        <v>71</v>
      </c>
      <c r="Q109" s="70">
        <v>80</v>
      </c>
      <c r="R109" s="70">
        <v>92.5</v>
      </c>
      <c r="S109" s="70">
        <v>107.5</v>
      </c>
      <c r="T109" s="70">
        <v>107.5</v>
      </c>
      <c r="U109" s="70">
        <v>107.5</v>
      </c>
      <c r="V109" s="70">
        <v>115.5</v>
      </c>
      <c r="W109" s="70">
        <v>133.5</v>
      </c>
      <c r="X109" s="70">
        <v>148.5</v>
      </c>
      <c r="Y109" s="70">
        <v>152.5</v>
      </c>
      <c r="Z109" s="70">
        <v>160</v>
      </c>
      <c r="AA109" s="70">
        <v>160</v>
      </c>
      <c r="AB109" s="70">
        <v>160.25</v>
      </c>
      <c r="AC109" s="70">
        <v>172.75</v>
      </c>
    </row>
    <row r="110" spans="1:29" s="43" customFormat="1" x14ac:dyDescent="0.3">
      <c r="A110" s="3"/>
      <c r="B110" s="72" t="str">
        <v>Pam</v>
      </c>
      <c r="C110" s="72"/>
      <c r="D110" s="72"/>
      <c r="E110" s="72"/>
      <c r="F110" s="103"/>
      <c r="G110" s="72"/>
      <c r="H110" s="70">
        <v>0</v>
      </c>
      <c r="I110" s="70">
        <v>8</v>
      </c>
      <c r="J110" s="70">
        <v>33</v>
      </c>
      <c r="K110" s="70">
        <v>37</v>
      </c>
      <c r="L110" s="70">
        <v>37</v>
      </c>
      <c r="M110" s="70">
        <v>38</v>
      </c>
      <c r="N110" s="70">
        <v>40</v>
      </c>
      <c r="O110" s="70">
        <v>55</v>
      </c>
      <c r="P110" s="70">
        <v>55</v>
      </c>
      <c r="Q110" s="70">
        <v>67</v>
      </c>
      <c r="R110" s="70">
        <v>72</v>
      </c>
      <c r="S110" s="70">
        <v>90</v>
      </c>
      <c r="T110" s="70">
        <v>94</v>
      </c>
      <c r="U110" s="70">
        <v>99</v>
      </c>
      <c r="V110" s="70">
        <v>102</v>
      </c>
      <c r="W110" s="70">
        <v>120</v>
      </c>
      <c r="X110" s="70">
        <v>130</v>
      </c>
      <c r="Y110" s="70">
        <v>136</v>
      </c>
      <c r="Z110" s="70">
        <v>151</v>
      </c>
      <c r="AA110" s="70">
        <v>156</v>
      </c>
      <c r="AB110" s="70">
        <v>166</v>
      </c>
      <c r="AC110" s="70">
        <v>169</v>
      </c>
    </row>
    <row r="111" spans="1:29" s="43" customFormat="1" x14ac:dyDescent="0.3">
      <c r="A111" s="3"/>
      <c r="B111" s="72" t="str">
        <v>Reinhard</v>
      </c>
      <c r="C111" s="72"/>
      <c r="D111" s="72"/>
      <c r="E111" s="72"/>
      <c r="F111" s="103"/>
      <c r="G111" s="72"/>
      <c r="H111" s="70">
        <v>5</v>
      </c>
      <c r="I111" s="70">
        <v>5</v>
      </c>
      <c r="J111" s="70">
        <v>30</v>
      </c>
      <c r="K111" s="70">
        <v>39</v>
      </c>
      <c r="L111" s="70">
        <v>39</v>
      </c>
      <c r="M111" s="70">
        <v>57</v>
      </c>
      <c r="N111" s="70">
        <v>57</v>
      </c>
      <c r="O111" s="70">
        <v>72</v>
      </c>
      <c r="P111" s="70">
        <v>74</v>
      </c>
      <c r="Q111" s="70">
        <v>86</v>
      </c>
      <c r="R111" s="70">
        <v>96</v>
      </c>
      <c r="S111" s="70">
        <v>114</v>
      </c>
      <c r="T111" s="70">
        <v>118</v>
      </c>
      <c r="U111" s="70">
        <v>127</v>
      </c>
      <c r="V111" s="70">
        <v>129</v>
      </c>
      <c r="W111" s="70">
        <v>139</v>
      </c>
      <c r="X111" s="70">
        <v>145</v>
      </c>
      <c r="Y111" s="70">
        <v>145</v>
      </c>
      <c r="Z111" s="70">
        <v>157.5</v>
      </c>
      <c r="AA111" s="70">
        <v>157.5</v>
      </c>
      <c r="AB111" s="70">
        <v>158.5</v>
      </c>
      <c r="AC111" s="70">
        <v>164.5</v>
      </c>
    </row>
    <row r="112" spans="1:29" s="43" customFormat="1" x14ac:dyDescent="0.3">
      <c r="A112" s="3"/>
      <c r="B112" s="72" t="str">
        <v>Liam</v>
      </c>
      <c r="C112" s="72"/>
      <c r="D112" s="72"/>
      <c r="E112" s="72"/>
      <c r="F112" s="103"/>
      <c r="G112" s="72"/>
      <c r="H112" s="70">
        <v>0</v>
      </c>
      <c r="I112" s="70">
        <v>12.5</v>
      </c>
      <c r="J112" s="70">
        <v>20</v>
      </c>
      <c r="K112" s="70">
        <v>23</v>
      </c>
      <c r="L112" s="70">
        <v>23</v>
      </c>
      <c r="M112" s="70">
        <v>41</v>
      </c>
      <c r="N112" s="70">
        <v>45</v>
      </c>
      <c r="O112" s="70">
        <v>46</v>
      </c>
      <c r="P112" s="70">
        <v>58.5</v>
      </c>
      <c r="Q112" s="70">
        <v>60.5</v>
      </c>
      <c r="R112" s="70">
        <v>60.5</v>
      </c>
      <c r="S112" s="70">
        <v>85.5</v>
      </c>
      <c r="T112" s="70">
        <v>100.5</v>
      </c>
      <c r="U112" s="70">
        <v>110.5</v>
      </c>
      <c r="V112" s="70">
        <v>114.5</v>
      </c>
      <c r="W112" s="70">
        <v>129.5</v>
      </c>
      <c r="X112" s="70">
        <v>141.5</v>
      </c>
      <c r="Y112" s="70">
        <v>141.5</v>
      </c>
      <c r="Z112" s="70">
        <v>149</v>
      </c>
      <c r="AA112" s="70">
        <v>149</v>
      </c>
      <c r="AB112" s="70">
        <v>155</v>
      </c>
      <c r="AC112" s="70">
        <v>158</v>
      </c>
    </row>
    <row r="113" spans="1:29" s="43" customFormat="1" x14ac:dyDescent="0.3">
      <c r="A113" s="3"/>
      <c r="B113" s="72" t="str">
        <v>Lee</v>
      </c>
      <c r="C113" s="72"/>
      <c r="D113" s="72"/>
      <c r="E113" s="72"/>
      <c r="F113" s="103"/>
      <c r="G113" s="72"/>
      <c r="H113" s="70">
        <v>0.5</v>
      </c>
      <c r="I113" s="70">
        <v>0.5</v>
      </c>
      <c r="J113" s="70">
        <v>25.5</v>
      </c>
      <c r="K113" s="70">
        <v>34.5</v>
      </c>
      <c r="L113" s="70">
        <v>34.5</v>
      </c>
      <c r="M113" s="70">
        <v>35</v>
      </c>
      <c r="N113" s="70">
        <v>40</v>
      </c>
      <c r="O113" s="70">
        <v>46</v>
      </c>
      <c r="P113" s="70">
        <v>53.5</v>
      </c>
      <c r="Q113" s="70">
        <v>53.5</v>
      </c>
      <c r="R113" s="70">
        <v>59.5</v>
      </c>
      <c r="S113" s="70">
        <v>84.5</v>
      </c>
      <c r="T113" s="70">
        <v>102.5</v>
      </c>
      <c r="U113" s="70">
        <v>107.5</v>
      </c>
      <c r="V113" s="70">
        <v>111.5</v>
      </c>
      <c r="W113" s="70">
        <v>121.5</v>
      </c>
      <c r="X113" s="70">
        <v>125.5</v>
      </c>
      <c r="Y113" s="70">
        <v>125.5</v>
      </c>
      <c r="Z113" s="70">
        <v>140.5</v>
      </c>
      <c r="AA113" s="70">
        <v>144.5</v>
      </c>
      <c r="AB113" s="70">
        <v>145.5</v>
      </c>
      <c r="AC113" s="70">
        <v>157.5</v>
      </c>
    </row>
    <row r="114" spans="1:29" s="43" customFormat="1" x14ac:dyDescent="0.3">
      <c r="A114" s="3"/>
      <c r="B114" s="72" t="str">
        <v>Petra</v>
      </c>
      <c r="C114" s="72"/>
      <c r="D114" s="72"/>
      <c r="E114" s="72"/>
      <c r="F114" s="103"/>
      <c r="G114" s="72"/>
      <c r="H114" s="70">
        <v>10</v>
      </c>
      <c r="I114" s="70">
        <v>14</v>
      </c>
      <c r="J114" s="70">
        <v>19</v>
      </c>
      <c r="K114" s="70">
        <v>37</v>
      </c>
      <c r="L114" s="70">
        <v>37</v>
      </c>
      <c r="M114" s="70">
        <v>38</v>
      </c>
      <c r="N114" s="70">
        <v>44</v>
      </c>
      <c r="O114" s="70">
        <v>56</v>
      </c>
      <c r="P114" s="70">
        <v>57</v>
      </c>
      <c r="Q114" s="70">
        <v>57</v>
      </c>
      <c r="R114" s="70">
        <v>64.5</v>
      </c>
      <c r="S114" s="70">
        <v>79.5</v>
      </c>
      <c r="T114" s="70">
        <v>79.5</v>
      </c>
      <c r="U114" s="70">
        <v>83.5</v>
      </c>
      <c r="V114" s="70">
        <v>91.5</v>
      </c>
      <c r="W114" s="70">
        <v>91.5</v>
      </c>
      <c r="X114" s="70">
        <v>99.5</v>
      </c>
      <c r="Y114" s="70">
        <v>117.5</v>
      </c>
      <c r="Z114" s="70">
        <v>125.5</v>
      </c>
      <c r="AA114" s="70">
        <v>126.5</v>
      </c>
      <c r="AB114" s="70">
        <v>134</v>
      </c>
      <c r="AC114" s="70">
        <v>139</v>
      </c>
    </row>
    <row r="115" spans="1:29" s="43" customFormat="1" x14ac:dyDescent="0.3">
      <c r="A115" s="3"/>
      <c r="B115" s="72" t="str">
        <v>Smartin</v>
      </c>
      <c r="C115" s="72"/>
      <c r="D115" s="72"/>
      <c r="E115" s="72"/>
      <c r="F115" s="103"/>
      <c r="G115" s="72"/>
      <c r="H115" s="70">
        <v>0</v>
      </c>
      <c r="I115" s="70">
        <v>0</v>
      </c>
      <c r="J115" s="70">
        <v>0.5</v>
      </c>
      <c r="K115" s="70">
        <v>6.5</v>
      </c>
      <c r="L115" s="70">
        <v>6.5</v>
      </c>
      <c r="M115" s="70">
        <v>14</v>
      </c>
      <c r="N115" s="70">
        <v>29</v>
      </c>
      <c r="O115" s="70">
        <v>35</v>
      </c>
      <c r="P115" s="70">
        <v>37</v>
      </c>
      <c r="Q115" s="70">
        <v>39</v>
      </c>
      <c r="R115" s="70">
        <v>45</v>
      </c>
      <c r="S115" s="70">
        <v>45</v>
      </c>
      <c r="T115" s="70">
        <v>57</v>
      </c>
      <c r="U115" s="70">
        <v>65</v>
      </c>
      <c r="V115" s="70">
        <v>72.5</v>
      </c>
      <c r="W115" s="70">
        <v>90.5</v>
      </c>
      <c r="X115" s="70">
        <v>98</v>
      </c>
      <c r="Y115" s="70">
        <v>108</v>
      </c>
      <c r="Z115" s="70">
        <v>117</v>
      </c>
      <c r="AA115" s="70">
        <v>123</v>
      </c>
      <c r="AB115" s="70">
        <v>123</v>
      </c>
      <c r="AC115" s="70">
        <v>129</v>
      </c>
    </row>
    <row r="116" spans="1:29" s="43" customFormat="1" x14ac:dyDescent="0.3">
      <c r="A116" s="3"/>
      <c r="B116" s="72" t="str">
        <v>Riaan</v>
      </c>
      <c r="C116" s="72"/>
      <c r="D116" s="72"/>
      <c r="E116" s="72"/>
      <c r="F116" s="103"/>
      <c r="G116" s="72"/>
      <c r="H116" s="71">
        <v>0</v>
      </c>
      <c r="I116" s="70">
        <v>0</v>
      </c>
      <c r="J116" s="70">
        <v>0</v>
      </c>
      <c r="K116" s="70">
        <v>0</v>
      </c>
      <c r="L116" s="70">
        <v>0</v>
      </c>
      <c r="M116" s="70">
        <v>25</v>
      </c>
      <c r="N116" s="70">
        <v>34</v>
      </c>
      <c r="O116" s="70">
        <v>49</v>
      </c>
      <c r="P116" s="70">
        <v>51</v>
      </c>
      <c r="Q116" s="70">
        <v>54</v>
      </c>
      <c r="R116" s="70">
        <v>55</v>
      </c>
      <c r="S116" s="70">
        <v>80</v>
      </c>
      <c r="T116" s="70">
        <v>80</v>
      </c>
      <c r="U116" s="70">
        <v>80</v>
      </c>
      <c r="V116" s="70">
        <v>80</v>
      </c>
      <c r="W116" s="70">
        <v>98</v>
      </c>
      <c r="X116" s="70">
        <v>101</v>
      </c>
      <c r="Y116" s="70">
        <v>101</v>
      </c>
      <c r="Z116" s="70">
        <v>101</v>
      </c>
      <c r="AA116" s="70">
        <v>101</v>
      </c>
      <c r="AB116" s="70">
        <v>101</v>
      </c>
      <c r="AC116" s="70">
        <v>111</v>
      </c>
    </row>
    <row r="117" spans="1:29" s="43" customFormat="1" x14ac:dyDescent="0.3">
      <c r="A117" s="3"/>
      <c r="B117" s="72" t="str">
        <v>Clarice</v>
      </c>
      <c r="C117" s="72"/>
      <c r="D117" s="72"/>
      <c r="E117" s="72"/>
      <c r="F117" s="103"/>
      <c r="G117" s="72"/>
      <c r="H117" s="71">
        <v>9</v>
      </c>
      <c r="I117" s="70">
        <v>16.5</v>
      </c>
      <c r="J117" s="70">
        <v>24</v>
      </c>
      <c r="K117" s="70">
        <v>33</v>
      </c>
      <c r="L117" s="70">
        <v>33</v>
      </c>
      <c r="M117" s="70">
        <v>37</v>
      </c>
      <c r="N117" s="70">
        <v>62</v>
      </c>
      <c r="O117" s="70">
        <v>64</v>
      </c>
      <c r="P117" s="70">
        <v>64</v>
      </c>
      <c r="Q117" s="70">
        <v>64</v>
      </c>
      <c r="R117" s="70">
        <v>74</v>
      </c>
      <c r="S117" s="70">
        <v>74</v>
      </c>
      <c r="T117" s="70">
        <v>74</v>
      </c>
      <c r="U117" s="70">
        <v>74</v>
      </c>
      <c r="V117" s="70">
        <v>74</v>
      </c>
      <c r="W117" s="70">
        <v>74</v>
      </c>
      <c r="X117" s="70">
        <v>74</v>
      </c>
      <c r="Y117" s="70">
        <v>74</v>
      </c>
      <c r="Z117" s="70">
        <v>74</v>
      </c>
      <c r="AA117" s="70">
        <v>74</v>
      </c>
      <c r="AB117" s="70">
        <v>74</v>
      </c>
      <c r="AC117" s="70">
        <v>74</v>
      </c>
    </row>
    <row r="118" spans="1:29" s="43" customFormat="1" x14ac:dyDescent="0.3">
      <c r="A118" s="3"/>
      <c r="F118" s="4"/>
      <c r="H118" s="71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</row>
    <row r="119" spans="1:29" s="43" customFormat="1" x14ac:dyDescent="0.3">
      <c r="A119" s="3"/>
      <c r="F119" s="4"/>
      <c r="H119" s="45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</row>
    <row r="120" spans="1:29" s="43" customFormat="1" x14ac:dyDescent="0.3">
      <c r="A120" s="3"/>
      <c r="F120" s="4"/>
      <c r="H120" s="45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</row>
    <row r="121" spans="1:29" s="43" customFormat="1" x14ac:dyDescent="0.3">
      <c r="A121" s="3"/>
      <c r="F121" s="4"/>
      <c r="H121" s="45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</row>
    <row r="122" spans="1:29" s="43" customFormat="1" x14ac:dyDescent="0.3">
      <c r="A122" s="3"/>
      <c r="F122" s="4"/>
      <c r="H122" s="45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</row>
    <row r="123" spans="1:29" s="43" customFormat="1" x14ac:dyDescent="0.3">
      <c r="A123" s="3"/>
      <c r="F123" s="4"/>
      <c r="H123" s="45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</row>
    <row r="124" spans="1:29" s="43" customFormat="1" x14ac:dyDescent="0.3">
      <c r="A124" s="3"/>
      <c r="F124" s="4"/>
      <c r="H124" s="45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</row>
    <row r="125" spans="1:29" s="43" customFormat="1" x14ac:dyDescent="0.3">
      <c r="A125" s="3"/>
      <c r="F125" s="4"/>
      <c r="H125" s="45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</row>
    <row r="126" spans="1:29" s="43" customFormat="1" x14ac:dyDescent="0.3">
      <c r="A126" s="3"/>
      <c r="F126" s="4"/>
      <c r="H126" s="45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</row>
    <row r="127" spans="1:29" s="43" customFormat="1" x14ac:dyDescent="0.3">
      <c r="A127" s="3"/>
      <c r="F127" s="4"/>
      <c r="H127" s="45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</row>
    <row r="128" spans="1:29" x14ac:dyDescent="0.3">
      <c r="B128" s="43"/>
      <c r="C128" s="43"/>
      <c r="D128" s="43"/>
      <c r="E128" s="43"/>
      <c r="G128" s="43"/>
      <c r="H128" s="45"/>
      <c r="I128" s="43"/>
      <c r="J128" s="43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</row>
    <row r="129" spans="7:10" x14ac:dyDescent="0.3">
      <c r="G129"/>
      <c r="H129" s="3"/>
      <c r="I129"/>
      <c r="J129" s="5"/>
    </row>
    <row r="130" spans="7:10" x14ac:dyDescent="0.3">
      <c r="G130"/>
      <c r="H130" s="3"/>
      <c r="I130"/>
      <c r="J130" s="5"/>
    </row>
    <row r="131" spans="7:10" x14ac:dyDescent="0.3">
      <c r="G131"/>
      <c r="H131" s="3"/>
      <c r="I131"/>
      <c r="J131" s="5"/>
    </row>
    <row r="132" spans="7:10" x14ac:dyDescent="0.3">
      <c r="G132"/>
      <c r="H132" s="3"/>
      <c r="I132"/>
      <c r="J132" s="5"/>
    </row>
    <row r="133" spans="7:10" x14ac:dyDescent="0.3">
      <c r="G133"/>
      <c r="H133" s="3"/>
      <c r="I133"/>
      <c r="J133" s="5"/>
    </row>
    <row r="134" spans="7:10" x14ac:dyDescent="0.3">
      <c r="G134"/>
      <c r="H134" s="3"/>
      <c r="I134"/>
      <c r="J134" s="5"/>
    </row>
    <row r="135" spans="7:10" x14ac:dyDescent="0.3">
      <c r="G135"/>
      <c r="H135" s="3"/>
      <c r="I135"/>
      <c r="J135" s="5"/>
    </row>
    <row r="136" spans="7:10" x14ac:dyDescent="0.3">
      <c r="G136"/>
      <c r="H136" s="3"/>
      <c r="I136"/>
      <c r="J136" s="5"/>
    </row>
    <row r="137" spans="7:10" x14ac:dyDescent="0.3">
      <c r="G137"/>
      <c r="H137" s="3"/>
      <c r="I137"/>
      <c r="J137" s="5"/>
    </row>
    <row r="138" spans="7:10" x14ac:dyDescent="0.3">
      <c r="G138"/>
      <c r="H138" s="3"/>
      <c r="I138"/>
      <c r="J138" s="5"/>
    </row>
    <row r="139" spans="7:10" x14ac:dyDescent="0.3">
      <c r="G139"/>
      <c r="H139" s="3"/>
      <c r="I139"/>
      <c r="J139" s="5"/>
    </row>
  </sheetData>
  <conditionalFormatting sqref="G39:AC39 B90:F90 T50:AC50 F50:P50 R50 B40:AC41 F51:AC51 F42:AC49 F74:AC89 F52:Z73 AC73">
    <cfRule type="cellIs" dxfId="0" priority="4" operator="greaterThan">
      <formula>0</formula>
    </cfRule>
  </conditionalFormatting>
  <conditionalFormatting sqref="H92:AC118">
    <cfRule type="colorScale" priority="3">
      <colorScale>
        <cfvo type="min"/>
        <cfvo type="max"/>
        <color rgb="FFFCFCFF"/>
        <color rgb="FF63BE7B"/>
      </colorScale>
    </cfRule>
  </conditionalFormatting>
  <conditionalFormatting sqref="G2:G28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{DDA4AEAC-EB23-4415-92FD-36396C34B8FF}</x14:id>
        </ext>
      </extLst>
    </cfRule>
  </conditionalFormatting>
  <conditionalFormatting sqref="H2:AC28">
    <cfRule type="colorScale" priority="6">
      <colorScale>
        <cfvo type="min"/>
        <cfvo type="max"/>
        <color rgb="FFFCFCFF"/>
        <color rgb="FFF8696B"/>
      </colorScale>
    </cfRule>
  </conditionalFormatting>
  <conditionalFormatting sqref="H38:R3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{91281246-A4DD-4F64-9ACA-D39D1F227AF5}</x14:id>
        </ext>
      </extLst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A4AEAC-EB23-4415-92FD-36396C34B8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G2:G28</xm:sqref>
        </x14:conditionalFormatting>
        <x14:conditionalFormatting xmlns:xm="http://schemas.microsoft.com/office/excel/2006/main">
          <x14:cfRule type="dataBar" id="{91281246-A4DD-4F64-9ACA-D39D1F227A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H38:R38</xm:sqref>
        </x14:conditionalFormatting>
        <x14:conditionalFormatting xmlns:xm="http://schemas.microsoft.com/office/excel/2006/main">
          <x14:cfRule type="iconSet" priority="2" id="{9F927015-1979-42CE-B106-644F084B42A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4RedToBlack" iconId="1"/>
              <x14:cfIcon iconSet="3Arrows" iconId="2"/>
            </x14:iconSet>
          </x14:cfRule>
          <xm:sqref>F2:F27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65767-73ED-46F9-B159-D31A6FE138C2}">
  <sheetPr codeName="Sheet1"/>
  <dimension ref="A1:W27"/>
  <sheetViews>
    <sheetView showGridLines="0" zoomScale="72" zoomScaleNormal="100" workbookViewId="0">
      <selection activeCell="L55" sqref="L55"/>
    </sheetView>
  </sheetViews>
  <sheetFormatPr defaultRowHeight="14.4" x14ac:dyDescent="0.3"/>
  <cols>
    <col min="1" max="1" width="13.44140625" customWidth="1"/>
    <col min="2" max="5" width="11.21875" style="9" customWidth="1"/>
    <col min="6" max="6" width="11.21875" style="9" hidden="1" customWidth="1"/>
    <col min="7" max="23" width="11.21875" style="9" customWidth="1"/>
  </cols>
  <sheetData>
    <row r="1" spans="1:23" s="38" customFormat="1" ht="29.1" customHeight="1" x14ac:dyDescent="0.3">
      <c r="A1" s="38" t="s">
        <v>27</v>
      </c>
      <c r="B1" s="39" t="s">
        <v>29</v>
      </c>
      <c r="C1" s="39" t="s">
        <v>30</v>
      </c>
      <c r="D1" s="39" t="s">
        <v>31</v>
      </c>
      <c r="E1" s="39" t="s">
        <v>32</v>
      </c>
      <c r="F1" s="39" t="s">
        <v>33</v>
      </c>
      <c r="G1" s="39" t="s">
        <v>34</v>
      </c>
      <c r="H1" s="39" t="s">
        <v>35</v>
      </c>
      <c r="I1" s="39" t="s">
        <v>36</v>
      </c>
      <c r="J1" s="39" t="s">
        <v>37</v>
      </c>
      <c r="K1" s="39" t="s">
        <v>38</v>
      </c>
      <c r="L1" s="39" t="s">
        <v>494</v>
      </c>
      <c r="M1" s="39" t="s">
        <v>523</v>
      </c>
      <c r="N1" s="39" t="s">
        <v>548</v>
      </c>
      <c r="O1" s="39" t="s">
        <v>573</v>
      </c>
      <c r="P1" s="39" t="s">
        <v>599</v>
      </c>
      <c r="Q1" s="39" t="s">
        <v>625</v>
      </c>
      <c r="R1" s="39" t="s">
        <v>650</v>
      </c>
      <c r="S1" s="39" t="s">
        <v>676</v>
      </c>
      <c r="T1" s="39" t="s">
        <v>700</v>
      </c>
      <c r="U1" s="39" t="s">
        <v>724</v>
      </c>
      <c r="V1" s="39" t="s">
        <v>750</v>
      </c>
      <c r="W1" s="39" t="s">
        <v>782</v>
      </c>
    </row>
    <row r="2" spans="1:23" x14ac:dyDescent="0.3">
      <c r="A2" t="s">
        <v>57</v>
      </c>
      <c r="B2" s="9">
        <v>9</v>
      </c>
      <c r="C2" s="9">
        <v>4</v>
      </c>
      <c r="D2" s="9">
        <v>25</v>
      </c>
      <c r="E2" s="9" cm="1">
        <f t="array" ref="E2">IFERROR(_xlfn.XLOOKUP(1,(Table1[[#This Row],[Name]]='Google Forms'!$B:$B)*(Table1[[#Headers],[Miami - 7 May]]='Google Forms'!$C:$C),'Google Forms'!$K:$K,0,0,-1),0)</f>
        <v>9</v>
      </c>
      <c r="F2" s="9" cm="1">
        <f t="array" ref="F2">IFERROR(_xlfn.XLOOKUP(1,(Table1[[#This Row],[Name]]='Google Forms'!$B:$B)*(Table1[[#Headers],[Italy - 21 May]]='Google Forms'!$C:$C),'Google Forms'!$K:$K,0,0,-1),0)</f>
        <v>0</v>
      </c>
      <c r="G2" s="9" cm="1">
        <f t="array" ref="G2">IFERROR(_xlfn.XLOOKUP(1,(Table1[[#This Row],[Name]]='Google Forms'!$B:$B)*(Table1[[#Headers],[Monaco - 28 May]]='Google Forms'!$C:$C),'Google Forms'!$K:$K,0,0,-1),0)</f>
        <v>10</v>
      </c>
      <c r="H2" s="9" cm="1">
        <f t="array" ref="H2">IFERROR(_xlfn.XLOOKUP(1,(Table1[[#This Row],[Name]]='Google Forms'!$B:$B)*(Table1[[#Headers],[Spain - 4 June]]='Google Forms'!$C:$C),'Google Forms'!$K:$K,0,0,-1),0)</f>
        <v>12</v>
      </c>
      <c r="I2" s="9" cm="1">
        <f t="array" ref="I2">IFERROR(_xlfn.XLOOKUP(1,(Table1[[#This Row],[Name]]='Google Forms'!$B:$B)*(Table1[[#Headers],[Canada - 18 June]]='Google Forms'!$C:$C),'Google Forms'!$K:$K,0,0,-1),0)</f>
        <v>15</v>
      </c>
      <c r="J2" s="9" cm="1">
        <f t="array" ref="J2">IFERROR(_xlfn.XLOOKUP(1,(Table1[[#This Row],[Name]]='Google Forms'!$B:$B)*(Table1[[#Headers],[Austria - 2 July]]='Google Forms'!$C:$C),'Google Forms'!$K:$K,0,0,-1),0)</f>
        <v>12.5</v>
      </c>
      <c r="K2" s="9" cm="1">
        <f t="array" ref="K2">IFERROR(_xlfn.XLOOKUP(1,(Table1[[#This Row],[Name]]='Google Forms'!$B:$B)*(Table1[[#Headers],[Great Britain - 9 July]]='Google Forms'!$C:$C),'Google Forms'!$K:$K,0,0,-1),0)</f>
        <v>12</v>
      </c>
      <c r="L2" s="9" cm="1">
        <f t="array" ref="L2">IFERROR(_xlfn.XLOOKUP(1,(Table1[[#This Row],[Name]]='Google Forms'!$B:$B)*(Table1[[#Headers],[Hungary - 23 July]]='Google Forms'!$C:$C),'Google Forms'!$K:$K,0,0,-1),0)</f>
        <v>10</v>
      </c>
      <c r="M2" s="9" cm="1">
        <f t="array" ref="M2">IFERROR(_xlfn.XLOOKUP(1,(Table1[[#This Row],[Name]]='Google Forms'!$B:$B)*(Table1[[#Headers],[Belgium - 30 July]]='Google Forms'!$C:$C),'Google Forms'!$K:$K,0,0,-1),0)</f>
        <v>15</v>
      </c>
      <c r="N2" s="9" cm="1">
        <f t="array" ref="N2">IFERROR(_xlfn.XLOOKUP(1,(Table1[[#This Row],[Name]]='Google Forms'!$B:$B)*(Table1[[#Headers],[Netherlands - 27 August]]='Google Forms'!$C:$C),'Google Forms'!$K:$K,0,0,-1),0)</f>
        <v>18</v>
      </c>
      <c r="O2" s="9" cm="1">
        <f t="array" ref="O2">IFERROR(_xlfn.XLOOKUP(1,(Table1[[#This Row],[Name]]='Google Forms'!$B:$B)*(Table1[[#Headers],[Italy - 3 September]]='Google Forms'!$C:$C),'Google Forms'!$K:$K,0,0,-1),0)</f>
        <v>12.5</v>
      </c>
      <c r="P2" s="9" cm="1">
        <f t="array" ref="P2">IFERROR(_xlfn.XLOOKUP(1,(Table1[[#This Row],[Name]]='Google Forms'!$B:$B)*(Table1[[#Headers],[Singapore - 17 September]]='Google Forms'!$C:$C),'Google Forms'!$K:$K,0,0,-1),0)</f>
        <v>12.5</v>
      </c>
      <c r="Q2" s="9" cm="1">
        <f t="array" ref="Q2">IFERROR(_xlfn.XLOOKUP(1,(Table1[[#This Row],[Name]]='Google Forms'!$B:$B)*(Table1[[#Headers],[Japan - 24 September]]='Google Forms'!$C:$C),'Google Forms'!$K:$K,0,0,-1),0)</f>
        <v>18</v>
      </c>
      <c r="R2" s="9" cm="1">
        <f t="array" ref="R2">IFERROR(_xlfn.XLOOKUP(1,(Table1[[#This Row],[Name]]='Google Forms'!$B:$B)*(Table1[[#Headers],[Qatar - 8 October]]='Google Forms'!$C:$C),'Google Forms'!$K:$K,0,0,-1),0)</f>
        <v>12</v>
      </c>
      <c r="S2" s="9" cm="1">
        <f t="array" ref="S2">IFERROR(_xlfn.XLOOKUP(1,(Table1[[#This Row],[Name]]='Google Forms'!$B:$B)*(Table1[[#Headers],[United States - 22 October]]='Google Forms'!$C:$C),'Google Forms'!$K:$K,0,0,-1),0)</f>
        <v>10</v>
      </c>
      <c r="T2" s="9" cm="1">
        <f t="array" ref="T2">IFERROR(_xlfn.XLOOKUP(1,(Table1[[#This Row],[Name]]='Google Forms'!$B:$B)*(Table1[[#Headers],[Mexico - 29 October]]='Google Forms'!$C:$C),'Google Forms'!$K:$K,0,0,-1),0)</f>
        <v>3</v>
      </c>
      <c r="U2" s="9" cm="1">
        <f t="array" ref="U2">IFERROR(_xlfn.XLOOKUP(1,(Table1[[#This Row],[Name]]='Google Forms'!$B:$B)*(Table1[[#Headers],[Brazil - 5 November]]='Google Forms'!$C:$C),'Google Forms'!$K:$K,0,0,-1),0)</f>
        <v>8</v>
      </c>
      <c r="V2" s="9" cm="1">
        <f t="array" ref="V2">IFERROR(_xlfn.XLOOKUP(1,(Table1[[#This Row],[Name]]='Google Forms'!$B:$B)*(Table1[[#Headers],[Las Vegas - 18 November]]='Google Forms'!$C:$C),'Google Forms'!$K:$K,0,0,-1),0)</f>
        <v>6</v>
      </c>
      <c r="W2" s="9" cm="1">
        <f t="array" ref="W2">IFERROR(_xlfn.XLOOKUP(1,(Table1[[#This Row],[Name]]='Google Forms'!$B:$B)*(Table1[[#Headers],[Abu Dhabi - 26 November]]='Google Forms'!$C:$C),'Google Forms'!$K:$K,0,0,-1),0)</f>
        <v>10</v>
      </c>
    </row>
    <row r="3" spans="1:23" x14ac:dyDescent="0.3">
      <c r="A3" t="s">
        <v>55</v>
      </c>
      <c r="B3" s="9">
        <v>3</v>
      </c>
      <c r="C3" s="9">
        <v>8</v>
      </c>
      <c r="D3" s="9">
        <v>15</v>
      </c>
      <c r="E3" s="9" cm="1">
        <f t="array" ref="E3">IFERROR(_xlfn.XLOOKUP(1,(Table1[[#This Row],[Name]]='Google Forms'!$B:$B)*(Table1[[#Headers],[Miami - 7 May]]='Google Forms'!$C:$C),'Google Forms'!$K:$K,0,0,-1),0)</f>
        <v>25</v>
      </c>
      <c r="F3" s="9" cm="1">
        <f t="array" ref="F3">IFERROR(_xlfn.XLOOKUP(1,(Table1[[#This Row],[Name]]='Google Forms'!$B:$B)*(Table1[[#Headers],[Italy - 21 May]]='Google Forms'!$C:$C),'Google Forms'!$K:$K,0,0,-1),0)</f>
        <v>0</v>
      </c>
      <c r="G3" s="9" cm="1">
        <f t="array" ref="G3">IFERROR(_xlfn.XLOOKUP(1,(Table1[[#This Row],[Name]]='Google Forms'!$B:$B)*(Table1[[#Headers],[Monaco - 28 May]]='Google Forms'!$C:$C),'Google Forms'!$K:$K,0,0,-1),0)</f>
        <v>12.5</v>
      </c>
      <c r="H3" s="9" cm="1">
        <f t="array" ref="H3">IFERROR(_xlfn.XLOOKUP(1,(Table1[[#This Row],[Name]]='Google Forms'!$B:$B)*(Table1[[#Headers],[Spain - 4 June]]='Google Forms'!$C:$C),'Google Forms'!$K:$K,0,0,-1),0)</f>
        <v>6</v>
      </c>
      <c r="I3" s="9" cm="1">
        <f t="array" ref="I3">IFERROR(_xlfn.XLOOKUP(1,(Table1[[#This Row],[Name]]='Google Forms'!$B:$B)*(Table1[[#Headers],[Canada - 18 June]]='Google Forms'!$C:$C),'Google Forms'!$K:$K,0,0,-1),0)</f>
        <v>15</v>
      </c>
      <c r="J3" s="9" cm="1">
        <f t="array" ref="J3">IFERROR(_xlfn.XLOOKUP(1,(Table1[[#This Row],[Name]]='Google Forms'!$B:$B)*(Table1[[#Headers],[Austria - 2 July]]='Google Forms'!$C:$C),'Google Forms'!$K:$K,0,0,-1),0)</f>
        <v>25</v>
      </c>
      <c r="K3" s="9" cm="1">
        <f t="array" ref="K3">IFERROR(_xlfn.XLOOKUP(1,(Table1[[#This Row],[Name]]='Google Forms'!$B:$B)*(Table1[[#Headers],[Great Britain - 9 July]]='Google Forms'!$C:$C),'Google Forms'!$K:$K,0,0,-1),0)</f>
        <v>0</v>
      </c>
      <c r="L3" s="9" cm="1">
        <f t="array" ref="L3">IFERROR(_xlfn.XLOOKUP(1,(Table1[[#This Row],[Name]]='Google Forms'!$B:$B)*(Table1[[#Headers],[Hungary - 23 July]]='Google Forms'!$C:$C),'Google Forms'!$K:$K,0,0,-1),0)</f>
        <v>12.5</v>
      </c>
      <c r="M3" s="9" cm="1">
        <f t="array" ref="M3">IFERROR(_xlfn.XLOOKUP(1,(Table1[[#This Row],[Name]]='Google Forms'!$B:$B)*(Table1[[#Headers],[Belgium - 30 July]]='Google Forms'!$C:$C),'Google Forms'!$K:$K,0,0,-1),0)</f>
        <v>15</v>
      </c>
      <c r="N3" s="9" cm="1">
        <f t="array" ref="N3">IFERROR(_xlfn.XLOOKUP(1,(Table1[[#This Row],[Name]]='Google Forms'!$B:$B)*(Table1[[#Headers],[Netherlands - 27 August]]='Google Forms'!$C:$C),'Google Forms'!$K:$K,0,0,-1),0)</f>
        <v>15</v>
      </c>
      <c r="O3" s="9" cm="1">
        <f t="array" ref="O3">IFERROR(_xlfn.XLOOKUP(1,(Table1[[#This Row],[Name]]='Google Forms'!$B:$B)*(Table1[[#Headers],[Italy - 3 September]]='Google Forms'!$C:$C),'Google Forms'!$K:$K,0,0,-1),0)</f>
        <v>10</v>
      </c>
      <c r="P3" s="9" cm="1">
        <f t="array" ref="P3">IFERROR(_xlfn.XLOOKUP(1,(Table1[[#This Row],[Name]]='Google Forms'!$B:$B)*(Table1[[#Headers],[Singapore - 17 September]]='Google Forms'!$C:$C),'Google Forms'!$K:$K,0,0,-1),0)</f>
        <v>9</v>
      </c>
      <c r="Q3" s="9" cm="1">
        <f t="array" ref="Q3">IFERROR(_xlfn.XLOOKUP(1,(Table1[[#This Row],[Name]]='Google Forms'!$B:$B)*(Table1[[#Headers],[Japan - 24 September]]='Google Forms'!$C:$C),'Google Forms'!$K:$K,0,0,-1),0)</f>
        <v>18</v>
      </c>
      <c r="R3" s="9" cm="1">
        <f t="array" ref="R3">IFERROR(_xlfn.XLOOKUP(1,(Table1[[#This Row],[Name]]='Google Forms'!$B:$B)*(Table1[[#Headers],[Qatar - 8 October]]='Google Forms'!$C:$C),'Google Forms'!$K:$K,0,0,-1),0)</f>
        <v>8</v>
      </c>
      <c r="S3" s="9" cm="1">
        <f t="array" ref="S3">IFERROR(_xlfn.XLOOKUP(1,(Table1[[#This Row],[Name]]='Google Forms'!$B:$B)*(Table1[[#Headers],[United States - 22 October]]='Google Forms'!$C:$C),'Google Forms'!$K:$K,0,0,-1),0)</f>
        <v>0</v>
      </c>
      <c r="T3" s="9" cm="1">
        <f t="array" ref="T3">IFERROR(_xlfn.XLOOKUP(1,(Table1[[#This Row],[Name]]='Google Forms'!$B:$B)*(Table1[[#Headers],[Mexico - 29 October]]='Google Forms'!$C:$C),'Google Forms'!$K:$K,0,0,-1),0)</f>
        <v>9</v>
      </c>
      <c r="U3" s="9" cm="1">
        <f t="array" ref="U3">IFERROR(_xlfn.XLOOKUP(1,(Table1[[#This Row],[Name]]='Google Forms'!$B:$B)*(Table1[[#Headers],[Brazil - 5 November]]='Google Forms'!$C:$C),'Google Forms'!$K:$K,0,0,-1),0)</f>
        <v>12.5</v>
      </c>
      <c r="V3" s="9" cm="1">
        <f t="array" ref="V3">IFERROR(_xlfn.XLOOKUP(1,(Table1[[#This Row],[Name]]='Google Forms'!$B:$B)*(Table1[[#Headers],[Las Vegas - 18 November]]='Google Forms'!$C:$C),'Google Forms'!$K:$K,0,0,-1),0)</f>
        <v>10</v>
      </c>
      <c r="W3" s="9" cm="1">
        <f t="array" ref="W3">IFERROR(_xlfn.XLOOKUP(1,(Table1[[#This Row],[Name]]='Google Forms'!$B:$B)*(Table1[[#Headers],[Abu Dhabi - 26 November]]='Google Forms'!$C:$C),'Google Forms'!$K:$K,0,0,-1),0)</f>
        <v>12</v>
      </c>
    </row>
    <row r="4" spans="1:23" x14ac:dyDescent="0.3">
      <c r="A4" t="s">
        <v>51</v>
      </c>
      <c r="B4" s="9">
        <v>25</v>
      </c>
      <c r="C4" s="9">
        <v>25</v>
      </c>
      <c r="D4" s="9">
        <v>5</v>
      </c>
      <c r="E4" s="9" cm="1">
        <f t="array" ref="E4">IFERROR(_xlfn.XLOOKUP(1,(Table1[[#This Row],[Name]]='Google Forms'!$B:$B)*(Table1[[#Headers],[Miami - 7 May]]='Google Forms'!$C:$C),'Google Forms'!$K:$K,0,0,-1),0)</f>
        <v>2</v>
      </c>
      <c r="F4" s="9" cm="1">
        <f t="array" ref="F4">IFERROR(_xlfn.XLOOKUP(1,(Table1[[#This Row],[Name]]='Google Forms'!$B:$B)*(Table1[[#Headers],[Italy - 21 May]]='Google Forms'!$C:$C),'Google Forms'!$K:$K,0,0,-1),0)</f>
        <v>0</v>
      </c>
      <c r="G4" s="9" cm="1">
        <f t="array" ref="G4">IFERROR(_xlfn.XLOOKUP(1,(Table1[[#This Row],[Name]]='Google Forms'!$B:$B)*(Table1[[#Headers],[Monaco - 28 May]]='Google Forms'!$C:$C),'Google Forms'!$K:$K,0,0,-1),0)</f>
        <v>25</v>
      </c>
      <c r="H4" s="9" cm="1">
        <f t="array" ref="H4">IFERROR(_xlfn.XLOOKUP(1,(Table1[[#This Row],[Name]]='Google Forms'!$B:$B)*(Table1[[#Headers],[Spain - 4 June]]='Google Forms'!$C:$C),'Google Forms'!$K:$K,0,0,-1),0)</f>
        <v>9</v>
      </c>
      <c r="I4" s="9" cm="1">
        <f t="array" ref="I4">IFERROR(_xlfn.XLOOKUP(1,(Table1[[#This Row],[Name]]='Google Forms'!$B:$B)*(Table1[[#Headers],[Canada - 18 June]]='Google Forms'!$C:$C),'Google Forms'!$K:$K,0,0,-1),0)</f>
        <v>15</v>
      </c>
      <c r="J4" s="9" cm="1">
        <f t="array" ref="J4">IFERROR(_xlfn.XLOOKUP(1,(Table1[[#This Row],[Name]]='Google Forms'!$B:$B)*(Table1[[#Headers],[Austria - 2 July]]='Google Forms'!$C:$C),'Google Forms'!$K:$K,0,0,-1),0)</f>
        <v>1</v>
      </c>
      <c r="K4" s="9" cm="1">
        <f t="array" ref="K4">IFERROR(_xlfn.XLOOKUP(1,(Table1[[#This Row],[Name]]='Google Forms'!$B:$B)*(Table1[[#Headers],[Great Britain - 9 July]]='Google Forms'!$C:$C),'Google Forms'!$K:$K,0,0,-1),0)</f>
        <v>12</v>
      </c>
      <c r="L4" s="9" cm="1">
        <f t="array" ref="L4">IFERROR(_xlfn.XLOOKUP(1,(Table1[[#This Row],[Name]]='Google Forms'!$B:$B)*(Table1[[#Headers],[Hungary - 23 July]]='Google Forms'!$C:$C),'Google Forms'!$K:$K,0,0,-1),0)</f>
        <v>6</v>
      </c>
      <c r="M4" s="9" cm="1">
        <f t="array" ref="M4">IFERROR(_xlfn.XLOOKUP(1,(Table1[[#This Row],[Name]]='Google Forms'!$B:$B)*(Table1[[#Headers],[Belgium - 30 July]]='Google Forms'!$C:$C),'Google Forms'!$K:$K,0,0,-1),0)</f>
        <v>25</v>
      </c>
      <c r="N4" s="9" cm="1">
        <f t="array" ref="N4">IFERROR(_xlfn.XLOOKUP(1,(Table1[[#This Row],[Name]]='Google Forms'!$B:$B)*(Table1[[#Headers],[Netherlands - 27 August]]='Google Forms'!$C:$C),'Google Forms'!$K:$K,0,0,-1),0)</f>
        <v>0</v>
      </c>
      <c r="O4" s="9" cm="1">
        <f t="array" ref="O4">IFERROR(_xlfn.XLOOKUP(1,(Table1[[#This Row],[Name]]='Google Forms'!$B:$B)*(Table1[[#Headers],[Italy - 3 September]]='Google Forms'!$C:$C),'Google Forms'!$K:$K,0,0,-1),0)</f>
        <v>10</v>
      </c>
      <c r="P4" s="9" cm="1">
        <f t="array" ref="P4">IFERROR(_xlfn.XLOOKUP(1,(Table1[[#This Row],[Name]]='Google Forms'!$B:$B)*(Table1[[#Headers],[Singapore - 17 September]]='Google Forms'!$C:$C),'Google Forms'!$K:$K,0,0,-1),0)</f>
        <v>7.5</v>
      </c>
      <c r="Q4" s="9" cm="1">
        <f t="array" ref="Q4">IFERROR(_xlfn.XLOOKUP(1,(Table1[[#This Row],[Name]]='Google Forms'!$B:$B)*(Table1[[#Headers],[Japan - 24 September]]='Google Forms'!$C:$C),'Google Forms'!$K:$K,0,0,-1),0)</f>
        <v>7.5</v>
      </c>
      <c r="R4" s="9" cm="1">
        <f t="array" ref="R4">IFERROR(_xlfn.XLOOKUP(1,(Table1[[#This Row],[Name]]='Google Forms'!$B:$B)*(Table1[[#Headers],[Qatar - 8 October]]='Google Forms'!$C:$C),'Google Forms'!$K:$K,0,0,-1),0)</f>
        <v>4</v>
      </c>
      <c r="S4" s="9" cm="1">
        <f t="array" ref="S4">IFERROR(_xlfn.XLOOKUP(1,(Table1[[#This Row],[Name]]='Google Forms'!$B:$B)*(Table1[[#Headers],[United States - 22 October]]='Google Forms'!$C:$C),'Google Forms'!$K:$K,0,0,-1),0)</f>
        <v>12</v>
      </c>
      <c r="T4" s="9" cm="1">
        <f t="array" ref="T4">IFERROR(_xlfn.XLOOKUP(1,(Table1[[#This Row],[Name]]='Google Forms'!$B:$B)*(Table1[[#Headers],[Mexico - 29 October]]='Google Forms'!$C:$C),'Google Forms'!$K:$K,0,0,-1),0)</f>
        <v>12</v>
      </c>
      <c r="U4" s="9" cm="1">
        <f t="array" ref="U4">IFERROR(_xlfn.XLOOKUP(1,(Table1[[#This Row],[Name]]='Google Forms'!$B:$B)*(Table1[[#Headers],[Brazil - 5 November]]='Google Forms'!$C:$C),'Google Forms'!$K:$K,0,0,-1),0)</f>
        <v>10</v>
      </c>
      <c r="V4" s="9" cm="1">
        <f t="array" ref="V4">IFERROR(_xlfn.XLOOKUP(1,(Table1[[#This Row],[Name]]='Google Forms'!$B:$B)*(Table1[[#Headers],[Las Vegas - 18 November]]='Google Forms'!$C:$C),'Google Forms'!$K:$K,0,0,-1),0)</f>
        <v>6</v>
      </c>
      <c r="W4" s="9" cm="1">
        <f t="array" ref="W4">IFERROR(_xlfn.XLOOKUP(1,(Table1[[#This Row],[Name]]='Google Forms'!$B:$B)*(Table1[[#Headers],[Abu Dhabi - 26 November]]='Google Forms'!$C:$C),'Google Forms'!$K:$K,0,0,-1),0)</f>
        <v>10</v>
      </c>
    </row>
    <row r="5" spans="1:23" x14ac:dyDescent="0.3">
      <c r="A5" t="s">
        <v>52</v>
      </c>
      <c r="B5" s="9">
        <v>18</v>
      </c>
      <c r="C5" s="9">
        <v>25</v>
      </c>
      <c r="D5" s="9">
        <v>12.5</v>
      </c>
      <c r="E5" s="9" cm="1">
        <f t="array" ref="E5">IFERROR(_xlfn.XLOOKUP(1,(Table1[[#This Row],[Name]]='Google Forms'!$B:$B)*(Table1[[#Headers],[Miami - 7 May]]='Google Forms'!$C:$C),'Google Forms'!$K:$K,0,0,-1),0)</f>
        <v>12</v>
      </c>
      <c r="F5" s="9" cm="1">
        <f t="array" ref="F5">IFERROR(_xlfn.XLOOKUP(1,(Table1[[#This Row],[Name]]='Google Forms'!$B:$B)*(Table1[[#Headers],[Italy - 21 May]]='Google Forms'!$C:$C),'Google Forms'!$K:$K,0,0,-1),0)</f>
        <v>0</v>
      </c>
      <c r="G5" s="9" cm="1">
        <f t="array" ref="G5">IFERROR(_xlfn.XLOOKUP(1,(Table1[[#This Row],[Name]]='Google Forms'!$B:$B)*(Table1[[#Headers],[Monaco - 28 May]]='Google Forms'!$C:$C),'Google Forms'!$K:$K,0,0,-1),0)</f>
        <v>9</v>
      </c>
      <c r="H5" s="9" cm="1">
        <f t="array" ref="H5">IFERROR(_xlfn.XLOOKUP(1,(Table1[[#This Row],[Name]]='Google Forms'!$B:$B)*(Table1[[#Headers],[Spain - 4 June]]='Google Forms'!$C:$C),'Google Forms'!$K:$K,0,0,-1),0)</f>
        <v>10</v>
      </c>
      <c r="I5" s="9" cm="1">
        <f t="array" ref="I5">IFERROR(_xlfn.XLOOKUP(1,(Table1[[#This Row],[Name]]='Google Forms'!$B:$B)*(Table1[[#Headers],[Canada - 18 June]]='Google Forms'!$C:$C),'Google Forms'!$K:$K,0,0,-1),0)</f>
        <v>9</v>
      </c>
      <c r="J5" s="9" cm="1">
        <f t="array" ref="J5">IFERROR(_xlfn.XLOOKUP(1,(Table1[[#This Row],[Name]]='Google Forms'!$B:$B)*(Table1[[#Headers],[Austria - 2 July]]='Google Forms'!$C:$C),'Google Forms'!$K:$K,0,0,-1),0)</f>
        <v>12.5</v>
      </c>
      <c r="K5" s="9" cm="1">
        <f t="array" ref="K5">IFERROR(_xlfn.XLOOKUP(1,(Table1[[#This Row],[Name]]='Google Forms'!$B:$B)*(Table1[[#Headers],[Great Britain - 9 July]]='Google Forms'!$C:$C),'Google Forms'!$K:$K,0,0,-1),0)</f>
        <v>0</v>
      </c>
      <c r="L5" s="9" cm="1">
        <f t="array" ref="L5">IFERROR(_xlfn.XLOOKUP(1,(Table1[[#This Row],[Name]]='Google Forms'!$B:$B)*(Table1[[#Headers],[Hungary - 23 July]]='Google Forms'!$C:$C),'Google Forms'!$K:$K,0,0,-1),0)</f>
        <v>6</v>
      </c>
      <c r="M5" s="9" cm="1">
        <f t="array" ref="M5">IFERROR(_xlfn.XLOOKUP(1,(Table1[[#This Row],[Name]]='Google Forms'!$B:$B)*(Table1[[#Headers],[Belgium - 30 July]]='Google Forms'!$C:$C),'Google Forms'!$K:$K,0,0,-1),0)</f>
        <v>15</v>
      </c>
      <c r="N5" s="9" cm="1">
        <f t="array" ref="N5">IFERROR(_xlfn.XLOOKUP(1,(Table1[[#This Row],[Name]]='Google Forms'!$B:$B)*(Table1[[#Headers],[Netherlands - 27 August]]='Google Forms'!$C:$C),'Google Forms'!$K:$K,0,0,-1),0)</f>
        <v>7.5</v>
      </c>
      <c r="O5" s="9" cm="1">
        <f t="array" ref="O5">IFERROR(_xlfn.XLOOKUP(1,(Table1[[#This Row],[Name]]='Google Forms'!$B:$B)*(Table1[[#Headers],[Italy - 3 September]]='Google Forms'!$C:$C),'Google Forms'!$K:$K,0,0,-1),0)</f>
        <v>7.5</v>
      </c>
      <c r="P5" s="9" cm="1">
        <f t="array" ref="P5">IFERROR(_xlfn.XLOOKUP(1,(Table1[[#This Row],[Name]]='Google Forms'!$B:$B)*(Table1[[#Headers],[Singapore - 17 September]]='Google Forms'!$C:$C),'Google Forms'!$K:$K,0,0,-1),0)</f>
        <v>25</v>
      </c>
      <c r="Q5" s="9" cm="1">
        <f t="array" ref="Q5">IFERROR(_xlfn.XLOOKUP(1,(Table1[[#This Row],[Name]]='Google Forms'!$B:$B)*(Table1[[#Headers],[Japan - 24 September]]='Google Forms'!$C:$C),'Google Forms'!$K:$K,0,0,-1),0)</f>
        <v>15</v>
      </c>
      <c r="R5" s="9" cm="1">
        <f t="array" ref="R5">IFERROR(_xlfn.XLOOKUP(1,(Table1[[#This Row],[Name]]='Google Forms'!$B:$B)*(Table1[[#Headers],[Qatar - 8 October]]='Google Forms'!$C:$C),'Google Forms'!$K:$K,0,0,-1),0)</f>
        <v>10</v>
      </c>
      <c r="S5" s="9" cm="1">
        <f t="array" ref="S5">IFERROR(_xlfn.XLOOKUP(1,(Table1[[#This Row],[Name]]='Google Forms'!$B:$B)*(Table1[[#Headers],[United States - 22 October]]='Google Forms'!$C:$C),'Google Forms'!$K:$K,0,0,-1),0)</f>
        <v>6</v>
      </c>
      <c r="T5" s="9" cm="1">
        <f t="array" ref="T5">IFERROR(_xlfn.XLOOKUP(1,(Table1[[#This Row],[Name]]='Google Forms'!$B:$B)*(Table1[[#Headers],[Mexico - 29 October]]='Google Forms'!$C:$C),'Google Forms'!$K:$K,0,0,-1),0)</f>
        <v>7.5</v>
      </c>
      <c r="U5" s="9" cm="1">
        <f t="array" ref="U5">IFERROR(_xlfn.XLOOKUP(1,(Table1[[#This Row],[Name]]='Google Forms'!$B:$B)*(Table1[[#Headers],[Brazil - 5 November]]='Google Forms'!$C:$C),'Google Forms'!$K:$K,0,0,-1),0)</f>
        <v>1</v>
      </c>
      <c r="V5" s="9" cm="1">
        <f t="array" ref="V5">IFERROR(_xlfn.XLOOKUP(1,(Table1[[#This Row],[Name]]='Google Forms'!$B:$B)*(Table1[[#Headers],[Las Vegas - 18 November]]='Google Forms'!$C:$C),'Google Forms'!$K:$K,0,0,-1),0)</f>
        <v>5</v>
      </c>
      <c r="W5" s="9" cm="1">
        <f t="array" ref="W5">IFERROR(_xlfn.XLOOKUP(1,(Table1[[#This Row],[Name]]='Google Forms'!$B:$B)*(Table1[[#Headers],[Abu Dhabi - 26 November]]='Google Forms'!$C:$C),'Google Forms'!$K:$K,0,0,-1),0)</f>
        <v>12</v>
      </c>
    </row>
    <row r="6" spans="1:23" x14ac:dyDescent="0.3">
      <c r="A6" t="s">
        <v>59</v>
      </c>
      <c r="B6" s="9">
        <v>6</v>
      </c>
      <c r="C6" s="9">
        <v>25</v>
      </c>
      <c r="D6" s="9">
        <v>0.25</v>
      </c>
      <c r="E6" s="9" cm="1">
        <f t="array" ref="E6">IFERROR(_xlfn.XLOOKUP(1,(Table1[[#This Row],[Name]]='Google Forms'!$B:$B)*(Table1[[#Headers],[Miami - 7 May]]='Google Forms'!$C:$C),'Google Forms'!$K:$K,0,0,-1),0)</f>
        <v>12</v>
      </c>
      <c r="F6" s="9" cm="1">
        <f t="array" ref="F6">IFERROR(_xlfn.XLOOKUP(1,(Table1[[#This Row],[Name]]='Google Forms'!$B:$B)*(Table1[[#Headers],[Italy - 21 May]]='Google Forms'!$C:$C),'Google Forms'!$K:$K,0,0,-1),0)</f>
        <v>0</v>
      </c>
      <c r="G6" s="9" cm="1">
        <f t="array" ref="G6">IFERROR(_xlfn.XLOOKUP(1,(Table1[[#This Row],[Name]]='Google Forms'!$B:$B)*(Table1[[#Headers],[Monaco - 28 May]]='Google Forms'!$C:$C),'Google Forms'!$K:$K,0,0,-1),0)</f>
        <v>0.5</v>
      </c>
      <c r="H6" s="9" cm="1">
        <f t="array" ref="H6">IFERROR(_xlfn.XLOOKUP(1,(Table1[[#This Row],[Name]]='Google Forms'!$B:$B)*(Table1[[#Headers],[Spain - 4 June]]='Google Forms'!$C:$C),'Google Forms'!$K:$K,0,0,-1),0)</f>
        <v>25</v>
      </c>
      <c r="I6" s="9" cm="1">
        <f t="array" ref="I6">IFERROR(_xlfn.XLOOKUP(1,(Table1[[#This Row],[Name]]='Google Forms'!$B:$B)*(Table1[[#Headers],[Canada - 18 June]]='Google Forms'!$C:$C),'Google Forms'!$K:$K,0,0,-1),0)</f>
        <v>7.5</v>
      </c>
      <c r="J6" s="9" cm="1">
        <f t="array" ref="J6">IFERROR(_xlfn.XLOOKUP(1,(Table1[[#This Row],[Name]]='Google Forms'!$B:$B)*(Table1[[#Headers],[Austria - 2 July]]='Google Forms'!$C:$C),'Google Forms'!$K:$K,0,0,-1),0)</f>
        <v>0.25</v>
      </c>
      <c r="K6" s="9" cm="1">
        <f t="array" ref="K6">IFERROR(_xlfn.XLOOKUP(1,(Table1[[#This Row],[Name]]='Google Forms'!$B:$B)*(Table1[[#Headers],[Great Britain - 9 July]]='Google Forms'!$C:$C),'Google Forms'!$K:$K,0,0,-1),0)</f>
        <v>2</v>
      </c>
      <c r="L6" s="9" cm="1">
        <f t="array" ref="L6">IFERROR(_xlfn.XLOOKUP(1,(Table1[[#This Row],[Name]]='Google Forms'!$B:$B)*(Table1[[#Headers],[Hungary - 23 July]]='Google Forms'!$C:$C),'Google Forms'!$K:$K,0,0,-1),0)</f>
        <v>12.5</v>
      </c>
      <c r="M6" s="9" cm="1">
        <f t="array" ref="M6">IFERROR(_xlfn.XLOOKUP(1,(Table1[[#This Row],[Name]]='Google Forms'!$B:$B)*(Table1[[#Headers],[Belgium - 30 July]]='Google Forms'!$C:$C),'Google Forms'!$K:$K,0,0,-1),0)</f>
        <v>18</v>
      </c>
      <c r="N6" s="9" cm="1">
        <f t="array" ref="N6">IFERROR(_xlfn.XLOOKUP(1,(Table1[[#This Row],[Name]]='Google Forms'!$B:$B)*(Table1[[#Headers],[Netherlands - 27 August]]='Google Forms'!$C:$C),'Google Forms'!$K:$K,0,0,-1),0)</f>
        <v>18</v>
      </c>
      <c r="O6" s="9" cm="1">
        <f t="array" ref="O6">IFERROR(_xlfn.XLOOKUP(1,(Table1[[#This Row],[Name]]='Google Forms'!$B:$B)*(Table1[[#Headers],[Italy - 3 September]]='Google Forms'!$C:$C),'Google Forms'!$K:$K,0,0,-1),0)</f>
        <v>10</v>
      </c>
      <c r="P6" s="9" cm="1">
        <f t="array" ref="P6">IFERROR(_xlfn.XLOOKUP(1,(Table1[[#This Row],[Name]]='Google Forms'!$B:$B)*(Table1[[#Headers],[Singapore - 17 September]]='Google Forms'!$C:$C),'Google Forms'!$K:$K,0,0,-1),0)</f>
        <v>15</v>
      </c>
      <c r="Q6" s="9" cm="1">
        <f t="array" ref="Q6">IFERROR(_xlfn.XLOOKUP(1,(Table1[[#This Row],[Name]]='Google Forms'!$B:$B)*(Table1[[#Headers],[Japan - 24 September]]='Google Forms'!$C:$C),'Google Forms'!$K:$K,0,0,-1),0)</f>
        <v>15</v>
      </c>
      <c r="R6" s="9" cm="1">
        <f t="array" ref="R6">IFERROR(_xlfn.XLOOKUP(1,(Table1[[#This Row],[Name]]='Google Forms'!$B:$B)*(Table1[[#Headers],[Qatar - 8 October]]='Google Forms'!$C:$C),'Google Forms'!$K:$K,0,0,-1),0)</f>
        <v>8</v>
      </c>
      <c r="S6" s="9" cm="1">
        <f t="array" ref="S6">IFERROR(_xlfn.XLOOKUP(1,(Table1[[#This Row],[Name]]='Google Forms'!$B:$B)*(Table1[[#Headers],[United States - 22 October]]='Google Forms'!$C:$C),'Google Forms'!$K:$K,0,0,-1),0)</f>
        <v>12.5</v>
      </c>
      <c r="T6" s="9" cm="1">
        <f t="array" ref="T6">IFERROR(_xlfn.XLOOKUP(1,(Table1[[#This Row],[Name]]='Google Forms'!$B:$B)*(Table1[[#Headers],[Mexico - 29 October]]='Google Forms'!$C:$C),'Google Forms'!$K:$K,0,0,-1),0)</f>
        <v>0.25</v>
      </c>
      <c r="U6" s="9" cm="1">
        <f t="array" ref="U6">IFERROR(_xlfn.XLOOKUP(1,(Table1[[#This Row],[Name]]='Google Forms'!$B:$B)*(Table1[[#Headers],[Brazil - 5 November]]='Google Forms'!$C:$C),'Google Forms'!$K:$K,0,0,-1),0)</f>
        <v>25</v>
      </c>
      <c r="V6" s="9" cm="1">
        <f t="array" ref="V6">IFERROR(_xlfn.XLOOKUP(1,(Table1[[#This Row],[Name]]='Google Forms'!$B:$B)*(Table1[[#Headers],[Las Vegas - 18 November]]='Google Forms'!$C:$C),'Google Forms'!$K:$K,0,0,-1),0)</f>
        <v>0.5</v>
      </c>
      <c r="W6" s="9" cm="1">
        <f t="array" ref="W6">IFERROR(_xlfn.XLOOKUP(1,(Table1[[#This Row],[Name]]='Google Forms'!$B:$B)*(Table1[[#Headers],[Abu Dhabi - 26 November]]='Google Forms'!$C:$C),'Google Forms'!$K:$K,0,0,-1),0)</f>
        <v>5</v>
      </c>
    </row>
    <row r="7" spans="1:23" x14ac:dyDescent="0.3">
      <c r="A7" t="s">
        <v>60</v>
      </c>
      <c r="B7" s="9">
        <v>0</v>
      </c>
      <c r="C7" s="9">
        <v>8</v>
      </c>
      <c r="D7" s="9">
        <v>25</v>
      </c>
      <c r="E7" s="9" cm="1">
        <f t="array" ref="E7">IFERROR(_xlfn.XLOOKUP(1,(Table1[[#This Row],[Name]]='Google Forms'!$B:$B)*(Table1[[#Headers],[Miami - 7 May]]='Google Forms'!$C:$C),'Google Forms'!$K:$K,0,0,-1),0)</f>
        <v>18</v>
      </c>
      <c r="F7" s="9" cm="1">
        <f t="array" ref="F7">IFERROR(_xlfn.XLOOKUP(1,(Table1[[#This Row],[Name]]='Google Forms'!$B:$B)*(Table1[[#Headers],[Italy - 21 May]]='Google Forms'!$C:$C),'Google Forms'!$K:$K,0,0,-1),0)</f>
        <v>0</v>
      </c>
      <c r="G7" s="9" cm="1">
        <f t="array" ref="G7">IFERROR(_xlfn.XLOOKUP(1,(Table1[[#This Row],[Name]]='Google Forms'!$B:$B)*(Table1[[#Headers],[Monaco - 28 May]]='Google Forms'!$C:$C),'Google Forms'!$K:$K,0,0,-1),0)</f>
        <v>9</v>
      </c>
      <c r="H7" s="9" cm="1">
        <f t="array" ref="H7">IFERROR(_xlfn.XLOOKUP(1,(Table1[[#This Row],[Name]]='Google Forms'!$B:$B)*(Table1[[#Headers],[Spain - 4 June]]='Google Forms'!$C:$C),'Google Forms'!$K:$K,0,0,-1),0)</f>
        <v>0.5</v>
      </c>
      <c r="I7" s="9" cm="1">
        <f t="array" ref="I7">IFERROR(_xlfn.XLOOKUP(1,(Table1[[#This Row],[Name]]='Google Forms'!$B:$B)*(Table1[[#Headers],[Canada - 18 June]]='Google Forms'!$C:$C),'Google Forms'!$K:$K,0,0,-1),0)</f>
        <v>15</v>
      </c>
      <c r="J7" s="9" cm="1">
        <f t="array" ref="J7">IFERROR(_xlfn.XLOOKUP(1,(Table1[[#This Row],[Name]]='Google Forms'!$B:$B)*(Table1[[#Headers],[Austria - 2 July]]='Google Forms'!$C:$C),'Google Forms'!$K:$K,0,0,-1),0)</f>
        <v>25</v>
      </c>
      <c r="K7" s="9" cm="1">
        <f t="array" ref="K7">IFERROR(_xlfn.XLOOKUP(1,(Table1[[#This Row],[Name]]='Google Forms'!$B:$B)*(Table1[[#Headers],[Great Britain - 9 July]]='Google Forms'!$C:$C),'Google Forms'!$K:$K,0,0,-1),0)</f>
        <v>0</v>
      </c>
      <c r="L7" s="9" cm="1">
        <f t="array" ref="L7">IFERROR(_xlfn.XLOOKUP(1,(Table1[[#This Row],[Name]]='Google Forms'!$B:$B)*(Table1[[#Headers],[Hungary - 23 July]]='Google Forms'!$C:$C),'Google Forms'!$K:$K,0,0,-1),0)</f>
        <v>10</v>
      </c>
      <c r="M7" s="9" cm="1">
        <f t="array" ref="M7">IFERROR(_xlfn.XLOOKUP(1,(Table1[[#This Row],[Name]]='Google Forms'!$B:$B)*(Table1[[#Headers],[Belgium - 30 July]]='Google Forms'!$C:$C),'Google Forms'!$K:$K,0,0,-1),0)</f>
        <v>18</v>
      </c>
      <c r="N7" s="9" cm="1">
        <f t="array" ref="N7">IFERROR(_xlfn.XLOOKUP(1,(Table1[[#This Row],[Name]]='Google Forms'!$B:$B)*(Table1[[#Headers],[Netherlands - 27 August]]='Google Forms'!$C:$C),'Google Forms'!$K:$K,0,0,-1),0)</f>
        <v>18</v>
      </c>
      <c r="O7" s="9" cm="1">
        <f t="array" ref="O7">IFERROR(_xlfn.XLOOKUP(1,(Table1[[#This Row],[Name]]='Google Forms'!$B:$B)*(Table1[[#Headers],[Italy - 3 September]]='Google Forms'!$C:$C),'Google Forms'!$K:$K,0,0,-1),0)</f>
        <v>8</v>
      </c>
      <c r="P7" s="9" cm="1">
        <f t="array" ref="P7">IFERROR(_xlfn.XLOOKUP(1,(Table1[[#This Row],[Name]]='Google Forms'!$B:$B)*(Table1[[#Headers],[Singapore - 17 September]]='Google Forms'!$C:$C),'Google Forms'!$K:$K,0,0,-1),0)</f>
        <v>12</v>
      </c>
      <c r="Q7" s="9" cm="1">
        <f t="array" ref="Q7">IFERROR(_xlfn.XLOOKUP(1,(Table1[[#This Row],[Name]]='Google Forms'!$B:$B)*(Table1[[#Headers],[Japan - 24 September]]='Google Forms'!$C:$C),'Google Forms'!$K:$K,0,0,-1),0)</f>
        <v>0</v>
      </c>
      <c r="R7" s="9" cm="1">
        <f t="array" ref="R7">IFERROR(_xlfn.XLOOKUP(1,(Table1[[#This Row],[Name]]='Google Forms'!$B:$B)*(Table1[[#Headers],[Qatar - 8 October]]='Google Forms'!$C:$C),'Google Forms'!$K:$K,0,0,-1),0)</f>
        <v>12</v>
      </c>
      <c r="S7" s="9" cm="1">
        <f t="array" ref="S7">IFERROR(_xlfn.XLOOKUP(1,(Table1[[#This Row],[Name]]='Google Forms'!$B:$B)*(Table1[[#Headers],[United States - 22 October]]='Google Forms'!$C:$C),'Google Forms'!$K:$K,0,0,-1),0)</f>
        <v>6</v>
      </c>
      <c r="T7" s="9" cm="1">
        <f t="array" ref="T7">IFERROR(_xlfn.XLOOKUP(1,(Table1[[#This Row],[Name]]='Google Forms'!$B:$B)*(Table1[[#Headers],[Mexico - 29 October]]='Google Forms'!$C:$C),'Google Forms'!$K:$K,0,0,-1),0)</f>
        <v>0</v>
      </c>
      <c r="U7" s="9" cm="1">
        <f t="array" ref="U7">IFERROR(_xlfn.XLOOKUP(1,(Table1[[#This Row],[Name]]='Google Forms'!$B:$B)*(Table1[[#Headers],[Brazil - 5 November]]='Google Forms'!$C:$C),'Google Forms'!$K:$K,0,0,-1),0)</f>
        <v>12.5</v>
      </c>
      <c r="V7" s="9" cm="1">
        <f t="array" ref="V7">IFERROR(_xlfn.XLOOKUP(1,(Table1[[#This Row],[Name]]='Google Forms'!$B:$B)*(Table1[[#Headers],[Las Vegas - 18 November]]='Google Forms'!$C:$C),'Google Forms'!$K:$K,0,0,-1),0)</f>
        <v>6</v>
      </c>
      <c r="W7" s="9" cm="1">
        <f t="array" ref="W7">IFERROR(_xlfn.XLOOKUP(1,(Table1[[#This Row],[Name]]='Google Forms'!$B:$B)*(Table1[[#Headers],[Abu Dhabi - 26 November]]='Google Forms'!$C:$C),'Google Forms'!$K:$K,0,0,-1),0)</f>
        <v>12</v>
      </c>
    </row>
    <row r="8" spans="1:23" x14ac:dyDescent="0.3">
      <c r="A8" t="s">
        <v>58</v>
      </c>
      <c r="B8" s="9">
        <v>9</v>
      </c>
      <c r="C8" s="9">
        <v>0</v>
      </c>
      <c r="D8" s="9">
        <v>25</v>
      </c>
      <c r="E8" s="9" cm="1">
        <f t="array" ref="E8">IFERROR(_xlfn.XLOOKUP(1,(Table1[[#This Row],[Name]]='Google Forms'!$B:$B)*(Table1[[#Headers],[Miami - 7 May]]='Google Forms'!$C:$C),'Google Forms'!$K:$K,0,0,-1),0)</f>
        <v>18</v>
      </c>
      <c r="F8" s="9" cm="1">
        <f t="array" ref="F8">IFERROR(_xlfn.XLOOKUP(1,(Table1[[#This Row],[Name]]='Google Forms'!$B:$B)*(Table1[[#Headers],[Italy - 21 May]]='Google Forms'!$C:$C),'Google Forms'!$K:$K,0,0,-1),0)</f>
        <v>0</v>
      </c>
      <c r="G8" s="9" cm="1">
        <f t="array" ref="G8">IFERROR(_xlfn.XLOOKUP(1,(Table1[[#This Row],[Name]]='Google Forms'!$B:$B)*(Table1[[#Headers],[Monaco - 28 May]]='Google Forms'!$C:$C),'Google Forms'!$K:$K,0,0,-1),0)</f>
        <v>18</v>
      </c>
      <c r="H8" s="9" cm="1">
        <f t="array" ref="H8">IFERROR(_xlfn.XLOOKUP(1,(Table1[[#This Row],[Name]]='Google Forms'!$B:$B)*(Table1[[#Headers],[Spain - 4 June]]='Google Forms'!$C:$C),'Google Forms'!$K:$K,0,0,-1),0)</f>
        <v>3</v>
      </c>
      <c r="I8" s="9" cm="1">
        <f t="array" ref="I8">IFERROR(_xlfn.XLOOKUP(1,(Table1[[#This Row],[Name]]='Google Forms'!$B:$B)*(Table1[[#Headers],[Canada - 18 June]]='Google Forms'!$C:$C),'Google Forms'!$K:$K,0,0,-1),0)</f>
        <v>7.5</v>
      </c>
      <c r="J8" s="9" cm="1">
        <f t="array" ref="J8">IFERROR(_xlfn.XLOOKUP(1,(Table1[[#This Row],[Name]]='Google Forms'!$B:$B)*(Table1[[#Headers],[Austria - 2 July]]='Google Forms'!$C:$C),'Google Forms'!$K:$K,0,0,-1),0)</f>
        <v>1</v>
      </c>
      <c r="K8" s="9" cm="1">
        <f t="array" ref="K8">IFERROR(_xlfn.XLOOKUP(1,(Table1[[#This Row],[Name]]='Google Forms'!$B:$B)*(Table1[[#Headers],[Great Britain - 9 July]]='Google Forms'!$C:$C),'Google Forms'!$K:$K,0,0,-1),0)</f>
        <v>6</v>
      </c>
      <c r="L8" s="9" cm="1">
        <f t="array" ref="L8">IFERROR(_xlfn.XLOOKUP(1,(Table1[[#This Row],[Name]]='Google Forms'!$B:$B)*(Table1[[#Headers],[Hungary - 23 July]]='Google Forms'!$C:$C),'Google Forms'!$K:$K,0,0,-1),0)</f>
        <v>12</v>
      </c>
      <c r="M8" s="9" cm="1">
        <f t="array" ref="M8">IFERROR(_xlfn.XLOOKUP(1,(Table1[[#This Row],[Name]]='Google Forms'!$B:$B)*(Table1[[#Headers],[Belgium - 30 July]]='Google Forms'!$C:$C),'Google Forms'!$K:$K,0,0,-1),0)</f>
        <v>18</v>
      </c>
      <c r="N8" s="9" cm="1">
        <f t="array" ref="N8">IFERROR(_xlfn.XLOOKUP(1,(Table1[[#This Row],[Name]]='Google Forms'!$B:$B)*(Table1[[#Headers],[Netherlands - 27 August]]='Google Forms'!$C:$C),'Google Forms'!$K:$K,0,0,-1),0)</f>
        <v>15</v>
      </c>
      <c r="O8" s="9" cm="1">
        <f t="array" ref="O8">IFERROR(_xlfn.XLOOKUP(1,(Table1[[#This Row],[Name]]='Google Forms'!$B:$B)*(Table1[[#Headers],[Italy - 3 September]]='Google Forms'!$C:$C),'Google Forms'!$K:$K,0,0,-1),0)</f>
        <v>4</v>
      </c>
      <c r="P8" s="9" cm="1">
        <f t="array" ref="P8">IFERROR(_xlfn.XLOOKUP(1,(Table1[[#This Row],[Name]]='Google Forms'!$B:$B)*(Table1[[#Headers],[Singapore - 17 September]]='Google Forms'!$C:$C),'Google Forms'!$K:$K,0,0,-1),0)</f>
        <v>3</v>
      </c>
      <c r="Q8" s="9" cm="1">
        <f t="array" ref="Q8">IFERROR(_xlfn.XLOOKUP(1,(Table1[[#This Row],[Name]]='Google Forms'!$B:$B)*(Table1[[#Headers],[Japan - 24 September]]='Google Forms'!$C:$C),'Google Forms'!$K:$K,0,0,-1),0)</f>
        <v>15</v>
      </c>
      <c r="R8" s="9" cm="1">
        <f t="array" ref="R8">IFERROR(_xlfn.XLOOKUP(1,(Table1[[#This Row],[Name]]='Google Forms'!$B:$B)*(Table1[[#Headers],[Qatar - 8 October]]='Google Forms'!$C:$C),'Google Forms'!$K:$K,0,0,-1),0)</f>
        <v>12</v>
      </c>
      <c r="S8" s="9" cm="1">
        <f t="array" ref="S8">IFERROR(_xlfn.XLOOKUP(1,(Table1[[#This Row],[Name]]='Google Forms'!$B:$B)*(Table1[[#Headers],[United States - 22 October]]='Google Forms'!$C:$C),'Google Forms'!$K:$K,0,0,-1),0)</f>
        <v>12</v>
      </c>
      <c r="T8" s="9" cm="1">
        <f t="array" ref="T8">IFERROR(_xlfn.XLOOKUP(1,(Table1[[#This Row],[Name]]='Google Forms'!$B:$B)*(Table1[[#Headers],[Mexico - 29 October]]='Google Forms'!$C:$C),'Google Forms'!$K:$K,0,0,-1),0)</f>
        <v>7.5</v>
      </c>
      <c r="U8" s="9" cm="1">
        <f t="array" ref="U8">IFERROR(_xlfn.XLOOKUP(1,(Table1[[#This Row],[Name]]='Google Forms'!$B:$B)*(Table1[[#Headers],[Brazil - 5 November]]='Google Forms'!$C:$C),'Google Forms'!$K:$K,0,0,-1),0)</f>
        <v>2</v>
      </c>
      <c r="V8" s="9" cm="1">
        <f t="array" ref="V8">IFERROR(_xlfn.XLOOKUP(1,(Table1[[#This Row],[Name]]='Google Forms'!$B:$B)*(Table1[[#Headers],[Las Vegas - 18 November]]='Google Forms'!$C:$C),'Google Forms'!$K:$K,0,0,-1),0)</f>
        <v>9</v>
      </c>
      <c r="W8" s="9" cm="1">
        <f t="array" ref="W8">IFERROR(_xlfn.XLOOKUP(1,(Table1[[#This Row],[Name]]='Google Forms'!$B:$B)*(Table1[[#Headers],[Abu Dhabi - 26 November]]='Google Forms'!$C:$C),'Google Forms'!$K:$K,0,0,-1),0)</f>
        <v>6</v>
      </c>
    </row>
    <row r="9" spans="1:23" x14ac:dyDescent="0.3">
      <c r="A9" t="s">
        <v>56</v>
      </c>
      <c r="B9" s="9">
        <v>25</v>
      </c>
      <c r="C9" s="9">
        <v>4</v>
      </c>
      <c r="D9" s="9">
        <v>10</v>
      </c>
      <c r="E9" s="9" cm="1">
        <f t="array" ref="E9">IFERROR(_xlfn.XLOOKUP(1,(Table1[[#This Row],[Name]]='Google Forms'!$B:$B)*(Table1[[#Headers],[Miami - 7 May]]='Google Forms'!$C:$C),'Google Forms'!$K:$K,0,0,-1),0)</f>
        <v>2</v>
      </c>
      <c r="F9" s="9" cm="1">
        <f t="array" ref="F9">IFERROR(_xlfn.XLOOKUP(1,(Table1[[#This Row],[Name]]='Google Forms'!$B:$B)*(Table1[[#Headers],[Italy - 21 May]]='Google Forms'!$C:$C),'Google Forms'!$K:$K,0,0,-1),0)</f>
        <v>0</v>
      </c>
      <c r="G9" s="9" cm="1">
        <f t="array" ref="G9">IFERROR(_xlfn.XLOOKUP(1,(Table1[[#This Row],[Name]]='Google Forms'!$B:$B)*(Table1[[#Headers],[Monaco - 28 May]]='Google Forms'!$C:$C),'Google Forms'!$K:$K,0,0,-1),0)</f>
        <v>12.5</v>
      </c>
      <c r="H9" s="9" cm="1">
        <f t="array" ref="H9">IFERROR(_xlfn.XLOOKUP(1,(Table1[[#This Row],[Name]]='Google Forms'!$B:$B)*(Table1[[#Headers],[Spain - 4 June]]='Google Forms'!$C:$C),'Google Forms'!$K:$K,0,0,-1),0)</f>
        <v>12.5</v>
      </c>
      <c r="I9" s="9" cm="1">
        <f t="array" ref="I9">IFERROR(_xlfn.XLOOKUP(1,(Table1[[#This Row],[Name]]='Google Forms'!$B:$B)*(Table1[[#Headers],[Canada - 18 June]]='Google Forms'!$C:$C),'Google Forms'!$K:$K,0,0,-1),0)</f>
        <v>18</v>
      </c>
      <c r="J9" s="9" cm="1">
        <f t="array" ref="J9">IFERROR(_xlfn.XLOOKUP(1,(Table1[[#This Row],[Name]]='Google Forms'!$B:$B)*(Table1[[#Headers],[Austria - 2 July]]='Google Forms'!$C:$C),'Google Forms'!$K:$K,0,0,-1),0)</f>
        <v>7.5</v>
      </c>
      <c r="K9" s="9" cm="1">
        <f t="array" ref="K9">IFERROR(_xlfn.XLOOKUP(1,(Table1[[#This Row],[Name]]='Google Forms'!$B:$B)*(Table1[[#Headers],[Great Britain - 9 July]]='Google Forms'!$C:$C),'Google Forms'!$K:$K,0,0,-1),0)</f>
        <v>6</v>
      </c>
      <c r="L9" s="9" cm="1">
        <f t="array" ref="L9">IFERROR(_xlfn.XLOOKUP(1,(Table1[[#This Row],[Name]]='Google Forms'!$B:$B)*(Table1[[#Headers],[Hungary - 23 July]]='Google Forms'!$C:$C),'Google Forms'!$K:$K,0,0,-1),0)</f>
        <v>6</v>
      </c>
      <c r="M9" s="9" cm="1">
        <f t="array" ref="M9">IFERROR(_xlfn.XLOOKUP(1,(Table1[[#This Row],[Name]]='Google Forms'!$B:$B)*(Table1[[#Headers],[Belgium - 30 July]]='Google Forms'!$C:$C),'Google Forms'!$K:$K,0,0,-1),0)</f>
        <v>12.5</v>
      </c>
      <c r="N9" s="9" cm="1">
        <f t="array" ref="N9">IFERROR(_xlfn.XLOOKUP(1,(Table1[[#This Row],[Name]]='Google Forms'!$B:$B)*(Table1[[#Headers],[Netherlands - 27 August]]='Google Forms'!$C:$C),'Google Forms'!$K:$K,0,0,-1),0)</f>
        <v>5</v>
      </c>
      <c r="O9" s="9" cm="1">
        <f t="array" ref="O9">IFERROR(_xlfn.XLOOKUP(1,(Table1[[#This Row],[Name]]='Google Forms'!$B:$B)*(Table1[[#Headers],[Italy - 3 September]]='Google Forms'!$C:$C),'Google Forms'!$K:$K,0,0,-1),0)</f>
        <v>5</v>
      </c>
      <c r="P9" s="9" cm="1">
        <f t="array" ref="P9">IFERROR(_xlfn.XLOOKUP(1,(Table1[[#This Row],[Name]]='Google Forms'!$B:$B)*(Table1[[#Headers],[Singapore - 17 September]]='Google Forms'!$C:$C),'Google Forms'!$K:$K,0,0,-1),0)</f>
        <v>25</v>
      </c>
      <c r="Q9" s="9" cm="1">
        <f t="array" ref="Q9">IFERROR(_xlfn.XLOOKUP(1,(Table1[[#This Row],[Name]]='Google Forms'!$B:$B)*(Table1[[#Headers],[Japan - 24 September]]='Google Forms'!$C:$C),'Google Forms'!$K:$K,0,0,-1),0)</f>
        <v>10</v>
      </c>
      <c r="R9" s="9" cm="1">
        <f t="array" ref="R9">IFERROR(_xlfn.XLOOKUP(1,(Table1[[#This Row],[Name]]='Google Forms'!$B:$B)*(Table1[[#Headers],[Qatar - 8 October]]='Google Forms'!$C:$C),'Google Forms'!$K:$K,0,0,-1),0)</f>
        <v>12</v>
      </c>
      <c r="S9" s="9" cm="1">
        <f t="array" ref="S9">IFERROR(_xlfn.XLOOKUP(1,(Table1[[#This Row],[Name]]='Google Forms'!$B:$B)*(Table1[[#Headers],[United States - 22 October]]='Google Forms'!$C:$C),'Google Forms'!$K:$K,0,0,-1),0)</f>
        <v>6</v>
      </c>
      <c r="T9" s="9" cm="1">
        <f t="array" ref="T9">IFERROR(_xlfn.XLOOKUP(1,(Table1[[#This Row],[Name]]='Google Forms'!$B:$B)*(Table1[[#Headers],[Mexico - 29 October]]='Google Forms'!$C:$C),'Google Forms'!$K:$K,0,0,-1),0)</f>
        <v>3</v>
      </c>
      <c r="U9" s="9" cm="1">
        <f t="array" ref="U9">IFERROR(_xlfn.XLOOKUP(1,(Table1[[#This Row],[Name]]='Google Forms'!$B:$B)*(Table1[[#Headers],[Brazil - 5 November]]='Google Forms'!$C:$C),'Google Forms'!$K:$K,0,0,-1),0)</f>
        <v>0</v>
      </c>
      <c r="V9" s="9" cm="1">
        <f t="array" ref="V9">IFERROR(_xlfn.XLOOKUP(1,(Table1[[#This Row],[Name]]='Google Forms'!$B:$B)*(Table1[[#Headers],[Las Vegas - 18 November]]='Google Forms'!$C:$C),'Google Forms'!$K:$K,0,0,-1),0)</f>
        <v>7.5</v>
      </c>
      <c r="W9" s="9" cm="1">
        <f t="array" ref="W9">IFERROR(_xlfn.XLOOKUP(1,(Table1[[#This Row],[Name]]='Google Forms'!$B:$B)*(Table1[[#Headers],[Abu Dhabi - 26 November]]='Google Forms'!$C:$C),'Google Forms'!$K:$K,0,0,-1),0)</f>
        <v>12.5</v>
      </c>
    </row>
    <row r="10" spans="1:23" x14ac:dyDescent="0.3">
      <c r="A10" t="s">
        <v>72</v>
      </c>
      <c r="B10" s="9">
        <v>7.5</v>
      </c>
      <c r="C10" s="9">
        <v>4</v>
      </c>
      <c r="D10" s="9">
        <v>0.25</v>
      </c>
      <c r="E10" s="9" cm="1">
        <f t="array" ref="E10">IFERROR(_xlfn.XLOOKUP(1,(Table1[[#This Row],[Name]]='Google Forms'!$B:$B)*(Table1[[#Headers],[Miami - 7 May]]='Google Forms'!$C:$C),'Google Forms'!$K:$K,0,0,-1),0)</f>
        <v>6</v>
      </c>
      <c r="F10" s="9" cm="1">
        <f t="array" ref="F10">IFERROR(_xlfn.XLOOKUP(1,(Table1[[#This Row],[Name]]='Google Forms'!$B:$B)*(Table1[[#Headers],[Italy - 21 May]]='Google Forms'!$C:$C),'Google Forms'!$K:$K,0,0,-1),0)</f>
        <v>0</v>
      </c>
      <c r="G10" s="9" cm="1">
        <f t="array" ref="G10">IFERROR(_xlfn.XLOOKUP(1,(Table1[[#This Row],[Name]]='Google Forms'!$B:$B)*(Table1[[#Headers],[Monaco - 28 May]]='Google Forms'!$C:$C),'Google Forms'!$K:$K,0,0,-1),0)</f>
        <v>18</v>
      </c>
      <c r="H10" s="9" cm="1">
        <f t="array" ref="H10">IFERROR(_xlfn.XLOOKUP(1,(Table1[[#This Row],[Name]]='Google Forms'!$B:$B)*(Table1[[#Headers],[Spain - 4 June]]='Google Forms'!$C:$C),'Google Forms'!$K:$K,0,0,-1),0)</f>
        <v>12.5</v>
      </c>
      <c r="I10" s="9" cm="1">
        <f t="array" ref="I10">IFERROR(_xlfn.XLOOKUP(1,(Table1[[#This Row],[Name]]='Google Forms'!$B:$B)*(Table1[[#Headers],[Canada - 18 June]]='Google Forms'!$C:$C),'Google Forms'!$K:$K,0,0,-1),0)</f>
        <v>6</v>
      </c>
      <c r="J10" s="9" cm="1">
        <f t="array" ref="J10">IFERROR(_xlfn.XLOOKUP(1,(Table1[[#This Row],[Name]]='Google Forms'!$B:$B)*(Table1[[#Headers],[Austria - 2 July]]='Google Forms'!$C:$C),'Google Forms'!$K:$K,0,0,-1),0)</f>
        <v>12.5</v>
      </c>
      <c r="K10" s="9" cm="1">
        <f t="array" ref="K10">IFERROR(_xlfn.XLOOKUP(1,(Table1[[#This Row],[Name]]='Google Forms'!$B:$B)*(Table1[[#Headers],[Great Britain - 9 July]]='Google Forms'!$C:$C),'Google Forms'!$K:$K,0,0,-1),0)</f>
        <v>2</v>
      </c>
      <c r="L10" s="9" cm="1">
        <f t="array" ref="L10">IFERROR(_xlfn.XLOOKUP(1,(Table1[[#This Row],[Name]]='Google Forms'!$B:$B)*(Table1[[#Headers],[Hungary - 23 July]]='Google Forms'!$C:$C),'Google Forms'!$K:$K,0,0,-1),0)</f>
        <v>25</v>
      </c>
      <c r="M10" s="9" cm="1">
        <f t="array" ref="M10">IFERROR(_xlfn.XLOOKUP(1,(Table1[[#This Row],[Name]]='Google Forms'!$B:$B)*(Table1[[#Headers],[Belgium - 30 July]]='Google Forms'!$C:$C),'Google Forms'!$K:$K,0,0,-1),0)</f>
        <v>18</v>
      </c>
      <c r="N10" s="9" cm="1">
        <f t="array" ref="N10">IFERROR(_xlfn.XLOOKUP(1,(Table1[[#This Row],[Name]]='Google Forms'!$B:$B)*(Table1[[#Headers],[Netherlands - 27 August]]='Google Forms'!$C:$C),'Google Forms'!$K:$K,0,0,-1),0)</f>
        <v>15</v>
      </c>
      <c r="O10" s="9" cm="1">
        <f t="array" ref="O10">IFERROR(_xlfn.XLOOKUP(1,(Table1[[#This Row],[Name]]='Google Forms'!$B:$B)*(Table1[[#Headers],[Italy - 3 September]]='Google Forms'!$C:$C),'Google Forms'!$K:$K,0,0,-1),0)</f>
        <v>5</v>
      </c>
      <c r="P10" s="9" cm="1">
        <f t="array" ref="P10">IFERROR(_xlfn.XLOOKUP(1,(Table1[[#This Row],[Name]]='Google Forms'!$B:$B)*(Table1[[#Headers],[Singapore - 17 September]]='Google Forms'!$C:$C),'Google Forms'!$K:$K,0,0,-1),0)</f>
        <v>4</v>
      </c>
      <c r="Q10" s="9" cm="1">
        <f t="array" ref="Q10">IFERROR(_xlfn.XLOOKUP(1,(Table1[[#This Row],[Name]]='Google Forms'!$B:$B)*(Table1[[#Headers],[Japan - 24 September]]='Google Forms'!$C:$C),'Google Forms'!$K:$K,0,0,-1),0)</f>
        <v>12.5</v>
      </c>
      <c r="R10" s="9" cm="1">
        <f t="array" ref="R10">IFERROR(_xlfn.XLOOKUP(1,(Table1[[#This Row],[Name]]='Google Forms'!$B:$B)*(Table1[[#Headers],[Qatar - 8 October]]='Google Forms'!$C:$C),'Google Forms'!$K:$K,0,0,-1),0)</f>
        <v>10</v>
      </c>
      <c r="S10" s="9" cm="1">
        <f t="array" ref="S10">IFERROR(_xlfn.XLOOKUP(1,(Table1[[#This Row],[Name]]='Google Forms'!$B:$B)*(Table1[[#Headers],[United States - 22 October]]='Google Forms'!$C:$C),'Google Forms'!$K:$K,0,0,-1),0)</f>
        <v>4</v>
      </c>
      <c r="T10" s="9" cm="1">
        <f t="array" ref="T10">IFERROR(_xlfn.XLOOKUP(1,(Table1[[#This Row],[Name]]='Google Forms'!$B:$B)*(Table1[[#Headers],[Mexico - 29 October]]='Google Forms'!$C:$C),'Google Forms'!$K:$K,0,0,-1),0)</f>
        <v>8</v>
      </c>
      <c r="U10" s="9" cm="1">
        <f t="array" ref="U10">IFERROR(_xlfn.XLOOKUP(1,(Table1[[#This Row],[Name]]='Google Forms'!$B:$B)*(Table1[[#Headers],[Brazil - 5 November]]='Google Forms'!$C:$C),'Google Forms'!$K:$K,0,0,-1),0)</f>
        <v>3</v>
      </c>
      <c r="V10" s="9" cm="1">
        <f t="array" ref="V10">IFERROR(_xlfn.XLOOKUP(1,(Table1[[#This Row],[Name]]='Google Forms'!$B:$B)*(Table1[[#Headers],[Las Vegas - 18 November]]='Google Forms'!$C:$C),'Google Forms'!$K:$K,0,0,-1),0)</f>
        <v>15</v>
      </c>
      <c r="W10" s="9" cm="1">
        <f t="array" ref="W10">IFERROR(_xlfn.XLOOKUP(1,(Table1[[#This Row],[Name]]='Google Forms'!$B:$B)*(Table1[[#Headers],[Abu Dhabi - 26 November]]='Google Forms'!$C:$C),'Google Forms'!$K:$K,0,0,-1),0)</f>
        <v>12.5</v>
      </c>
    </row>
    <row r="11" spans="1:23" x14ac:dyDescent="0.3">
      <c r="A11" t="s">
        <v>63</v>
      </c>
      <c r="B11" s="9">
        <v>10</v>
      </c>
      <c r="C11" s="9">
        <v>8</v>
      </c>
      <c r="D11" s="9">
        <v>4</v>
      </c>
      <c r="E11" s="9" cm="1">
        <f t="array" ref="E11">IFERROR(_xlfn.XLOOKUP(1,(Table1[[#This Row],[Name]]='Google Forms'!$B:$B)*(Table1[[#Headers],[Miami - 7 May]]='Google Forms'!$C:$C),'Google Forms'!$K:$K,0,0,-1),0)</f>
        <v>25</v>
      </c>
      <c r="F11" s="9" cm="1">
        <f t="array" ref="F11">IFERROR(_xlfn.XLOOKUP(1,(Table1[[#This Row],[Name]]='Google Forms'!$B:$B)*(Table1[[#Headers],[Italy - 21 May]]='Google Forms'!$C:$C),'Google Forms'!$K:$K,0,0,-1),0)</f>
        <v>0</v>
      </c>
      <c r="G11" s="9" cm="1">
        <f t="array" ref="G11">IFERROR(_xlfn.XLOOKUP(1,(Table1[[#This Row],[Name]]='Google Forms'!$B:$B)*(Table1[[#Headers],[Monaco - 28 May]]='Google Forms'!$C:$C),'Google Forms'!$K:$K,0,0,-1),0)</f>
        <v>8</v>
      </c>
      <c r="H11" s="9" cm="1">
        <f t="array" ref="H11">IFERROR(_xlfn.XLOOKUP(1,(Table1[[#This Row],[Name]]='Google Forms'!$B:$B)*(Table1[[#Headers],[Spain - 4 June]]='Google Forms'!$C:$C),'Google Forms'!$K:$K,0,0,-1),0)</f>
        <v>10</v>
      </c>
      <c r="I11" s="9" cm="1">
        <f t="array" ref="I11">IFERROR(_xlfn.XLOOKUP(1,(Table1[[#This Row],[Name]]='Google Forms'!$B:$B)*(Table1[[#Headers],[Canada - 18 June]]='Google Forms'!$C:$C),'Google Forms'!$K:$K,0,0,-1),0)</f>
        <v>6</v>
      </c>
      <c r="J11" s="9" cm="1">
        <f t="array" ref="J11">IFERROR(_xlfn.XLOOKUP(1,(Table1[[#This Row],[Name]]='Google Forms'!$B:$B)*(Table1[[#Headers],[Austria - 2 July]]='Google Forms'!$C:$C),'Google Forms'!$K:$K,0,0,-1),0)</f>
        <v>15</v>
      </c>
      <c r="K11" s="9" cm="1">
        <f t="array" ref="K11">IFERROR(_xlfn.XLOOKUP(1,(Table1[[#This Row],[Name]]='Google Forms'!$B:$B)*(Table1[[#Headers],[Great Britain - 9 July]]='Google Forms'!$C:$C),'Google Forms'!$K:$K,0,0,-1),0)</f>
        <v>0</v>
      </c>
      <c r="L11" s="9" cm="1">
        <f t="array" ref="L11">IFERROR(_xlfn.XLOOKUP(1,(Table1[[#This Row],[Name]]='Google Forms'!$B:$B)*(Table1[[#Headers],[Hungary - 23 July]]='Google Forms'!$C:$C),'Google Forms'!$K:$K,0,0,-1),0)</f>
        <v>0</v>
      </c>
      <c r="M11" s="9" cm="1">
        <f t="array" ref="M11">IFERROR(_xlfn.XLOOKUP(1,(Table1[[#This Row],[Name]]='Google Forms'!$B:$B)*(Table1[[#Headers],[Belgium - 30 July]]='Google Forms'!$C:$C),'Google Forms'!$K:$K,0,0,-1),0)</f>
        <v>25</v>
      </c>
      <c r="N11" s="9" cm="1">
        <f t="array" ref="N11">IFERROR(_xlfn.XLOOKUP(1,(Table1[[#This Row],[Name]]='Google Forms'!$B:$B)*(Table1[[#Headers],[Netherlands - 27 August]]='Google Forms'!$C:$C),'Google Forms'!$K:$K,0,0,-1),0)</f>
        <v>12</v>
      </c>
      <c r="O11" s="9" cm="1">
        <f t="array" ref="O11">IFERROR(_xlfn.XLOOKUP(1,(Table1[[#This Row],[Name]]='Google Forms'!$B:$B)*(Table1[[#Headers],[Italy - 3 September]]='Google Forms'!$C:$C),'Google Forms'!$K:$K,0,0,-1),0)</f>
        <v>4</v>
      </c>
      <c r="P11" s="9" cm="1">
        <f t="array" ref="P11">IFERROR(_xlfn.XLOOKUP(1,(Table1[[#This Row],[Name]]='Google Forms'!$B:$B)*(Table1[[#Headers],[Singapore - 17 September]]='Google Forms'!$C:$C),'Google Forms'!$K:$K,0,0,-1),0)</f>
        <v>0</v>
      </c>
      <c r="Q11" s="9" cm="1">
        <f t="array" ref="Q11">IFERROR(_xlfn.XLOOKUP(1,(Table1[[#This Row],[Name]]='Google Forms'!$B:$B)*(Table1[[#Headers],[Japan - 24 September]]='Google Forms'!$C:$C),'Google Forms'!$K:$K,0,0,-1),0)</f>
        <v>0</v>
      </c>
      <c r="R11" s="9" cm="1">
        <f t="array" ref="R11">IFERROR(_xlfn.XLOOKUP(1,(Table1[[#This Row],[Name]]='Google Forms'!$B:$B)*(Table1[[#Headers],[Qatar - 8 October]]='Google Forms'!$C:$C),'Google Forms'!$K:$K,0,0,-1),0)</f>
        <v>10</v>
      </c>
      <c r="S11" s="9" cm="1">
        <f t="array" ref="S11">IFERROR(_xlfn.XLOOKUP(1,(Table1[[#This Row],[Name]]='Google Forms'!$B:$B)*(Table1[[#Headers],[United States - 22 October]]='Google Forms'!$C:$C),'Google Forms'!$K:$K,0,0,-1),0)</f>
        <v>12</v>
      </c>
      <c r="T11" s="9" cm="1">
        <f t="array" ref="T11">IFERROR(_xlfn.XLOOKUP(1,(Table1[[#This Row],[Name]]='Google Forms'!$B:$B)*(Table1[[#Headers],[Mexico - 29 October]]='Google Forms'!$C:$C),'Google Forms'!$K:$K,0,0,-1),0)</f>
        <v>10</v>
      </c>
      <c r="U11" s="9" cm="1">
        <f t="array" ref="U11">IFERROR(_xlfn.XLOOKUP(1,(Table1[[#This Row],[Name]]='Google Forms'!$B:$B)*(Table1[[#Headers],[Brazil - 5 November]]='Google Forms'!$C:$C),'Google Forms'!$K:$K,0,0,-1),0)</f>
        <v>12.5</v>
      </c>
      <c r="V11" s="9" cm="1">
        <f t="array" ref="V11">IFERROR(_xlfn.XLOOKUP(1,(Table1[[#This Row],[Name]]='Google Forms'!$B:$B)*(Table1[[#Headers],[Las Vegas - 18 November]]='Google Forms'!$C:$C),'Google Forms'!$K:$K,0,0,-1),0)</f>
        <v>15</v>
      </c>
      <c r="W11" s="9" cm="1">
        <f t="array" ref="W11">IFERROR(_xlfn.XLOOKUP(1,(Table1[[#This Row],[Name]]='Google Forms'!$B:$B)*(Table1[[#Headers],[Abu Dhabi - 26 November]]='Google Forms'!$C:$C),'Google Forms'!$K:$K,0,0,-1),0)</f>
        <v>12</v>
      </c>
    </row>
    <row r="12" spans="1:23" x14ac:dyDescent="0.3">
      <c r="A12" t="s">
        <v>64</v>
      </c>
      <c r="B12" s="9">
        <v>6</v>
      </c>
      <c r="C12" s="9">
        <v>4</v>
      </c>
      <c r="D12" s="9">
        <v>25</v>
      </c>
      <c r="E12" s="9" cm="1">
        <f t="array" ref="E12">IFERROR(_xlfn.XLOOKUP(1,(Table1[[#This Row],[Name]]='Google Forms'!$B:$B)*(Table1[[#Headers],[Miami - 7 May]]='Google Forms'!$C:$C),'Google Forms'!$K:$K,0,0,-1),0)</f>
        <v>18</v>
      </c>
      <c r="F12" s="9" cm="1">
        <f t="array" ref="F12">IFERROR(_xlfn.XLOOKUP(1,(Table1[[#This Row],[Name]]='Google Forms'!$B:$B)*(Table1[[#Headers],[Italy - 21 May]]='Google Forms'!$C:$C),'Google Forms'!$K:$K,0,0,-1),0)</f>
        <v>0</v>
      </c>
      <c r="G12" s="9" cm="1">
        <f t="array" ref="G12">IFERROR(_xlfn.XLOOKUP(1,(Table1[[#This Row],[Name]]='Google Forms'!$B:$B)*(Table1[[#Headers],[Monaco - 28 May]]='Google Forms'!$C:$C),'Google Forms'!$K:$K,0,0,-1),0)</f>
        <v>4</v>
      </c>
      <c r="H12" s="9" cm="1">
        <f t="array" ref="H12">IFERROR(_xlfn.XLOOKUP(1,(Table1[[#This Row],[Name]]='Google Forms'!$B:$B)*(Table1[[#Headers],[Spain - 4 June]]='Google Forms'!$C:$C),'Google Forms'!$K:$K,0,0,-1),0)</f>
        <v>0.5</v>
      </c>
      <c r="I12" s="9" cm="1">
        <f t="array" ref="I12">IFERROR(_xlfn.XLOOKUP(1,(Table1[[#This Row],[Name]]='Google Forms'!$B:$B)*(Table1[[#Headers],[Canada - 18 June]]='Google Forms'!$C:$C),'Google Forms'!$K:$K,0,0,-1),0)</f>
        <v>12</v>
      </c>
      <c r="J12" s="9" cm="1">
        <f t="array" ref="J12">IFERROR(_xlfn.XLOOKUP(1,(Table1[[#This Row],[Name]]='Google Forms'!$B:$B)*(Table1[[#Headers],[Austria - 2 July]]='Google Forms'!$C:$C),'Google Forms'!$K:$K,0,0,-1),0)</f>
        <v>25</v>
      </c>
      <c r="K12" s="9" cm="1">
        <f t="array" ref="K12">IFERROR(_xlfn.XLOOKUP(1,(Table1[[#This Row],[Name]]='Google Forms'!$B:$B)*(Table1[[#Headers],[Great Britain - 9 July]]='Google Forms'!$C:$C),'Google Forms'!$K:$K,0,0,-1),0)</f>
        <v>12</v>
      </c>
      <c r="L12" s="9" cm="1">
        <f t="array" ref="L12">IFERROR(_xlfn.XLOOKUP(1,(Table1[[#This Row],[Name]]='Google Forms'!$B:$B)*(Table1[[#Headers],[Hungary - 23 July]]='Google Forms'!$C:$C),'Google Forms'!$K:$K,0,0,-1),0)</f>
        <v>3</v>
      </c>
      <c r="M12" s="9" cm="1">
        <f t="array" ref="M12">IFERROR(_xlfn.XLOOKUP(1,(Table1[[#This Row],[Name]]='Google Forms'!$B:$B)*(Table1[[#Headers],[Belgium - 30 July]]='Google Forms'!$C:$C),'Google Forms'!$K:$K,0,0,-1),0)</f>
        <v>15</v>
      </c>
      <c r="N12" s="9" cm="1">
        <f t="array" ref="N12">IFERROR(_xlfn.XLOOKUP(1,(Table1[[#This Row],[Name]]='Google Forms'!$B:$B)*(Table1[[#Headers],[Netherlands - 27 August]]='Google Forms'!$C:$C),'Google Forms'!$K:$K,0,0,-1),0)</f>
        <v>0</v>
      </c>
      <c r="O12" s="9" cm="1">
        <f t="array" ref="O12">IFERROR(_xlfn.XLOOKUP(1,(Table1[[#This Row],[Name]]='Google Forms'!$B:$B)*(Table1[[#Headers],[Italy - 3 September]]='Google Forms'!$C:$C),'Google Forms'!$K:$K,0,0,-1),0)</f>
        <v>0</v>
      </c>
      <c r="P12" s="9" cm="1">
        <f t="array" ref="P12">IFERROR(_xlfn.XLOOKUP(1,(Table1[[#This Row],[Name]]='Google Forms'!$B:$B)*(Table1[[#Headers],[Singapore - 17 September]]='Google Forms'!$C:$C),'Google Forms'!$K:$K,0,0,-1),0)</f>
        <v>8</v>
      </c>
      <c r="Q12" s="9" cm="1">
        <f t="array" ref="Q12">IFERROR(_xlfn.XLOOKUP(1,(Table1[[#This Row],[Name]]='Google Forms'!$B:$B)*(Table1[[#Headers],[Japan - 24 September]]='Google Forms'!$C:$C),'Google Forms'!$K:$K,0,0,-1),0)</f>
        <v>10</v>
      </c>
      <c r="R12" s="9" cm="1">
        <f t="array" ref="R12">IFERROR(_xlfn.XLOOKUP(1,(Table1[[#This Row],[Name]]='Google Forms'!$B:$B)*(Table1[[#Headers],[Qatar - 8 October]]='Google Forms'!$C:$C),'Google Forms'!$K:$K,0,0,-1),0)</f>
        <v>25</v>
      </c>
      <c r="S12" s="9" cm="1">
        <f t="array" ref="S12">IFERROR(_xlfn.XLOOKUP(1,(Table1[[#This Row],[Name]]='Google Forms'!$B:$B)*(Table1[[#Headers],[United States - 22 October]]='Google Forms'!$C:$C),'Google Forms'!$K:$K,0,0,-1),0)</f>
        <v>0.25</v>
      </c>
      <c r="T12" s="9" cm="1">
        <f t="array" ref="T12">IFERROR(_xlfn.XLOOKUP(1,(Table1[[#This Row],[Name]]='Google Forms'!$B:$B)*(Table1[[#Headers],[Mexico - 29 October]]='Google Forms'!$C:$C),'Google Forms'!$K:$K,0,0,-1),0)</f>
        <v>8</v>
      </c>
      <c r="U12" s="9" cm="1">
        <f t="array" ref="U12">IFERROR(_xlfn.XLOOKUP(1,(Table1[[#This Row],[Name]]='Google Forms'!$B:$B)*(Table1[[#Headers],[Brazil - 5 November]]='Google Forms'!$C:$C),'Google Forms'!$K:$K,0,0,-1),0)</f>
        <v>9</v>
      </c>
      <c r="V12" s="9" cm="1">
        <f t="array" ref="V12">IFERROR(_xlfn.XLOOKUP(1,(Table1[[#This Row],[Name]]='Google Forms'!$B:$B)*(Table1[[#Headers],[Las Vegas - 18 November]]='Google Forms'!$C:$C),'Google Forms'!$K:$K,0,0,-1),0)</f>
        <v>0</v>
      </c>
      <c r="W12" s="9" cm="1">
        <f t="array" ref="W12">IFERROR(_xlfn.XLOOKUP(1,(Table1[[#This Row],[Name]]='Google Forms'!$B:$B)*(Table1[[#Headers],[Abu Dhabi - 26 November]]='Google Forms'!$C:$C),'Google Forms'!$K:$K,0,0,-1),0)</f>
        <v>12</v>
      </c>
    </row>
    <row r="13" spans="1:23" x14ac:dyDescent="0.3">
      <c r="A13" t="s">
        <v>53</v>
      </c>
      <c r="B13" s="9">
        <v>25</v>
      </c>
      <c r="C13" s="9">
        <v>25</v>
      </c>
      <c r="D13" s="9">
        <v>12.5</v>
      </c>
      <c r="E13" s="9" cm="1">
        <f t="array" ref="E13">IFERROR(_xlfn.XLOOKUP(1,(Table1[[#This Row],[Name]]='Google Forms'!$B:$B)*(Table1[[#Headers],[Miami - 7 May]]='Google Forms'!$C:$C),'Google Forms'!$K:$K,0,0,-1),0)</f>
        <v>1</v>
      </c>
      <c r="F13" s="9" cm="1">
        <f t="array" ref="F13">IFERROR(_xlfn.XLOOKUP(1,(Table1[[#This Row],[Name]]='Google Forms'!$B:$B)*(Table1[[#Headers],[Italy - 21 May]]='Google Forms'!$C:$C),'Google Forms'!$K:$K,0,0,-1),0)</f>
        <v>0</v>
      </c>
      <c r="G13" s="9" cm="1">
        <f t="array" ref="G13">IFERROR(_xlfn.XLOOKUP(1,(Table1[[#This Row],[Name]]='Google Forms'!$B:$B)*(Table1[[#Headers],[Monaco - 28 May]]='Google Forms'!$C:$C),'Google Forms'!$K:$K,0,0,-1),0)</f>
        <v>1</v>
      </c>
      <c r="H13" s="9" cm="1">
        <f t="array" ref="H13">IFERROR(_xlfn.XLOOKUP(1,(Table1[[#This Row],[Name]]='Google Forms'!$B:$B)*(Table1[[#Headers],[Spain - 4 June]]='Google Forms'!$C:$C),'Google Forms'!$K:$K,0,0,-1),0)</f>
        <v>6</v>
      </c>
      <c r="I13" s="9" cm="1">
        <f t="array" ref="I13">IFERROR(_xlfn.XLOOKUP(1,(Table1[[#This Row],[Name]]='Google Forms'!$B:$B)*(Table1[[#Headers],[Canada - 18 June]]='Google Forms'!$C:$C),'Google Forms'!$K:$K,0,0,-1),0)</f>
        <v>15</v>
      </c>
      <c r="J13" s="9" cm="1">
        <f t="array" ref="J13">IFERROR(_xlfn.XLOOKUP(1,(Table1[[#This Row],[Name]]='Google Forms'!$B:$B)*(Table1[[#Headers],[Austria - 2 July]]='Google Forms'!$C:$C),'Google Forms'!$K:$K,0,0,-1),0)</f>
        <v>25</v>
      </c>
      <c r="K13" s="9" cm="1">
        <f t="array" ref="K13">IFERROR(_xlfn.XLOOKUP(1,(Table1[[#This Row],[Name]]='Google Forms'!$B:$B)*(Table1[[#Headers],[Great Britain - 9 July]]='Google Forms'!$C:$C),'Google Forms'!$K:$K,0,0,-1),0)</f>
        <v>2</v>
      </c>
      <c r="L13" s="9" cm="1">
        <f t="array" ref="L13">IFERROR(_xlfn.XLOOKUP(1,(Table1[[#This Row],[Name]]='Google Forms'!$B:$B)*(Table1[[#Headers],[Hungary - 23 July]]='Google Forms'!$C:$C),'Google Forms'!$K:$K,0,0,-1),0)</f>
        <v>0</v>
      </c>
      <c r="M13" s="9" cm="1">
        <f t="array" ref="M13">IFERROR(_xlfn.XLOOKUP(1,(Table1[[#This Row],[Name]]='Google Forms'!$B:$B)*(Table1[[#Headers],[Belgium - 30 July]]='Google Forms'!$C:$C),'Google Forms'!$K:$K,0,0,-1),0)</f>
        <v>18</v>
      </c>
      <c r="N13" s="9" cm="1">
        <f t="array" ref="N13">IFERROR(_xlfn.XLOOKUP(1,(Table1[[#This Row],[Name]]='Google Forms'!$B:$B)*(Table1[[#Headers],[Netherlands - 27 August]]='Google Forms'!$C:$C),'Google Forms'!$K:$K,0,0,-1),0)</f>
        <v>7.5</v>
      </c>
      <c r="O13" s="9" cm="1">
        <f t="array" ref="O13">IFERROR(_xlfn.XLOOKUP(1,(Table1[[#This Row],[Name]]='Google Forms'!$B:$B)*(Table1[[#Headers],[Italy - 3 September]]='Google Forms'!$C:$C),'Google Forms'!$K:$K,0,0,-1),0)</f>
        <v>6</v>
      </c>
      <c r="P13" s="9" cm="1">
        <f t="array" ref="P13">IFERROR(_xlfn.XLOOKUP(1,(Table1[[#This Row],[Name]]='Google Forms'!$B:$B)*(Table1[[#Headers],[Singapore - 17 September]]='Google Forms'!$C:$C),'Google Forms'!$K:$K,0,0,-1),0)</f>
        <v>3</v>
      </c>
      <c r="Q13" s="9" cm="1">
        <f t="array" ref="Q13">IFERROR(_xlfn.XLOOKUP(1,(Table1[[#This Row],[Name]]='Google Forms'!$B:$B)*(Table1[[#Headers],[Japan - 24 September]]='Google Forms'!$C:$C),'Google Forms'!$K:$K,0,0,-1),0)</f>
        <v>10</v>
      </c>
      <c r="R13" s="9" cm="1">
        <f t="array" ref="R13">IFERROR(_xlfn.XLOOKUP(1,(Table1[[#This Row],[Name]]='Google Forms'!$B:$B)*(Table1[[#Headers],[Qatar - 8 October]]='Google Forms'!$C:$C),'Google Forms'!$K:$K,0,0,-1),0)</f>
        <v>6</v>
      </c>
      <c r="S13" s="9" cm="1">
        <f t="array" ref="S13">IFERROR(_xlfn.XLOOKUP(1,(Table1[[#This Row],[Name]]='Google Forms'!$B:$B)*(Table1[[#Headers],[United States - 22 October]]='Google Forms'!$C:$C),'Google Forms'!$K:$K,0,0,-1),0)</f>
        <v>6</v>
      </c>
      <c r="T13" s="9" cm="1">
        <f t="array" ref="T13">IFERROR(_xlfn.XLOOKUP(1,(Table1[[#This Row],[Name]]='Google Forms'!$B:$B)*(Table1[[#Headers],[Mexico - 29 October]]='Google Forms'!$C:$C),'Google Forms'!$K:$K,0,0,-1),0)</f>
        <v>15</v>
      </c>
      <c r="U13" s="9" cm="1">
        <f t="array" ref="U13">IFERROR(_xlfn.XLOOKUP(1,(Table1[[#This Row],[Name]]='Google Forms'!$B:$B)*(Table1[[#Headers],[Brazil - 5 November]]='Google Forms'!$C:$C),'Google Forms'!$K:$K,0,0,-1),0)</f>
        <v>5</v>
      </c>
      <c r="V13" s="9" cm="1">
        <f t="array" ref="V13">IFERROR(_xlfn.XLOOKUP(1,(Table1[[#This Row],[Name]]='Google Forms'!$B:$B)*(Table1[[#Headers],[Las Vegas - 18 November]]='Google Forms'!$C:$C),'Google Forms'!$K:$K,0,0,-1),0)</f>
        <v>1</v>
      </c>
      <c r="W13" s="9" cm="1">
        <f t="array" ref="W13">IFERROR(_xlfn.XLOOKUP(1,(Table1[[#This Row],[Name]]='Google Forms'!$B:$B)*(Table1[[#Headers],[Abu Dhabi - 26 November]]='Google Forms'!$C:$C),'Google Forms'!$K:$K,0,0,-1),0)</f>
        <v>6</v>
      </c>
    </row>
    <row r="14" spans="1:23" x14ac:dyDescent="0.3">
      <c r="A14" t="s">
        <v>54</v>
      </c>
      <c r="B14" s="9">
        <v>12.5</v>
      </c>
      <c r="C14" s="9">
        <v>12.5</v>
      </c>
      <c r="D14" s="9">
        <v>5</v>
      </c>
      <c r="E14" s="9" cm="1">
        <f t="array" ref="E14">IFERROR(_xlfn.XLOOKUP(1,(Table1[[#This Row],[Name]]='Google Forms'!$B:$B)*(Table1[[#Headers],[Miami - 7 May]]='Google Forms'!$C:$C),'Google Forms'!$K:$K,0,0,-1),0)</f>
        <v>18</v>
      </c>
      <c r="F14" s="9" cm="1">
        <f t="array" ref="F14">IFERROR(_xlfn.XLOOKUP(1,(Table1[[#This Row],[Name]]='Google Forms'!$B:$B)*(Table1[[#Headers],[Italy - 21 May]]='Google Forms'!$C:$C),'Google Forms'!$K:$K,0,0,-1),0)</f>
        <v>0</v>
      </c>
      <c r="G14" s="9" cm="1">
        <f t="array" ref="G14">IFERROR(_xlfn.XLOOKUP(1,(Table1[[#This Row],[Name]]='Google Forms'!$B:$B)*(Table1[[#Headers],[Monaco - 28 May]]='Google Forms'!$C:$C),'Google Forms'!$K:$K,0,0,-1),0)</f>
        <v>9</v>
      </c>
      <c r="H14" s="9" cm="1">
        <f t="array" ref="H14">IFERROR(_xlfn.XLOOKUP(1,(Table1[[#This Row],[Name]]='Google Forms'!$B:$B)*(Table1[[#Headers],[Spain - 4 June]]='Google Forms'!$C:$C),'Google Forms'!$K:$K,0,0,-1),0)</f>
        <v>12.5</v>
      </c>
      <c r="I14" s="9" cm="1">
        <f t="array" ref="I14">IFERROR(_xlfn.XLOOKUP(1,(Table1[[#This Row],[Name]]='Google Forms'!$B:$B)*(Table1[[#Headers],[Canada - 18 June]]='Google Forms'!$C:$C),'Google Forms'!$K:$K,0,0,-1),0)</f>
        <v>15</v>
      </c>
      <c r="J14" s="9" cm="1">
        <f t="array" ref="J14">IFERROR(_xlfn.XLOOKUP(1,(Table1[[#This Row],[Name]]='Google Forms'!$B:$B)*(Table1[[#Headers],[Austria - 2 July]]='Google Forms'!$C:$C),'Google Forms'!$K:$K,0,0,-1),0)</f>
        <v>1</v>
      </c>
      <c r="K14" s="9" cm="1">
        <f t="array" ref="K14">IFERROR(_xlfn.XLOOKUP(1,(Table1[[#This Row],[Name]]='Google Forms'!$B:$B)*(Table1[[#Headers],[Great Britain - 9 July]]='Google Forms'!$C:$C),'Google Forms'!$K:$K,0,0,-1),0)</f>
        <v>12</v>
      </c>
      <c r="L14" s="9" cm="1">
        <f t="array" ref="L14">IFERROR(_xlfn.XLOOKUP(1,(Table1[[#This Row],[Name]]='Google Forms'!$B:$B)*(Table1[[#Headers],[Hungary - 23 July]]='Google Forms'!$C:$C),'Google Forms'!$K:$K,0,0,-1),0)</f>
        <v>4</v>
      </c>
      <c r="M14" s="70" cm="1">
        <f t="array" ref="M14">IFERROR(_xlfn.XLOOKUP(1,(Table1[[#This Row],[Name]]='Google Forms'!$B:$B)*(Table1[[#Headers],[Belgium - 30 July]]='Google Forms'!$C:$C),'Google Forms'!$K:$K,0,0,-1),0)</f>
        <v>12</v>
      </c>
      <c r="N14" s="9" cm="1">
        <f t="array" ref="N14">IFERROR(_xlfn.XLOOKUP(1,(Table1[[#This Row],[Name]]='Google Forms'!$B:$B)*(Table1[[#Headers],[Netherlands - 27 August]]='Google Forms'!$C:$C),'Google Forms'!$K:$K,0,0,-1),0)</f>
        <v>12</v>
      </c>
      <c r="O14" s="9" cm="1">
        <f t="array" ref="O14">IFERROR(_xlfn.XLOOKUP(1,(Table1[[#This Row],[Name]]='Google Forms'!$B:$B)*(Table1[[#Headers],[Italy - 3 September]]='Google Forms'!$C:$C),'Google Forms'!$K:$K,0,0,-1),0)</f>
        <v>4</v>
      </c>
      <c r="P14" s="9" cm="1">
        <f t="array" ref="P14">IFERROR(_xlfn.XLOOKUP(1,(Table1[[#This Row],[Name]]='Google Forms'!$B:$B)*(Table1[[#Headers],[Singapore - 17 September]]='Google Forms'!$C:$C),'Google Forms'!$K:$K,0,0,-1),0)</f>
        <v>2</v>
      </c>
      <c r="Q14" s="9" cm="1">
        <f t="array" ref="Q14">IFERROR(_xlfn.XLOOKUP(1,(Table1[[#This Row],[Name]]='Google Forms'!$B:$B)*(Table1[[#Headers],[Japan - 24 September]]='Google Forms'!$C:$C),'Google Forms'!$K:$K,0,0,-1),0)</f>
        <v>15</v>
      </c>
      <c r="R14" s="9" cm="1">
        <f t="array" ref="R14">IFERROR(_xlfn.XLOOKUP(1,(Table1[[#This Row],[Name]]='Google Forms'!$B:$B)*(Table1[[#Headers],[Qatar - 8 October]]='Google Forms'!$C:$C),'Google Forms'!$K:$K,0,0,-1),0)</f>
        <v>10</v>
      </c>
      <c r="S14" s="9" cm="1">
        <f t="array" ref="S14">IFERROR(_xlfn.XLOOKUP(1,(Table1[[#This Row],[Name]]='Google Forms'!$B:$B)*(Table1[[#Headers],[United States - 22 October]]='Google Forms'!$C:$C),'Google Forms'!$K:$K,0,0,-1),0)</f>
        <v>0</v>
      </c>
      <c r="T14" s="9" cm="1">
        <f t="array" ref="T14">IFERROR(_xlfn.XLOOKUP(1,(Table1[[#This Row],[Name]]='Google Forms'!$B:$B)*(Table1[[#Headers],[Mexico - 29 October]]='Google Forms'!$C:$C),'Google Forms'!$K:$K,0,0,-1),0)</f>
        <v>15</v>
      </c>
      <c r="U14" s="9" cm="1">
        <f t="array" ref="U14">IFERROR(_xlfn.XLOOKUP(1,(Table1[[#This Row],[Name]]='Google Forms'!$B:$B)*(Table1[[#Headers],[Brazil - 5 November]]='Google Forms'!$C:$C),'Google Forms'!$K:$K,0,0,-1),0)</f>
        <v>0.5</v>
      </c>
      <c r="V14" s="9" cm="1">
        <f t="array" ref="V14">IFERROR(_xlfn.XLOOKUP(1,(Table1[[#This Row],[Name]]='Google Forms'!$B:$B)*(Table1[[#Headers],[Las Vegas - 18 November]]='Google Forms'!$C:$C),'Google Forms'!$K:$K,0,0,-1),0)</f>
        <v>10</v>
      </c>
      <c r="W14" s="9" cm="1">
        <f t="array" ref="W14">IFERROR(_xlfn.XLOOKUP(1,(Table1[[#This Row],[Name]]='Google Forms'!$B:$B)*(Table1[[#Headers],[Abu Dhabi - 26 November]]='Google Forms'!$C:$C),'Google Forms'!$K:$K,0,0,-1),0)</f>
        <v>12</v>
      </c>
    </row>
    <row r="15" spans="1:23" x14ac:dyDescent="0.3">
      <c r="A15" t="s">
        <v>67</v>
      </c>
      <c r="B15" s="9">
        <v>6</v>
      </c>
      <c r="C15" s="9">
        <v>0</v>
      </c>
      <c r="D15" s="9">
        <v>25</v>
      </c>
      <c r="E15" s="9" cm="1">
        <f t="array" ref="E15">IFERROR(_xlfn.XLOOKUP(1,(Table1[[#This Row],[Name]]='Google Forms'!$B:$B)*(Table1[[#Headers],[Miami - 7 May]]='Google Forms'!$C:$C),'Google Forms'!$K:$K,0,0,-1),0)</f>
        <v>9</v>
      </c>
      <c r="F15" s="9" cm="1">
        <f t="array" ref="F15">IFERROR(_xlfn.XLOOKUP(1,(Table1[[#This Row],[Name]]='Google Forms'!$B:$B)*(Table1[[#Headers],[Italy - 21 May]]='Google Forms'!$C:$C),'Google Forms'!$K:$K,0,0,-1),0)</f>
        <v>0</v>
      </c>
      <c r="G15" s="9" cm="1">
        <f t="array" ref="G15">IFERROR(_xlfn.XLOOKUP(1,(Table1[[#This Row],[Name]]='Google Forms'!$B:$B)*(Table1[[#Headers],[Monaco - 28 May]]='Google Forms'!$C:$C),'Google Forms'!$K:$K,0,0,-1),0)</f>
        <v>4</v>
      </c>
      <c r="H15" s="9" cm="1">
        <f t="array" ref="H15">IFERROR(_xlfn.XLOOKUP(1,(Table1[[#This Row],[Name]]='Google Forms'!$B:$B)*(Table1[[#Headers],[Spain - 4 June]]='Google Forms'!$C:$C),'Google Forms'!$K:$K,0,0,-1),0)</f>
        <v>12.5</v>
      </c>
      <c r="I15" s="9" cm="1">
        <f t="array" ref="I15">IFERROR(_xlfn.XLOOKUP(1,(Table1[[#This Row],[Name]]='Google Forms'!$B:$B)*(Table1[[#Headers],[Canada - 18 June]]='Google Forms'!$C:$C),'Google Forms'!$K:$K,0,0,-1),0)</f>
        <v>6</v>
      </c>
      <c r="J15" s="9" cm="1">
        <f t="array" ref="J15">IFERROR(_xlfn.XLOOKUP(1,(Table1[[#This Row],[Name]]='Google Forms'!$B:$B)*(Table1[[#Headers],[Austria - 2 July]]='Google Forms'!$C:$C),'Google Forms'!$K:$K,0,0,-1),0)</f>
        <v>0</v>
      </c>
      <c r="K15" s="9" cm="1">
        <f t="array" ref="K15">IFERROR(_xlfn.XLOOKUP(1,(Table1[[#This Row],[Name]]='Google Forms'!$B:$B)*(Table1[[#Headers],[Great Britain - 9 July]]='Google Forms'!$C:$C),'Google Forms'!$K:$K,0,0,-1),0)</f>
        <v>6</v>
      </c>
      <c r="L15" s="9" cm="1">
        <f t="array" ref="L15">IFERROR(_xlfn.XLOOKUP(1,(Table1[[#This Row],[Name]]='Google Forms'!$B:$B)*(Table1[[#Headers],[Hungary - 23 July]]='Google Forms'!$C:$C),'Google Forms'!$K:$K,0,0,-1),0)</f>
        <v>12</v>
      </c>
      <c r="M15" s="9" cm="1">
        <f t="array" ref="M15">IFERROR(_xlfn.XLOOKUP(1,(Table1[[#This Row],[Name]]='Google Forms'!$B:$B)*(Table1[[#Headers],[Belgium - 30 July]]='Google Forms'!$C:$C),'Google Forms'!$K:$K,0,0,-1),0)</f>
        <v>18</v>
      </c>
      <c r="N15" s="9" cm="1">
        <f t="array" ref="N15">IFERROR(_xlfn.XLOOKUP(1,(Table1[[#This Row],[Name]]='Google Forms'!$B:$B)*(Table1[[#Headers],[Netherlands - 27 August]]='Google Forms'!$C:$C),'Google Forms'!$K:$K,0,0,-1),0)</f>
        <v>6</v>
      </c>
      <c r="O15" s="9" cm="1">
        <f t="array" ref="O15">IFERROR(_xlfn.XLOOKUP(1,(Table1[[#This Row],[Name]]='Google Forms'!$B:$B)*(Table1[[#Headers],[Italy - 3 September]]='Google Forms'!$C:$C),'Google Forms'!$K:$K,0,0,-1),0)</f>
        <v>9</v>
      </c>
      <c r="P15" s="9" cm="1">
        <f t="array" ref="P15">IFERROR(_xlfn.XLOOKUP(1,(Table1[[#This Row],[Name]]='Google Forms'!$B:$B)*(Table1[[#Headers],[Singapore - 17 September]]='Google Forms'!$C:$C),'Google Forms'!$K:$K,0,0,-1),0)</f>
        <v>3</v>
      </c>
      <c r="Q15" s="9" cm="1">
        <f t="array" ref="Q15">IFERROR(_xlfn.XLOOKUP(1,(Table1[[#This Row],[Name]]='Google Forms'!$B:$B)*(Table1[[#Headers],[Japan - 24 September]]='Google Forms'!$C:$C),'Google Forms'!$K:$K,0,0,-1),0)</f>
        <v>18</v>
      </c>
      <c r="R15" s="9" cm="1">
        <f t="array" ref="R15">IFERROR(_xlfn.XLOOKUP(1,(Table1[[#This Row],[Name]]='Google Forms'!$B:$B)*(Table1[[#Headers],[Qatar - 8 October]]='Google Forms'!$C:$C),'Google Forms'!$K:$K,0,0,-1),0)</f>
        <v>8</v>
      </c>
      <c r="S15" s="9" cm="1">
        <f t="array" ref="S15">IFERROR(_xlfn.XLOOKUP(1,(Table1[[#This Row],[Name]]='Google Forms'!$B:$B)*(Table1[[#Headers],[United States - 22 October]]='Google Forms'!$C:$C),'Google Forms'!$K:$K,0,0,-1),0)</f>
        <v>6</v>
      </c>
      <c r="T15" s="9" cm="1">
        <f t="array" ref="T15">IFERROR(_xlfn.XLOOKUP(1,(Table1[[#This Row],[Name]]='Google Forms'!$B:$B)*(Table1[[#Headers],[Mexico - 29 October]]='Google Forms'!$C:$C),'Google Forms'!$K:$K,0,0,-1),0)</f>
        <v>7.5</v>
      </c>
      <c r="U15" s="9" cm="1">
        <f t="array" ref="U15">IFERROR(_xlfn.XLOOKUP(1,(Table1[[#This Row],[Name]]='Google Forms'!$B:$B)*(Table1[[#Headers],[Brazil - 5 November]]='Google Forms'!$C:$C),'Google Forms'!$K:$K,0,0,-1),0)</f>
        <v>12.5</v>
      </c>
      <c r="V15" s="9" cm="1">
        <f t="array" ref="V15">IFERROR(_xlfn.XLOOKUP(1,(Table1[[#This Row],[Name]]='Google Forms'!$B:$B)*(Table1[[#Headers],[Las Vegas - 18 November]]='Google Forms'!$C:$C),'Google Forms'!$K:$K,0,0,-1),0)</f>
        <v>5</v>
      </c>
      <c r="W15" s="9" cm="1">
        <f t="array" ref="W15">IFERROR(_xlfn.XLOOKUP(1,(Table1[[#This Row],[Name]]='Google Forms'!$B:$B)*(Table1[[#Headers],[Abu Dhabi - 26 November]]='Google Forms'!$C:$C),'Google Forms'!$K:$K,0,0,-1),0)</f>
        <v>12</v>
      </c>
    </row>
    <row r="16" spans="1:23" x14ac:dyDescent="0.3">
      <c r="A16" t="s">
        <v>61</v>
      </c>
      <c r="B16" s="9">
        <v>18</v>
      </c>
      <c r="C16" s="9">
        <v>12.5</v>
      </c>
      <c r="D16" s="9">
        <v>10</v>
      </c>
      <c r="E16" s="9" cm="1">
        <f t="array" ref="E16">IFERROR(_xlfn.XLOOKUP(1,(Table1[[#This Row],[Name]]='Google Forms'!$B:$B)*(Table1[[#Headers],[Miami - 7 May]]='Google Forms'!$C:$C),'Google Forms'!$K:$K,0,0,-1),0)</f>
        <v>12.5</v>
      </c>
      <c r="F16" s="9" cm="1">
        <f t="array" ref="F16">IFERROR(_xlfn.XLOOKUP(1,(Table1[[#This Row],[Name]]='Google Forms'!$B:$B)*(Table1[[#Headers],[Italy - 21 May]]='Google Forms'!$C:$C),'Google Forms'!$K:$K,0,0,-1),0)</f>
        <v>0</v>
      </c>
      <c r="G16" s="9" cm="1">
        <f t="array" ref="G16">IFERROR(_xlfn.XLOOKUP(1,(Table1[[#This Row],[Name]]='Google Forms'!$B:$B)*(Table1[[#Headers],[Monaco - 28 May]]='Google Forms'!$C:$C),'Google Forms'!$K:$K,0,0,-1),0)</f>
        <v>4</v>
      </c>
      <c r="H16" s="9" cm="1">
        <f t="array" ref="H16">IFERROR(_xlfn.XLOOKUP(1,(Table1[[#This Row],[Name]]='Google Forms'!$B:$B)*(Table1[[#Headers],[Spain - 4 June]]='Google Forms'!$C:$C),'Google Forms'!$K:$K,0,0,-1),0)</f>
        <v>6</v>
      </c>
      <c r="I16" s="9" cm="1">
        <f t="array" ref="I16">IFERROR(_xlfn.XLOOKUP(1,(Table1[[#This Row],[Name]]='Google Forms'!$B:$B)*(Table1[[#Headers],[Canada - 18 June]]='Google Forms'!$C:$C),'Google Forms'!$K:$K,0,0,-1),0)</f>
        <v>12</v>
      </c>
      <c r="J16" s="9" cm="1">
        <f t="array" ref="J16">IFERROR(_xlfn.XLOOKUP(1,(Table1[[#This Row],[Name]]='Google Forms'!$B:$B)*(Table1[[#Headers],[Austria - 2 July]]='Google Forms'!$C:$C),'Google Forms'!$K:$K,0,0,-1),0)</f>
        <v>1</v>
      </c>
      <c r="K16" s="9" cm="1">
        <f t="array" ref="K16">IFERROR(_xlfn.XLOOKUP(1,(Table1[[#This Row],[Name]]='Google Forms'!$B:$B)*(Table1[[#Headers],[Great Britain - 9 July]]='Google Forms'!$C:$C),'Google Forms'!$K:$K,0,0,-1),0)</f>
        <v>2</v>
      </c>
      <c r="L16" s="9" cm="1">
        <f t="array" ref="L16">IFERROR(_xlfn.XLOOKUP(1,(Table1[[#This Row],[Name]]='Google Forms'!$B:$B)*(Table1[[#Headers],[Hungary - 23 July]]='Google Forms'!$C:$C),'Google Forms'!$K:$K,0,0,-1),0)</f>
        <v>5</v>
      </c>
      <c r="M16" s="70" cm="1">
        <f t="array" ref="M16">IFERROR(_xlfn.XLOOKUP(1,(Table1[[#This Row],[Name]]='Google Forms'!$B:$B)*(Table1[[#Headers],[Belgium - 30 July]]='Google Forms'!$C:$C),'Google Forms'!$K:$K,0,0,-1),0)</f>
        <v>12</v>
      </c>
      <c r="N16" s="9" cm="1">
        <f t="array" ref="N16">IFERROR(_xlfn.XLOOKUP(1,(Table1[[#This Row],[Name]]='Google Forms'!$B:$B)*(Table1[[#Headers],[Netherlands - 27 August]]='Google Forms'!$C:$C),'Google Forms'!$K:$K,0,0,-1),0)</f>
        <v>15</v>
      </c>
      <c r="O16" s="9" cm="1">
        <f t="array" ref="O16">IFERROR(_xlfn.XLOOKUP(1,(Table1[[#This Row],[Name]]='Google Forms'!$B:$B)*(Table1[[#Headers],[Italy - 3 September]]='Google Forms'!$C:$C),'Google Forms'!$K:$K,0,0,-1),0)</f>
        <v>0.25</v>
      </c>
      <c r="P16" s="9" cm="1">
        <f t="array" ref="P16">IFERROR(_xlfn.XLOOKUP(1,(Table1[[#This Row],[Name]]='Google Forms'!$B:$B)*(Table1[[#Headers],[Singapore - 17 September]]='Google Forms'!$C:$C),'Google Forms'!$K:$K,0,0,-1),0)</f>
        <v>4</v>
      </c>
      <c r="Q16" s="9" cm="1">
        <f t="array" ref="Q16">IFERROR(_xlfn.XLOOKUP(1,(Table1[[#This Row],[Name]]='Google Forms'!$B:$B)*(Table1[[#Headers],[Japan - 24 September]]='Google Forms'!$C:$C),'Google Forms'!$K:$K,0,0,-1),0)</f>
        <v>12.5</v>
      </c>
      <c r="R16" s="9" cm="1">
        <f t="array" ref="R16">IFERROR(_xlfn.XLOOKUP(1,(Table1[[#This Row],[Name]]='Google Forms'!$B:$B)*(Table1[[#Headers],[Qatar - 8 October]]='Google Forms'!$C:$C),'Google Forms'!$K:$K,0,0,-1),0)</f>
        <v>12</v>
      </c>
      <c r="S16" s="9" cm="1">
        <f t="array" ref="S16">IFERROR(_xlfn.XLOOKUP(1,(Table1[[#This Row],[Name]]='Google Forms'!$B:$B)*(Table1[[#Headers],[United States - 22 October]]='Google Forms'!$C:$C),'Google Forms'!$K:$K,0,0,-1),0)</f>
        <v>10</v>
      </c>
      <c r="T16" s="9" cm="1">
        <f t="array" ref="T16">IFERROR(_xlfn.XLOOKUP(1,(Table1[[#This Row],[Name]]='Google Forms'!$B:$B)*(Table1[[#Headers],[Mexico - 29 October]]='Google Forms'!$C:$C),'Google Forms'!$K:$K,0,0,-1),0)</f>
        <v>10</v>
      </c>
      <c r="U16" s="9" cm="1">
        <f t="array" ref="U16">IFERROR(_xlfn.XLOOKUP(1,(Table1[[#This Row],[Name]]='Google Forms'!$B:$B)*(Table1[[#Headers],[Brazil - 5 November]]='Google Forms'!$C:$C),'Google Forms'!$K:$K,0,0,-1),0)</f>
        <v>1</v>
      </c>
      <c r="V16" s="9" cm="1">
        <f t="array" ref="V16">IFERROR(_xlfn.XLOOKUP(1,(Table1[[#This Row],[Name]]='Google Forms'!$B:$B)*(Table1[[#Headers],[Las Vegas - 18 November]]='Google Forms'!$C:$C),'Google Forms'!$K:$K,0,0,-1),0)</f>
        <v>0</v>
      </c>
      <c r="W16" s="9" cm="1">
        <f t="array" ref="W16">IFERROR(_xlfn.XLOOKUP(1,(Table1[[#This Row],[Name]]='Google Forms'!$B:$B)*(Table1[[#Headers],[Abu Dhabi - 26 November]]='Google Forms'!$C:$C),'Google Forms'!$K:$K,0,0,-1),0)</f>
        <v>25</v>
      </c>
    </row>
    <row r="17" spans="1:23" x14ac:dyDescent="0.3">
      <c r="A17" t="s">
        <v>68</v>
      </c>
      <c r="B17" s="9">
        <v>9</v>
      </c>
      <c r="C17" s="9">
        <v>12.5</v>
      </c>
      <c r="D17" s="9">
        <v>12.5</v>
      </c>
      <c r="E17" s="9" cm="1">
        <f t="array" ref="E17">IFERROR(_xlfn.XLOOKUP(1,(Table1[[#This Row],[Name]]='Google Forms'!$B:$B)*(Table1[[#Headers],[Miami - 7 May]]='Google Forms'!$C:$C),'Google Forms'!$K:$K,0,0,-1),0)</f>
        <v>5</v>
      </c>
      <c r="F17" s="9" cm="1">
        <f t="array" ref="F17">IFERROR(_xlfn.XLOOKUP(1,(Table1[[#This Row],[Name]]='Google Forms'!$B:$B)*(Table1[[#Headers],[Italy - 21 May]]='Google Forms'!$C:$C),'Google Forms'!$K:$K,0,0,-1),0)</f>
        <v>0</v>
      </c>
      <c r="G17" s="9" cm="1">
        <f t="array" ref="G17">IFERROR(_xlfn.XLOOKUP(1,(Table1[[#This Row],[Name]]='Google Forms'!$B:$B)*(Table1[[#Headers],[Monaco - 28 May]]='Google Forms'!$C:$C),'Google Forms'!$K:$K,0,0,-1),0)</f>
        <v>0.5</v>
      </c>
      <c r="H17" s="9" cm="1">
        <f t="array" ref="H17">IFERROR(_xlfn.XLOOKUP(1,(Table1[[#This Row],[Name]]='Google Forms'!$B:$B)*(Table1[[#Headers],[Spain - 4 June]]='Google Forms'!$C:$C),'Google Forms'!$K:$K,0,0,-1),0)</f>
        <v>6</v>
      </c>
      <c r="I17" s="9" cm="1">
        <f t="array" ref="I17">IFERROR(_xlfn.XLOOKUP(1,(Table1[[#This Row],[Name]]='Google Forms'!$B:$B)*(Table1[[#Headers],[Canada - 18 June]]='Google Forms'!$C:$C),'Google Forms'!$K:$K,0,0,-1),0)</f>
        <v>15</v>
      </c>
      <c r="J17" s="9" cm="1">
        <f t="array" ref="J17">IFERROR(_xlfn.XLOOKUP(1,(Table1[[#This Row],[Name]]='Google Forms'!$B:$B)*(Table1[[#Headers],[Austria - 2 July]]='Google Forms'!$C:$C),'Google Forms'!$K:$K,0,0,-1),0)</f>
        <v>2</v>
      </c>
      <c r="K17" s="9" cm="1">
        <f t="array" ref="K17">IFERROR(_xlfn.XLOOKUP(1,(Table1[[#This Row],[Name]]='Google Forms'!$B:$B)*(Table1[[#Headers],[Great Britain - 9 July]]='Google Forms'!$C:$C),'Google Forms'!$K:$K,0,0,-1),0)</f>
        <v>12</v>
      </c>
      <c r="L17" s="9" cm="1">
        <f t="array" ref="L17">IFERROR(_xlfn.XLOOKUP(1,(Table1[[#This Row],[Name]]='Google Forms'!$B:$B)*(Table1[[#Headers],[Hungary - 23 July]]='Google Forms'!$C:$C),'Google Forms'!$K:$K,0,0,-1),0)</f>
        <v>5</v>
      </c>
      <c r="M17" s="9" cm="1">
        <f t="array" ref="M17">IFERROR(_xlfn.XLOOKUP(1,(Table1[[#This Row],[Name]]='Google Forms'!$B:$B)*(Table1[[#Headers],[Belgium - 30 July]]='Google Forms'!$C:$C),'Google Forms'!$K:$K,0,0,-1),0)</f>
        <v>18</v>
      </c>
      <c r="N17" s="9" cm="1">
        <f t="array" ref="N17">IFERROR(_xlfn.XLOOKUP(1,(Table1[[#This Row],[Name]]='Google Forms'!$B:$B)*(Table1[[#Headers],[Netherlands - 27 August]]='Google Forms'!$C:$C),'Google Forms'!$K:$K,0,0,-1),0)</f>
        <v>15</v>
      </c>
      <c r="O17" s="9" cm="1">
        <f t="array" ref="O17">IFERROR(_xlfn.XLOOKUP(1,(Table1[[#This Row],[Name]]='Google Forms'!$B:$B)*(Table1[[#Headers],[Italy - 3 September]]='Google Forms'!$C:$C),'Google Forms'!$K:$K,0,0,-1),0)</f>
        <v>4</v>
      </c>
      <c r="P17" s="9" cm="1">
        <f t="array" ref="P17">IFERROR(_xlfn.XLOOKUP(1,(Table1[[#This Row],[Name]]='Google Forms'!$B:$B)*(Table1[[#Headers],[Singapore - 17 September]]='Google Forms'!$C:$C),'Google Forms'!$K:$K,0,0,-1),0)</f>
        <v>15</v>
      </c>
      <c r="Q17" s="9" cm="1">
        <f t="array" ref="Q17">IFERROR(_xlfn.XLOOKUP(1,(Table1[[#This Row],[Name]]='Google Forms'!$B:$B)*(Table1[[#Headers],[Japan - 24 September]]='Google Forms'!$C:$C),'Google Forms'!$K:$K,0,0,-1),0)</f>
        <v>10</v>
      </c>
      <c r="R17" s="9" cm="1">
        <f t="array" ref="R17">IFERROR(_xlfn.XLOOKUP(1,(Table1[[#This Row],[Name]]='Google Forms'!$B:$B)*(Table1[[#Headers],[Qatar - 8 October]]='Google Forms'!$C:$C),'Google Forms'!$K:$K,0,0,-1),0)</f>
        <v>4</v>
      </c>
      <c r="S17" s="9" cm="1">
        <f t="array" ref="S17">IFERROR(_xlfn.XLOOKUP(1,(Table1[[#This Row],[Name]]='Google Forms'!$B:$B)*(Table1[[#Headers],[United States - 22 October]]='Google Forms'!$C:$C),'Google Forms'!$K:$K,0,0,-1),0)</f>
        <v>6</v>
      </c>
      <c r="T17" s="9" cm="1">
        <f t="array" ref="T17">IFERROR(_xlfn.XLOOKUP(1,(Table1[[#This Row],[Name]]='Google Forms'!$B:$B)*(Table1[[#Headers],[Mexico - 29 October]]='Google Forms'!$C:$C),'Google Forms'!$K:$K,0,0,-1),0)</f>
        <v>8</v>
      </c>
      <c r="U17" s="9" cm="1">
        <f t="array" ref="U17">IFERROR(_xlfn.XLOOKUP(1,(Table1[[#This Row],[Name]]='Google Forms'!$B:$B)*(Table1[[#Headers],[Brazil - 5 November]]='Google Forms'!$C:$C),'Google Forms'!$K:$K,0,0,-1),0)</f>
        <v>18</v>
      </c>
      <c r="V17" s="9" cm="1">
        <f t="array" ref="V17">IFERROR(_xlfn.XLOOKUP(1,(Table1[[#This Row],[Name]]='Google Forms'!$B:$B)*(Table1[[#Headers],[Las Vegas - 18 November]]='Google Forms'!$C:$C),'Google Forms'!$K:$K,0,0,-1),0)</f>
        <v>6</v>
      </c>
      <c r="W17" s="9" cm="1">
        <f t="array" ref="W17">IFERROR(_xlfn.XLOOKUP(1,(Table1[[#This Row],[Name]]='Google Forms'!$B:$B)*(Table1[[#Headers],[Abu Dhabi - 26 November]]='Google Forms'!$C:$C),'Google Forms'!$K:$K,0,0,-1),0)</f>
        <v>0</v>
      </c>
    </row>
    <row r="18" spans="1:23" x14ac:dyDescent="0.3">
      <c r="A18" t="s">
        <v>66</v>
      </c>
      <c r="B18" s="9">
        <v>0</v>
      </c>
      <c r="C18" s="9">
        <v>7.5</v>
      </c>
      <c r="D18" s="9">
        <v>25</v>
      </c>
      <c r="E18" s="9" cm="1">
        <f t="array" ref="E18">IFERROR(_xlfn.XLOOKUP(1,(Table1[[#This Row],[Name]]='Google Forms'!$B:$B)*(Table1[[#Headers],[Miami - 7 May]]='Google Forms'!$C:$C),'Google Forms'!$K:$K,0,0,-1),0)</f>
        <v>12</v>
      </c>
      <c r="F18" s="9" cm="1">
        <f t="array" ref="F18">IFERROR(_xlfn.XLOOKUP(1,(Table1[[#This Row],[Name]]='Google Forms'!$B:$B)*(Table1[[#Headers],[Italy - 21 May]]='Google Forms'!$C:$C),'Google Forms'!$K:$K,0,0,-1),0)</f>
        <v>0</v>
      </c>
      <c r="G18" s="9" cm="1">
        <f t="array" ref="G18">IFERROR(_xlfn.XLOOKUP(1,(Table1[[#This Row],[Name]]='Google Forms'!$B:$B)*(Table1[[#Headers],[Monaco - 28 May]]='Google Forms'!$C:$C),'Google Forms'!$K:$K,0,0,-1),0)</f>
        <v>0.5</v>
      </c>
      <c r="H18" s="9" cm="1">
        <f t="array" ref="H18">IFERROR(_xlfn.XLOOKUP(1,(Table1[[#This Row],[Name]]='Google Forms'!$B:$B)*(Table1[[#Headers],[Spain - 4 June]]='Google Forms'!$C:$C),'Google Forms'!$K:$K,0,0,-1),0)</f>
        <v>12</v>
      </c>
      <c r="I18" s="9" cm="1">
        <f t="array" ref="I18">IFERROR(_xlfn.XLOOKUP(1,(Table1[[#This Row],[Name]]='Google Forms'!$B:$B)*(Table1[[#Headers],[Canada - 18 June]]='Google Forms'!$C:$C),'Google Forms'!$K:$K,0,0,-1),0)</f>
        <v>6</v>
      </c>
      <c r="J18" s="9" cm="1">
        <f t="array" ref="J18">IFERROR(_xlfn.XLOOKUP(1,(Table1[[#This Row],[Name]]='Google Forms'!$B:$B)*(Table1[[#Headers],[Austria - 2 July]]='Google Forms'!$C:$C),'Google Forms'!$K:$K,0,0,-1),0)</f>
        <v>1</v>
      </c>
      <c r="K18" s="9" cm="1">
        <f t="array" ref="K18">IFERROR(_xlfn.XLOOKUP(1,(Table1[[#This Row],[Name]]='Google Forms'!$B:$B)*(Table1[[#Headers],[Great Britain - 9 July]]='Google Forms'!$C:$C),'Google Forms'!$K:$K,0,0,-1),0)</f>
        <v>1</v>
      </c>
      <c r="L18" s="9" cm="1">
        <f t="array" ref="L18">IFERROR(_xlfn.XLOOKUP(1,(Table1[[#This Row],[Name]]='Google Forms'!$B:$B)*(Table1[[#Headers],[Hungary - 23 July]]='Google Forms'!$C:$C),'Google Forms'!$K:$K,0,0,-1),0)</f>
        <v>3</v>
      </c>
      <c r="M18" s="9" cm="1">
        <f t="array" ref="M18">IFERROR(_xlfn.XLOOKUP(1,(Table1[[#This Row],[Name]]='Google Forms'!$B:$B)*(Table1[[#Headers],[Belgium - 30 July]]='Google Forms'!$C:$C),'Google Forms'!$K:$K,0,0,-1),0)</f>
        <v>18</v>
      </c>
      <c r="N18" s="9" cm="1">
        <f t="array" ref="N18">IFERROR(_xlfn.XLOOKUP(1,(Table1[[#This Row],[Name]]='Google Forms'!$B:$B)*(Table1[[#Headers],[Netherlands - 27 August]]='Google Forms'!$C:$C),'Google Forms'!$K:$K,0,0,-1),0)</f>
        <v>15</v>
      </c>
      <c r="O18" s="9" cm="1">
        <f t="array" ref="O18">IFERROR(_xlfn.XLOOKUP(1,(Table1[[#This Row],[Name]]='Google Forms'!$B:$B)*(Table1[[#Headers],[Italy - 3 September]]='Google Forms'!$C:$C),'Google Forms'!$K:$K,0,0,-1),0)</f>
        <v>4</v>
      </c>
      <c r="P18" s="9" cm="1">
        <f t="array" ref="P18">IFERROR(_xlfn.XLOOKUP(1,(Table1[[#This Row],[Name]]='Google Forms'!$B:$B)*(Table1[[#Headers],[Singapore - 17 September]]='Google Forms'!$C:$C),'Google Forms'!$K:$K,0,0,-1),0)</f>
        <v>2</v>
      </c>
      <c r="Q18" s="9" cm="1">
        <f t="array" ref="Q18">IFERROR(_xlfn.XLOOKUP(1,(Table1[[#This Row],[Name]]='Google Forms'!$B:$B)*(Table1[[#Headers],[Japan - 24 September]]='Google Forms'!$C:$C),'Google Forms'!$K:$K,0,0,-1),0)</f>
        <v>18</v>
      </c>
      <c r="R18" s="9" cm="1">
        <f t="array" ref="R18">IFERROR(_xlfn.XLOOKUP(1,(Table1[[#This Row],[Name]]='Google Forms'!$B:$B)*(Table1[[#Headers],[Qatar - 8 October]]='Google Forms'!$C:$C),'Google Forms'!$K:$K,0,0,-1),0)</f>
        <v>8</v>
      </c>
      <c r="S18" s="9" cm="1">
        <f t="array" ref="S18">IFERROR(_xlfn.XLOOKUP(1,(Table1[[#This Row],[Name]]='Google Forms'!$B:$B)*(Table1[[#Headers],[United States - 22 October]]='Google Forms'!$C:$C),'Google Forms'!$K:$K,0,0,-1),0)</f>
        <v>4</v>
      </c>
      <c r="T18" s="9" cm="1">
        <f t="array" ref="T18">IFERROR(_xlfn.XLOOKUP(1,(Table1[[#This Row],[Name]]='Google Forms'!$B:$B)*(Table1[[#Headers],[Mexico - 29 October]]='Google Forms'!$C:$C),'Google Forms'!$K:$K,0,0,-1),0)</f>
        <v>4</v>
      </c>
      <c r="U18" s="9" cm="1">
        <f t="array" ref="U18">IFERROR(_xlfn.XLOOKUP(1,(Table1[[#This Row],[Name]]='Google Forms'!$B:$B)*(Table1[[#Headers],[Brazil - 5 November]]='Google Forms'!$C:$C),'Google Forms'!$K:$K,0,0,-1),0)</f>
        <v>1</v>
      </c>
      <c r="V18" s="9" cm="1">
        <f t="array" ref="V18">IFERROR(_xlfn.XLOOKUP(1,(Table1[[#This Row],[Name]]='Google Forms'!$B:$B)*(Table1[[#Headers],[Las Vegas - 18 November]]='Google Forms'!$C:$C),'Google Forms'!$K:$K,0,0,-1),0)</f>
        <v>10</v>
      </c>
      <c r="W18" s="9" cm="1">
        <f t="array" ref="W18">IFERROR(_xlfn.XLOOKUP(1,(Table1[[#This Row],[Name]]='Google Forms'!$B:$B)*(Table1[[#Headers],[Abu Dhabi - 26 November]]='Google Forms'!$C:$C),'Google Forms'!$K:$K,0,0,-1),0)</f>
        <v>25</v>
      </c>
    </row>
    <row r="19" spans="1:23" x14ac:dyDescent="0.3">
      <c r="A19" t="s">
        <v>69</v>
      </c>
      <c r="B19" s="9">
        <v>0</v>
      </c>
      <c r="C19" s="9">
        <v>0</v>
      </c>
      <c r="D19" s="9">
        <v>6</v>
      </c>
      <c r="E19" s="9" cm="1">
        <f t="array" ref="E19">IFERROR(_xlfn.XLOOKUP(1,(Table1[[#This Row],[Name]]='Google Forms'!$B:$B)*(Table1[[#Headers],[Miami - 7 May]]='Google Forms'!$C:$C),'Google Forms'!$K:$K,0,0,-1),0)</f>
        <v>5</v>
      </c>
      <c r="F19" s="9" cm="1">
        <f t="array" ref="F19">IFERROR(_xlfn.XLOOKUP(1,(Table1[[#This Row],[Name]]='Google Forms'!$B:$B)*(Table1[[#Headers],[Italy - 21 May]]='Google Forms'!$C:$C),'Google Forms'!$K:$K,0,0,-1),0)</f>
        <v>0</v>
      </c>
      <c r="G19" s="9" cm="1">
        <f t="array" ref="G19">IFERROR(_xlfn.XLOOKUP(1,(Table1[[#This Row],[Name]]='Google Forms'!$B:$B)*(Table1[[#Headers],[Monaco - 28 May]]='Google Forms'!$C:$C),'Google Forms'!$K:$K,0,0,-1),0)</f>
        <v>7.5</v>
      </c>
      <c r="H19" s="9" cm="1">
        <f t="array" ref="H19">IFERROR(_xlfn.XLOOKUP(1,(Table1[[#This Row],[Name]]='Google Forms'!$B:$B)*(Table1[[#Headers],[Spain - 4 June]]='Google Forms'!$C:$C),'Google Forms'!$K:$K,0,0,-1),0)</f>
        <v>25</v>
      </c>
      <c r="I19" s="9" cm="1">
        <f t="array" ref="I19">IFERROR(_xlfn.XLOOKUP(1,(Table1[[#This Row],[Name]]='Google Forms'!$B:$B)*(Table1[[#Headers],[Canada - 18 June]]='Google Forms'!$C:$C),'Google Forms'!$K:$K,0,0,-1),0)</f>
        <v>15</v>
      </c>
      <c r="J19" s="9" cm="1">
        <f t="array" ref="J19">IFERROR(_xlfn.XLOOKUP(1,(Table1[[#This Row],[Name]]='Google Forms'!$B:$B)*(Table1[[#Headers],[Austria - 2 July]]='Google Forms'!$C:$C),'Google Forms'!$K:$K,0,0,-1),0)</f>
        <v>12.5</v>
      </c>
      <c r="K19" s="9" cm="1">
        <f t="array" ref="K19">IFERROR(_xlfn.XLOOKUP(1,(Table1[[#This Row],[Name]]='Google Forms'!$B:$B)*(Table1[[#Headers],[Great Britain - 9 July]]='Google Forms'!$C:$C),'Google Forms'!$K:$K,0,0,-1),0)</f>
        <v>9</v>
      </c>
      <c r="L19" s="9" cm="1">
        <f t="array" ref="L19">IFERROR(_xlfn.XLOOKUP(1,(Table1[[#This Row],[Name]]='Google Forms'!$B:$B)*(Table1[[#Headers],[Hungary - 23 July]]='Google Forms'!$C:$C),'Google Forms'!$K:$K,0,0,-1),0)</f>
        <v>12.5</v>
      </c>
      <c r="M19" s="9" cm="1">
        <f t="array" ref="M19">IFERROR(_xlfn.XLOOKUP(1,(Table1[[#This Row],[Name]]='Google Forms'!$B:$B)*(Table1[[#Headers],[Belgium - 30 July]]='Google Forms'!$C:$C),'Google Forms'!$K:$K,0,0,-1),0)</f>
        <v>15</v>
      </c>
      <c r="N19" s="9" cm="1">
        <f t="array" ref="N19">IFERROR(_xlfn.XLOOKUP(1,(Table1[[#This Row],[Name]]='Google Forms'!$B:$B)*(Table1[[#Headers],[Netherlands - 27 August]]='Google Forms'!$C:$C),'Google Forms'!$K:$K,0,0,-1),0)</f>
        <v>0</v>
      </c>
      <c r="O19" s="9" cm="1">
        <f t="array" ref="O19">IFERROR(_xlfn.XLOOKUP(1,(Table1[[#This Row],[Name]]='Google Forms'!$B:$B)*(Table1[[#Headers],[Italy - 3 September]]='Google Forms'!$C:$C),'Google Forms'!$K:$K,0,0,-1),0)</f>
        <v>0</v>
      </c>
      <c r="P19" s="9" cm="1">
        <f t="array" ref="P19">IFERROR(_xlfn.XLOOKUP(1,(Table1[[#This Row],[Name]]='Google Forms'!$B:$B)*(Table1[[#Headers],[Singapore - 17 September]]='Google Forms'!$C:$C),'Google Forms'!$K:$K,0,0,-1),0)</f>
        <v>8</v>
      </c>
      <c r="Q19" s="9" cm="1">
        <f t="array" ref="Q19">IFERROR(_xlfn.XLOOKUP(1,(Table1[[#This Row],[Name]]='Google Forms'!$B:$B)*(Table1[[#Headers],[Japan - 24 September]]='Google Forms'!$C:$C),'Google Forms'!$K:$K,0,0,-1),0)</f>
        <v>18</v>
      </c>
      <c r="R19" s="9" cm="1">
        <f t="array" ref="R19">IFERROR(_xlfn.XLOOKUP(1,(Table1[[#This Row],[Name]]='Google Forms'!$B:$B)*(Table1[[#Headers],[Qatar - 8 October]]='Google Forms'!$C:$C),'Google Forms'!$K:$K,0,0,-1),0)</f>
        <v>15</v>
      </c>
      <c r="S19" s="9" cm="1">
        <f t="array" ref="S19">IFERROR(_xlfn.XLOOKUP(1,(Table1[[#This Row],[Name]]='Google Forms'!$B:$B)*(Table1[[#Headers],[United States - 22 October]]='Google Forms'!$C:$C),'Google Forms'!$K:$K,0,0,-1),0)</f>
        <v>4</v>
      </c>
      <c r="T19" s="9" cm="1">
        <f t="array" ref="T19">IFERROR(_xlfn.XLOOKUP(1,(Table1[[#This Row],[Name]]='Google Forms'!$B:$B)*(Table1[[#Headers],[Mexico - 29 October]]='Google Forms'!$C:$C),'Google Forms'!$K:$K,0,0,-1),0)</f>
        <v>7.5</v>
      </c>
      <c r="U19" s="9" cm="1">
        <f t="array" ref="U19">IFERROR(_xlfn.XLOOKUP(1,(Table1[[#This Row],[Name]]='Google Forms'!$B:$B)*(Table1[[#Headers],[Brazil - 5 November]]='Google Forms'!$C:$C),'Google Forms'!$K:$K,0,0,-1),0)</f>
        <v>0</v>
      </c>
      <c r="V19" s="9" cm="1">
        <f t="array" ref="V19">IFERROR(_xlfn.XLOOKUP(1,(Table1[[#This Row],[Name]]='Google Forms'!$B:$B)*(Table1[[#Headers],[Las Vegas - 18 November]]='Google Forms'!$C:$C),'Google Forms'!$K:$K,0,0,-1),0)</f>
        <v>0.25</v>
      </c>
      <c r="W19" s="9" cm="1">
        <f t="array" ref="W19">IFERROR(_xlfn.XLOOKUP(1,(Table1[[#This Row],[Name]]='Google Forms'!$B:$B)*(Table1[[#Headers],[Abu Dhabi - 26 November]]='Google Forms'!$C:$C),'Google Forms'!$K:$K,0,0,-1),0)</f>
        <v>12.5</v>
      </c>
    </row>
    <row r="20" spans="1:23" x14ac:dyDescent="0.3">
      <c r="A20" t="s">
        <v>71</v>
      </c>
      <c r="B20" s="9">
        <v>0</v>
      </c>
      <c r="C20" s="9">
        <v>8</v>
      </c>
      <c r="D20" s="9">
        <v>25</v>
      </c>
      <c r="E20" s="9" cm="1">
        <f t="array" ref="E20">IFERROR(_xlfn.XLOOKUP(1,(Table1[[#This Row],[Name]]='Google Forms'!$B:$B)*(Table1[[#Headers],[Miami - 7 May]]='Google Forms'!$C:$C),'Google Forms'!$K:$K,0,0,-1),0)</f>
        <v>4</v>
      </c>
      <c r="F20" s="9" cm="1">
        <f t="array" ref="F20">IFERROR(_xlfn.XLOOKUP(1,(Table1[[#This Row],[Name]]='Google Forms'!$B:$B)*(Table1[[#Headers],[Italy - 21 May]]='Google Forms'!$C:$C),'Google Forms'!$K:$K,0,0,-1),0)</f>
        <v>0</v>
      </c>
      <c r="G20" s="9" cm="1">
        <f t="array" ref="G20">IFERROR(_xlfn.XLOOKUP(1,(Table1[[#This Row],[Name]]='Google Forms'!$B:$B)*(Table1[[#Headers],[Monaco - 28 May]]='Google Forms'!$C:$C),'Google Forms'!$K:$K,0,0,-1),0)</f>
        <v>1</v>
      </c>
      <c r="H20" s="9" cm="1">
        <f t="array" ref="H20">IFERROR(_xlfn.XLOOKUP(1,(Table1[[#This Row],[Name]]='Google Forms'!$B:$B)*(Table1[[#Headers],[Spain - 4 June]]='Google Forms'!$C:$C),'Google Forms'!$K:$K,0,0,-1),0)</f>
        <v>2</v>
      </c>
      <c r="I20" s="9" cm="1">
        <f t="array" ref="I20">IFERROR(_xlfn.XLOOKUP(1,(Table1[[#This Row],[Name]]='Google Forms'!$B:$B)*(Table1[[#Headers],[Canada - 18 June]]='Google Forms'!$C:$C),'Google Forms'!$K:$K,0,0,-1),0)</f>
        <v>15</v>
      </c>
      <c r="J20" s="9" cm="1">
        <f t="array" ref="J20">IFERROR(_xlfn.XLOOKUP(1,(Table1[[#This Row],[Name]]='Google Forms'!$B:$B)*(Table1[[#Headers],[Austria - 2 July]]='Google Forms'!$C:$C),'Google Forms'!$K:$K,0,0,-1),0)</f>
        <v>0</v>
      </c>
      <c r="K20" s="9" cm="1">
        <f t="array" ref="K20">IFERROR(_xlfn.XLOOKUP(1,(Table1[[#This Row],[Name]]='Google Forms'!$B:$B)*(Table1[[#Headers],[Great Britain - 9 July]]='Google Forms'!$C:$C),'Google Forms'!$K:$K,0,0,-1),0)</f>
        <v>12</v>
      </c>
      <c r="L20" s="9" cm="1">
        <f t="array" ref="L20">IFERROR(_xlfn.XLOOKUP(1,(Table1[[#This Row],[Name]]='Google Forms'!$B:$B)*(Table1[[#Headers],[Hungary - 23 July]]='Google Forms'!$C:$C),'Google Forms'!$K:$K,0,0,-1),0)</f>
        <v>5</v>
      </c>
      <c r="M20" s="9" cm="1">
        <f t="array" ref="M20">IFERROR(_xlfn.XLOOKUP(1,(Table1[[#This Row],[Name]]='Google Forms'!$B:$B)*(Table1[[#Headers],[Belgium - 30 July]]='Google Forms'!$C:$C),'Google Forms'!$K:$K,0,0,-1),0)</f>
        <v>18</v>
      </c>
      <c r="N20" s="9" cm="1">
        <f t="array" ref="N20">IFERROR(_xlfn.XLOOKUP(1,(Table1[[#This Row],[Name]]='Google Forms'!$B:$B)*(Table1[[#Headers],[Netherlands - 27 August]]='Google Forms'!$C:$C),'Google Forms'!$K:$K,0,0,-1),0)</f>
        <v>4</v>
      </c>
      <c r="O20" s="9" cm="1">
        <f t="array" ref="O20">IFERROR(_xlfn.XLOOKUP(1,(Table1[[#This Row],[Name]]='Google Forms'!$B:$B)*(Table1[[#Headers],[Italy - 3 September]]='Google Forms'!$C:$C),'Google Forms'!$K:$K,0,0,-1),0)</f>
        <v>5</v>
      </c>
      <c r="P20" s="9" cm="1">
        <f t="array" ref="P20">IFERROR(_xlfn.XLOOKUP(1,(Table1[[#This Row],[Name]]='Google Forms'!$B:$B)*(Table1[[#Headers],[Singapore - 17 September]]='Google Forms'!$C:$C),'Google Forms'!$K:$K,0,0,-1),0)</f>
        <v>3</v>
      </c>
      <c r="Q20" s="9" cm="1">
        <f t="array" ref="Q20">IFERROR(_xlfn.XLOOKUP(1,(Table1[[#This Row],[Name]]='Google Forms'!$B:$B)*(Table1[[#Headers],[Japan - 24 September]]='Google Forms'!$C:$C),'Google Forms'!$K:$K,0,0,-1),0)</f>
        <v>18</v>
      </c>
      <c r="R20" s="9" cm="1">
        <f t="array" ref="R20">IFERROR(_xlfn.XLOOKUP(1,(Table1[[#This Row],[Name]]='Google Forms'!$B:$B)*(Table1[[#Headers],[Qatar - 8 October]]='Google Forms'!$C:$C),'Google Forms'!$K:$K,0,0,-1),0)</f>
        <v>10</v>
      </c>
      <c r="S20" s="9" cm="1">
        <f t="array" ref="S20">IFERROR(_xlfn.XLOOKUP(1,(Table1[[#This Row],[Name]]='Google Forms'!$B:$B)*(Table1[[#Headers],[United States - 22 October]]='Google Forms'!$C:$C),'Google Forms'!$K:$K,0,0,-1),0)</f>
        <v>6</v>
      </c>
      <c r="T20" s="9" cm="1">
        <f t="array" ref="T20">IFERROR(_xlfn.XLOOKUP(1,(Table1[[#This Row],[Name]]='Google Forms'!$B:$B)*(Table1[[#Headers],[Mexico - 29 October]]='Google Forms'!$C:$C),'Google Forms'!$K:$K,0,0,-1),0)</f>
        <v>15</v>
      </c>
      <c r="U20" s="9" cm="1">
        <f t="array" ref="U20">IFERROR(_xlfn.XLOOKUP(1,(Table1[[#This Row],[Name]]='Google Forms'!$B:$B)*(Table1[[#Headers],[Brazil - 5 November]]='Google Forms'!$C:$C),'Google Forms'!$K:$K,0,0,-1),0)</f>
        <v>5</v>
      </c>
      <c r="V20" s="9" cm="1">
        <f t="array" ref="V20">IFERROR(_xlfn.XLOOKUP(1,(Table1[[#This Row],[Name]]='Google Forms'!$B:$B)*(Table1[[#Headers],[Las Vegas - 18 November]]='Google Forms'!$C:$C),'Google Forms'!$K:$K,0,0,-1),0)</f>
        <v>10</v>
      </c>
      <c r="W20" s="9" cm="1">
        <f t="array" ref="W20">IFERROR(_xlfn.XLOOKUP(1,(Table1[[#This Row],[Name]]='Google Forms'!$B:$B)*(Table1[[#Headers],[Abu Dhabi - 26 November]]='Google Forms'!$C:$C),'Google Forms'!$K:$K,0,0,-1),0)</f>
        <v>3</v>
      </c>
    </row>
    <row r="21" spans="1:23" x14ac:dyDescent="0.3">
      <c r="A21" t="s">
        <v>62</v>
      </c>
      <c r="B21" s="9">
        <v>5</v>
      </c>
      <c r="C21" s="9">
        <v>0</v>
      </c>
      <c r="D21" s="9">
        <v>25</v>
      </c>
      <c r="E21" s="9" cm="1">
        <f t="array" ref="E21">IFERROR(_xlfn.XLOOKUP(1,(Table1[[#This Row],[Name]]='Google Forms'!$B:$B)*(Table1[[#Headers],[Miami - 7 May]]='Google Forms'!$C:$C),'Google Forms'!$K:$K,0,0,-1),0)</f>
        <v>9</v>
      </c>
      <c r="F21" s="9" cm="1">
        <f t="array" ref="F21">IFERROR(_xlfn.XLOOKUP(1,(Table1[[#This Row],[Name]]='Google Forms'!$B:$B)*(Table1[[#Headers],[Italy - 21 May]]='Google Forms'!$C:$C),'Google Forms'!$K:$K,0,0,-1),0)</f>
        <v>0</v>
      </c>
      <c r="G21" s="9" cm="1">
        <f t="array" ref="G21">IFERROR(_xlfn.XLOOKUP(1,(Table1[[#This Row],[Name]]='Google Forms'!$B:$B)*(Table1[[#Headers],[Monaco - 28 May]]='Google Forms'!$C:$C),'Google Forms'!$K:$K,0,0,-1),0)</f>
        <v>18</v>
      </c>
      <c r="H21" s="9" cm="1">
        <f t="array" ref="H21">IFERROR(_xlfn.XLOOKUP(1,(Table1[[#This Row],[Name]]='Google Forms'!$B:$B)*(Table1[[#Headers],[Spain - 4 June]]='Google Forms'!$C:$C),'Google Forms'!$K:$K,0,0,-1),0)</f>
        <v>0</v>
      </c>
      <c r="I21" s="9" cm="1">
        <f t="array" ref="I21">IFERROR(_xlfn.XLOOKUP(1,(Table1[[#This Row],[Name]]='Google Forms'!$B:$B)*(Table1[[#Headers],[Canada - 18 June]]='Google Forms'!$C:$C),'Google Forms'!$K:$K,0,0,-1),0)</f>
        <v>15</v>
      </c>
      <c r="J21" s="9" cm="1">
        <f t="array" ref="J21">IFERROR(_xlfn.XLOOKUP(1,(Table1[[#This Row],[Name]]='Google Forms'!$B:$B)*(Table1[[#Headers],[Austria - 2 July]]='Google Forms'!$C:$C),'Google Forms'!$K:$K,0,0,-1),0)</f>
        <v>2</v>
      </c>
      <c r="K21" s="9" cm="1">
        <f t="array" ref="K21">IFERROR(_xlfn.XLOOKUP(1,(Table1[[#This Row],[Name]]='Google Forms'!$B:$B)*(Table1[[#Headers],[Great Britain - 9 July]]='Google Forms'!$C:$C),'Google Forms'!$K:$K,0,0,-1),0)</f>
        <v>12</v>
      </c>
      <c r="L21" s="9" cm="1">
        <f t="array" ref="L21">IFERROR(_xlfn.XLOOKUP(1,(Table1[[#This Row],[Name]]='Google Forms'!$B:$B)*(Table1[[#Headers],[Hungary - 23 July]]='Google Forms'!$C:$C),'Google Forms'!$K:$K,0,0,-1),0)</f>
        <v>10</v>
      </c>
      <c r="M21" s="9" cm="1">
        <f t="array" ref="M21">IFERROR(_xlfn.XLOOKUP(1,(Table1[[#This Row],[Name]]='Google Forms'!$B:$B)*(Table1[[#Headers],[Belgium - 30 July]]='Google Forms'!$C:$C),'Google Forms'!$K:$K,0,0,-1),0)</f>
        <v>18</v>
      </c>
      <c r="N21" s="9" cm="1">
        <f t="array" ref="N21">IFERROR(_xlfn.XLOOKUP(1,(Table1[[#This Row],[Name]]='Google Forms'!$B:$B)*(Table1[[#Headers],[Netherlands - 27 August]]='Google Forms'!$C:$C),'Google Forms'!$K:$K,0,0,-1),0)</f>
        <v>4</v>
      </c>
      <c r="O21" s="9" cm="1">
        <f t="array" ref="O21">IFERROR(_xlfn.XLOOKUP(1,(Table1[[#This Row],[Name]]='Google Forms'!$B:$B)*(Table1[[#Headers],[Italy - 3 September]]='Google Forms'!$C:$C),'Google Forms'!$K:$K,0,0,-1),0)</f>
        <v>9</v>
      </c>
      <c r="P21" s="9" cm="1">
        <f t="array" ref="P21">IFERROR(_xlfn.XLOOKUP(1,(Table1[[#This Row],[Name]]='Google Forms'!$B:$B)*(Table1[[#Headers],[Singapore - 17 September]]='Google Forms'!$C:$C),'Google Forms'!$K:$K,0,0,-1),0)</f>
        <v>2</v>
      </c>
      <c r="Q21" s="9" cm="1">
        <f t="array" ref="Q21">IFERROR(_xlfn.XLOOKUP(1,(Table1[[#This Row],[Name]]='Google Forms'!$B:$B)*(Table1[[#Headers],[Japan - 24 September]]='Google Forms'!$C:$C),'Google Forms'!$K:$K,0,0,-1),0)</f>
        <v>10</v>
      </c>
      <c r="R21" s="9" cm="1">
        <f t="array" ref="R21">IFERROR(_xlfn.XLOOKUP(1,(Table1[[#This Row],[Name]]='Google Forms'!$B:$B)*(Table1[[#Headers],[Qatar - 8 October]]='Google Forms'!$C:$C),'Google Forms'!$K:$K,0,0,-1),0)</f>
        <v>6</v>
      </c>
      <c r="S21" s="9" cm="1">
        <f t="array" ref="S21">IFERROR(_xlfn.XLOOKUP(1,(Table1[[#This Row],[Name]]='Google Forms'!$B:$B)*(Table1[[#Headers],[United States - 22 October]]='Google Forms'!$C:$C),'Google Forms'!$K:$K,0,0,-1),0)</f>
        <v>0</v>
      </c>
      <c r="T21" s="9" cm="1">
        <f t="array" ref="T21">IFERROR(_xlfn.XLOOKUP(1,(Table1[[#This Row],[Name]]='Google Forms'!$B:$B)*(Table1[[#Headers],[Mexico - 29 October]]='Google Forms'!$C:$C),'Google Forms'!$K:$K,0,0,-1),0)</f>
        <v>12.5</v>
      </c>
      <c r="U21" s="9" cm="1">
        <f t="array" ref="U21">IFERROR(_xlfn.XLOOKUP(1,(Table1[[#This Row],[Name]]='Google Forms'!$B:$B)*(Table1[[#Headers],[Brazil - 5 November]]='Google Forms'!$C:$C),'Google Forms'!$K:$K,0,0,-1),0)</f>
        <v>0</v>
      </c>
      <c r="V21" s="9" cm="1">
        <f t="array" ref="V21">IFERROR(_xlfn.XLOOKUP(1,(Table1[[#This Row],[Name]]='Google Forms'!$B:$B)*(Table1[[#Headers],[Las Vegas - 18 November]]='Google Forms'!$C:$C),'Google Forms'!$K:$K,0,0,-1),0)</f>
        <v>1</v>
      </c>
      <c r="W21" s="9" cm="1">
        <f t="array" ref="W21">IFERROR(_xlfn.XLOOKUP(1,(Table1[[#This Row],[Name]]='Google Forms'!$B:$B)*(Table1[[#Headers],[Abu Dhabi - 26 November]]='Google Forms'!$C:$C),'Google Forms'!$K:$K,0,0,-1),0)</f>
        <v>6</v>
      </c>
    </row>
    <row r="22" spans="1:23" x14ac:dyDescent="0.3">
      <c r="A22" t="s">
        <v>75</v>
      </c>
      <c r="B22" s="9">
        <v>0</v>
      </c>
      <c r="C22" s="9">
        <v>12.5</v>
      </c>
      <c r="D22" s="9">
        <v>7.5</v>
      </c>
      <c r="E22" s="9" cm="1">
        <f t="array" ref="E22">IFERROR(_xlfn.XLOOKUP(1,(Table1[[#This Row],[Name]]='Google Forms'!$B:$B)*(Table1[[#Headers],[Miami - 7 May]]='Google Forms'!$C:$C),'Google Forms'!$K:$K,0,0,-1),0)</f>
        <v>3</v>
      </c>
      <c r="F22" s="9" cm="1">
        <f t="array" ref="F22">IFERROR(_xlfn.XLOOKUP(1,(Table1[[#This Row],[Name]]='Google Forms'!$B:$B)*(Table1[[#Headers],[Italy - 21 May]]='Google Forms'!$C:$C),'Google Forms'!$K:$K,0,0,-1),0)</f>
        <v>0</v>
      </c>
      <c r="G22" s="9" cm="1">
        <f t="array" ref="G22">IFERROR(_xlfn.XLOOKUP(1,(Table1[[#This Row],[Name]]='Google Forms'!$B:$B)*(Table1[[#Headers],[Monaco - 28 May]]='Google Forms'!$C:$C),'Google Forms'!$K:$K,0,0,-1),0)</f>
        <v>18</v>
      </c>
      <c r="H22" s="9" cm="1">
        <f t="array" ref="H22">IFERROR(_xlfn.XLOOKUP(1,(Table1[[#This Row],[Name]]='Google Forms'!$B:$B)*(Table1[[#Headers],[Spain - 4 June]]='Google Forms'!$C:$C),'Google Forms'!$K:$K,0,0,-1),0)</f>
        <v>4</v>
      </c>
      <c r="I22" s="9" cm="1">
        <f t="array" ref="I22">IFERROR(_xlfn.XLOOKUP(1,(Table1[[#This Row],[Name]]='Google Forms'!$B:$B)*(Table1[[#Headers],[Canada - 18 June]]='Google Forms'!$C:$C),'Google Forms'!$K:$K,0,0,-1),0)</f>
        <v>1</v>
      </c>
      <c r="J22" s="9" cm="1">
        <f t="array" ref="J22">IFERROR(_xlfn.XLOOKUP(1,(Table1[[#This Row],[Name]]='Google Forms'!$B:$B)*(Table1[[#Headers],[Austria - 2 July]]='Google Forms'!$C:$C),'Google Forms'!$K:$K,0,0,-1),0)</f>
        <v>12.5</v>
      </c>
      <c r="K22" s="9" cm="1">
        <f t="array" ref="K22">IFERROR(_xlfn.XLOOKUP(1,(Table1[[#This Row],[Name]]='Google Forms'!$B:$B)*(Table1[[#Headers],[Great Britain - 9 July]]='Google Forms'!$C:$C),'Google Forms'!$K:$K,0,0,-1),0)</f>
        <v>2</v>
      </c>
      <c r="L22" s="9" cm="1">
        <f t="array" ref="L22">IFERROR(_xlfn.XLOOKUP(1,(Table1[[#This Row],[Name]]='Google Forms'!$B:$B)*(Table1[[#Headers],[Hungary - 23 July]]='Google Forms'!$C:$C),'Google Forms'!$K:$K,0,0,-1),0)</f>
        <v>0</v>
      </c>
      <c r="M22" s="9" cm="1">
        <f t="array" ref="M22">IFERROR(_xlfn.XLOOKUP(1,(Table1[[#This Row],[Name]]='Google Forms'!$B:$B)*(Table1[[#Headers],[Belgium - 30 July]]='Google Forms'!$C:$C),'Google Forms'!$K:$K,0,0,-1),0)</f>
        <v>25</v>
      </c>
      <c r="N22" s="9" cm="1">
        <f t="array" ref="N22">IFERROR(_xlfn.XLOOKUP(1,(Table1[[#This Row],[Name]]='Google Forms'!$B:$B)*(Table1[[#Headers],[Netherlands - 27 August]]='Google Forms'!$C:$C),'Google Forms'!$K:$K,0,0,-1),0)</f>
        <v>15</v>
      </c>
      <c r="O22" s="9" cm="1">
        <f t="array" ref="O22">IFERROR(_xlfn.XLOOKUP(1,(Table1[[#This Row],[Name]]='Google Forms'!$B:$B)*(Table1[[#Headers],[Italy - 3 September]]='Google Forms'!$C:$C),'Google Forms'!$K:$K,0,0,-1),0)</f>
        <v>10</v>
      </c>
      <c r="P22" s="9" cm="1">
        <f t="array" ref="P22">IFERROR(_xlfn.XLOOKUP(1,(Table1[[#This Row],[Name]]='Google Forms'!$B:$B)*(Table1[[#Headers],[Singapore - 17 September]]='Google Forms'!$C:$C),'Google Forms'!$K:$K,0,0,-1),0)</f>
        <v>4</v>
      </c>
      <c r="Q22" s="9" cm="1">
        <f t="array" ref="Q22">IFERROR(_xlfn.XLOOKUP(1,(Table1[[#This Row],[Name]]='Google Forms'!$B:$B)*(Table1[[#Headers],[Japan - 24 September]]='Google Forms'!$C:$C),'Google Forms'!$K:$K,0,0,-1),0)</f>
        <v>15</v>
      </c>
      <c r="R22" s="9" cm="1">
        <f t="array" ref="R22">IFERROR(_xlfn.XLOOKUP(1,(Table1[[#This Row],[Name]]='Google Forms'!$B:$B)*(Table1[[#Headers],[Qatar - 8 October]]='Google Forms'!$C:$C),'Google Forms'!$K:$K,0,0,-1),0)</f>
        <v>12</v>
      </c>
      <c r="S22" s="9" cm="1">
        <f t="array" ref="S22">IFERROR(_xlfn.XLOOKUP(1,(Table1[[#This Row],[Name]]='Google Forms'!$B:$B)*(Table1[[#Headers],[United States - 22 October]]='Google Forms'!$C:$C),'Google Forms'!$K:$K,0,0,-1),0)</f>
        <v>0</v>
      </c>
      <c r="T22" s="9" cm="1">
        <f t="array" ref="T22">IFERROR(_xlfn.XLOOKUP(1,(Table1[[#This Row],[Name]]='Google Forms'!$B:$B)*(Table1[[#Headers],[Mexico - 29 October]]='Google Forms'!$C:$C),'Google Forms'!$K:$K,0,0,-1),0)</f>
        <v>7.5</v>
      </c>
      <c r="U22" s="9" cm="1">
        <f t="array" ref="U22">IFERROR(_xlfn.XLOOKUP(1,(Table1[[#This Row],[Name]]='Google Forms'!$B:$B)*(Table1[[#Headers],[Brazil - 5 November]]='Google Forms'!$C:$C),'Google Forms'!$K:$K,0,0,-1),0)</f>
        <v>0</v>
      </c>
      <c r="V22" s="9" cm="1">
        <f t="array" ref="V22">IFERROR(_xlfn.XLOOKUP(1,(Table1[[#This Row],[Name]]='Google Forms'!$B:$B)*(Table1[[#Headers],[Las Vegas - 18 November]]='Google Forms'!$C:$C),'Google Forms'!$K:$K,0,0,-1),0)</f>
        <v>6</v>
      </c>
      <c r="W22" s="9" cm="1">
        <f t="array" ref="W22">IFERROR(_xlfn.XLOOKUP(1,(Table1[[#This Row],[Name]]='Google Forms'!$B:$B)*(Table1[[#Headers],[Abu Dhabi - 26 November]]='Google Forms'!$C:$C),'Google Forms'!$K:$K,0,0,-1),0)</f>
        <v>3</v>
      </c>
    </row>
    <row r="23" spans="1:23" x14ac:dyDescent="0.3">
      <c r="A23" t="s">
        <v>74</v>
      </c>
      <c r="B23" s="9">
        <v>0.5</v>
      </c>
      <c r="C23" s="9">
        <v>0</v>
      </c>
      <c r="D23" s="9">
        <v>25</v>
      </c>
      <c r="E23" s="9" cm="1">
        <f t="array" ref="E23">IFERROR(_xlfn.XLOOKUP(1,(Table1[[#This Row],[Name]]='Google Forms'!$B:$B)*(Table1[[#Headers],[Miami - 7 May]]='Google Forms'!$C:$C),'Google Forms'!$K:$K,0,0,-1),0)</f>
        <v>9</v>
      </c>
      <c r="F23" s="9" cm="1">
        <f t="array" ref="F23">IFERROR(_xlfn.XLOOKUP(1,(Table1[[#This Row],[Name]]='Google Forms'!$B:$B)*(Table1[[#Headers],[Italy - 21 May]]='Google Forms'!$C:$C),'Google Forms'!$K:$K,0,0,-1),0)</f>
        <v>0</v>
      </c>
      <c r="G23" s="9" cm="1">
        <f t="array" ref="G23">IFERROR(_xlfn.XLOOKUP(1,(Table1[[#This Row],[Name]]='Google Forms'!$B:$B)*(Table1[[#Headers],[Monaco - 28 May]]='Google Forms'!$C:$C),'Google Forms'!$K:$K,0,0,-1),0)</f>
        <v>0.5</v>
      </c>
      <c r="H23" s="9" cm="1">
        <f t="array" ref="H23">IFERROR(_xlfn.XLOOKUP(1,(Table1[[#This Row],[Name]]='Google Forms'!$B:$B)*(Table1[[#Headers],[Spain - 4 June]]='Google Forms'!$C:$C),'Google Forms'!$K:$K,0,0,-1),0)</f>
        <v>5</v>
      </c>
      <c r="I23" s="9" cm="1">
        <f t="array" ref="I23">IFERROR(_xlfn.XLOOKUP(1,(Table1[[#This Row],[Name]]='Google Forms'!$B:$B)*(Table1[[#Headers],[Canada - 18 June]]='Google Forms'!$C:$C),'Google Forms'!$K:$K,0,0,-1),0)</f>
        <v>6</v>
      </c>
      <c r="J23" s="9" cm="1">
        <f t="array" ref="J23">IFERROR(_xlfn.XLOOKUP(1,(Table1[[#This Row],[Name]]='Google Forms'!$B:$B)*(Table1[[#Headers],[Austria - 2 July]]='Google Forms'!$C:$C),'Google Forms'!$K:$K,0,0,-1),0)</f>
        <v>7.5</v>
      </c>
      <c r="K23" s="9" cm="1">
        <f t="array" ref="K23">IFERROR(_xlfn.XLOOKUP(1,(Table1[[#This Row],[Name]]='Google Forms'!$B:$B)*(Table1[[#Headers],[Great Britain - 9 July]]='Google Forms'!$C:$C),'Google Forms'!$K:$K,0,0,-1),0)</f>
        <v>0</v>
      </c>
      <c r="L23" s="9" cm="1">
        <f t="array" ref="L23">IFERROR(_xlfn.XLOOKUP(1,(Table1[[#This Row],[Name]]='Google Forms'!$B:$B)*(Table1[[#Headers],[Hungary - 23 July]]='Google Forms'!$C:$C),'Google Forms'!$K:$K,0,0,-1),0)</f>
        <v>6</v>
      </c>
      <c r="M23" s="9" cm="1">
        <f t="array" ref="M23">IFERROR(_xlfn.XLOOKUP(1,(Table1[[#This Row],[Name]]='Google Forms'!$B:$B)*(Table1[[#Headers],[Belgium - 30 July]]='Google Forms'!$C:$C),'Google Forms'!$K:$K,0,0,-1),0)</f>
        <v>25</v>
      </c>
      <c r="N23" s="9" cm="1">
        <f t="array" ref="N23">IFERROR(_xlfn.XLOOKUP(1,(Table1[[#This Row],[Name]]='Google Forms'!$B:$B)*(Table1[[#Headers],[Netherlands - 27 August]]='Google Forms'!$C:$C),'Google Forms'!$K:$K,0,0,-1),0)</f>
        <v>18</v>
      </c>
      <c r="O23" s="9" cm="1">
        <f t="array" ref="O23">IFERROR(_xlfn.XLOOKUP(1,(Table1[[#This Row],[Name]]='Google Forms'!$B:$B)*(Table1[[#Headers],[Italy - 3 September]]='Google Forms'!$C:$C),'Google Forms'!$K:$K,0,0,-1),0)</f>
        <v>5</v>
      </c>
      <c r="P23" s="9" cm="1">
        <f t="array" ref="P23">IFERROR(_xlfn.XLOOKUP(1,(Table1[[#This Row],[Name]]='Google Forms'!$B:$B)*(Table1[[#Headers],[Singapore - 17 September]]='Google Forms'!$C:$C),'Google Forms'!$K:$K,0,0,-1),0)</f>
        <v>4</v>
      </c>
      <c r="Q23" s="9" cm="1">
        <f t="array" ref="Q23">IFERROR(_xlfn.XLOOKUP(1,(Table1[[#This Row],[Name]]='Google Forms'!$B:$B)*(Table1[[#Headers],[Japan - 24 September]]='Google Forms'!$C:$C),'Google Forms'!$K:$K,0,0,-1),0)</f>
        <v>10</v>
      </c>
      <c r="R23" s="9" cm="1">
        <f t="array" ref="R23">IFERROR(_xlfn.XLOOKUP(1,(Table1[[#This Row],[Name]]='Google Forms'!$B:$B)*(Table1[[#Headers],[Qatar - 8 October]]='Google Forms'!$C:$C),'Google Forms'!$K:$K,0,0,-1),0)</f>
        <v>4</v>
      </c>
      <c r="S23" s="9" cm="1">
        <f t="array" ref="S23">IFERROR(_xlfn.XLOOKUP(1,(Table1[[#This Row],[Name]]='Google Forms'!$B:$B)*(Table1[[#Headers],[United States - 22 October]]='Google Forms'!$C:$C),'Google Forms'!$K:$K,0,0,-1),0)</f>
        <v>0</v>
      </c>
      <c r="T23" s="9" cm="1">
        <f t="array" ref="T23">IFERROR(_xlfn.XLOOKUP(1,(Table1[[#This Row],[Name]]='Google Forms'!$B:$B)*(Table1[[#Headers],[Mexico - 29 October]]='Google Forms'!$C:$C),'Google Forms'!$K:$K,0,0,-1),0)</f>
        <v>15</v>
      </c>
      <c r="U23" s="9" cm="1">
        <f t="array" ref="U23">IFERROR(_xlfn.XLOOKUP(1,(Table1[[#This Row],[Name]]='Google Forms'!$B:$B)*(Table1[[#Headers],[Brazil - 5 November]]='Google Forms'!$C:$C),'Google Forms'!$K:$K,0,0,-1),0)</f>
        <v>4</v>
      </c>
      <c r="V23" s="9" cm="1">
        <f t="array" ref="V23">IFERROR(_xlfn.XLOOKUP(1,(Table1[[#This Row],[Name]]='Google Forms'!$B:$B)*(Table1[[#Headers],[Las Vegas - 18 November]]='Google Forms'!$C:$C),'Google Forms'!$K:$K,0,0,-1),0)</f>
        <v>1</v>
      </c>
      <c r="W23" s="9" cm="1">
        <f t="array" ref="W23">IFERROR(_xlfn.XLOOKUP(1,(Table1[[#This Row],[Name]]='Google Forms'!$B:$B)*(Table1[[#Headers],[Abu Dhabi - 26 November]]='Google Forms'!$C:$C),'Google Forms'!$K:$K,0,0,-1),0)</f>
        <v>12</v>
      </c>
    </row>
    <row r="24" spans="1:23" x14ac:dyDescent="0.3">
      <c r="A24" t="s">
        <v>70</v>
      </c>
      <c r="B24" s="9">
        <v>10</v>
      </c>
      <c r="C24" s="9">
        <v>4</v>
      </c>
      <c r="D24" s="9">
        <v>5</v>
      </c>
      <c r="E24" s="9" cm="1">
        <f t="array" ref="E24">IFERROR(_xlfn.XLOOKUP(1,(Table1[[#This Row],[Name]]='Google Forms'!$B:$B)*(Table1[[#Headers],[Miami - 7 May]]='Google Forms'!$C:$C),'Google Forms'!$K:$K,0,0,-1),0)</f>
        <v>18</v>
      </c>
      <c r="F24" s="9" cm="1">
        <f t="array" ref="F24">IFERROR(_xlfn.XLOOKUP(1,(Table1[[#This Row],[Name]]='Google Forms'!$B:$B)*(Table1[[#Headers],[Italy - 21 May]]='Google Forms'!$C:$C),'Google Forms'!$K:$K,0,0,-1),0)</f>
        <v>0</v>
      </c>
      <c r="G24" s="9" cm="1">
        <f t="array" ref="G24">IFERROR(_xlfn.XLOOKUP(1,(Table1[[#This Row],[Name]]='Google Forms'!$B:$B)*(Table1[[#Headers],[Monaco - 28 May]]='Google Forms'!$C:$C),'Google Forms'!$K:$K,0,0,-1),0)</f>
        <v>1</v>
      </c>
      <c r="H24" s="9" cm="1">
        <f t="array" ref="H24">IFERROR(_xlfn.XLOOKUP(1,(Table1[[#This Row],[Name]]='Google Forms'!$B:$B)*(Table1[[#Headers],[Spain - 4 June]]='Google Forms'!$C:$C),'Google Forms'!$K:$K,0,0,-1),0)</f>
        <v>6</v>
      </c>
      <c r="I24" s="9" cm="1">
        <f t="array" ref="I24">IFERROR(_xlfn.XLOOKUP(1,(Table1[[#This Row],[Name]]='Google Forms'!$B:$B)*(Table1[[#Headers],[Canada - 18 June]]='Google Forms'!$C:$C),'Google Forms'!$K:$K,0,0,-1),0)</f>
        <v>12</v>
      </c>
      <c r="J24" s="9" cm="1">
        <f t="array" ref="J24">IFERROR(_xlfn.XLOOKUP(1,(Table1[[#This Row],[Name]]='Google Forms'!$B:$B)*(Table1[[#Headers],[Austria - 2 July]]='Google Forms'!$C:$C),'Google Forms'!$K:$K,0,0,-1),0)</f>
        <v>1</v>
      </c>
      <c r="K24" s="9" cm="1">
        <f t="array" ref="K24">IFERROR(_xlfn.XLOOKUP(1,(Table1[[#This Row],[Name]]='Google Forms'!$B:$B)*(Table1[[#Headers],[Great Britain - 9 July]]='Google Forms'!$C:$C),'Google Forms'!$K:$K,0,0,-1),0)</f>
        <v>0</v>
      </c>
      <c r="L24" s="9" cm="1">
        <f t="array" ref="L24">IFERROR(_xlfn.XLOOKUP(1,(Table1[[#This Row],[Name]]='Google Forms'!$B:$B)*(Table1[[#Headers],[Hungary - 23 July]]='Google Forms'!$C:$C),'Google Forms'!$K:$K,0,0,-1),0)</f>
        <v>7.5</v>
      </c>
      <c r="M24" s="9" cm="1">
        <f t="array" ref="M24">IFERROR(_xlfn.XLOOKUP(1,(Table1[[#This Row],[Name]]='Google Forms'!$B:$B)*(Table1[[#Headers],[Belgium - 30 July]]='Google Forms'!$C:$C),'Google Forms'!$K:$K,0,0,-1),0)</f>
        <v>15</v>
      </c>
      <c r="N24" s="9" cm="1">
        <f t="array" ref="N24">IFERROR(_xlfn.XLOOKUP(1,(Table1[[#This Row],[Name]]='Google Forms'!$B:$B)*(Table1[[#Headers],[Netherlands - 27 August]]='Google Forms'!$C:$C),'Google Forms'!$K:$K,0,0,-1),0)</f>
        <v>0</v>
      </c>
      <c r="O24" s="9" cm="1">
        <f t="array" ref="O24">IFERROR(_xlfn.XLOOKUP(1,(Table1[[#This Row],[Name]]='Google Forms'!$B:$B)*(Table1[[#Headers],[Italy - 3 September]]='Google Forms'!$C:$C),'Google Forms'!$K:$K,0,0,-1),0)</f>
        <v>4</v>
      </c>
      <c r="P24" s="9" cm="1">
        <f t="array" ref="P24">IFERROR(_xlfn.XLOOKUP(1,(Table1[[#This Row],[Name]]='Google Forms'!$B:$B)*(Table1[[#Headers],[Singapore - 17 September]]='Google Forms'!$C:$C),'Google Forms'!$K:$K,0,0,-1),0)</f>
        <v>8</v>
      </c>
      <c r="Q24" s="9" cm="1">
        <f t="array" ref="Q24">IFERROR(_xlfn.XLOOKUP(1,(Table1[[#This Row],[Name]]='Google Forms'!$B:$B)*(Table1[[#Headers],[Japan - 24 September]]='Google Forms'!$C:$C),'Google Forms'!$K:$K,0,0,-1),0)</f>
        <v>0</v>
      </c>
      <c r="R24" s="9" cm="1">
        <f t="array" ref="R24">IFERROR(_xlfn.XLOOKUP(1,(Table1[[#This Row],[Name]]='Google Forms'!$B:$B)*(Table1[[#Headers],[Qatar - 8 October]]='Google Forms'!$C:$C),'Google Forms'!$K:$K,0,0,-1),0)</f>
        <v>8</v>
      </c>
      <c r="S24" s="9" cm="1">
        <f t="array" ref="S24">IFERROR(_xlfn.XLOOKUP(1,(Table1[[#This Row],[Name]]='Google Forms'!$B:$B)*(Table1[[#Headers],[United States - 22 October]]='Google Forms'!$C:$C),'Google Forms'!$K:$K,0,0,-1),0)</f>
        <v>18</v>
      </c>
      <c r="T24" s="9" cm="1">
        <f t="array" ref="T24">IFERROR(_xlfn.XLOOKUP(1,(Table1[[#This Row],[Name]]='Google Forms'!$B:$B)*(Table1[[#Headers],[Mexico - 29 October]]='Google Forms'!$C:$C),'Google Forms'!$K:$K,0,0,-1),0)</f>
        <v>8</v>
      </c>
      <c r="U24" s="9" cm="1">
        <f t="array" ref="U24">IFERROR(_xlfn.XLOOKUP(1,(Table1[[#This Row],[Name]]='Google Forms'!$B:$B)*(Table1[[#Headers],[Brazil - 5 November]]='Google Forms'!$C:$C),'Google Forms'!$K:$K,0,0,-1),0)</f>
        <v>1</v>
      </c>
      <c r="V24" s="9" cm="1">
        <f t="array" ref="V24">IFERROR(_xlfn.XLOOKUP(1,(Table1[[#This Row],[Name]]='Google Forms'!$B:$B)*(Table1[[#Headers],[Las Vegas - 18 November]]='Google Forms'!$C:$C),'Google Forms'!$K:$K,0,0,-1),0)</f>
        <v>7.5</v>
      </c>
      <c r="W24" s="9" cm="1">
        <f t="array" ref="W24">IFERROR(_xlfn.XLOOKUP(1,(Table1[[#This Row],[Name]]='Google Forms'!$B:$B)*(Table1[[#Headers],[Abu Dhabi - 26 November]]='Google Forms'!$C:$C),'Google Forms'!$K:$K,0,0,-1),0)</f>
        <v>5</v>
      </c>
    </row>
    <row r="25" spans="1:23" x14ac:dyDescent="0.3">
      <c r="A25" t="s">
        <v>76</v>
      </c>
      <c r="B25" s="9">
        <v>0</v>
      </c>
      <c r="C25" s="9">
        <v>0</v>
      </c>
      <c r="D25" s="9">
        <v>0.5</v>
      </c>
      <c r="E25" s="9" cm="1">
        <f t="array" ref="E25">IFERROR(_xlfn.XLOOKUP(1,(Table1[[#This Row],[Name]]='Google Forms'!$B:$B)*(Table1[[#Headers],[Miami - 7 May]]='Google Forms'!$C:$C),'Google Forms'!$K:$K,0,0,-1),0)</f>
        <v>6</v>
      </c>
      <c r="F25" s="9" cm="1">
        <f t="array" ref="F25">IFERROR(_xlfn.XLOOKUP(1,(Table1[[#This Row],[Name]]='Google Forms'!$B:$B)*(Table1[[#Headers],[Italy - 21 May]]='Google Forms'!$C:$C),'Google Forms'!$K:$K,0,0,-1),0)</f>
        <v>0</v>
      </c>
      <c r="G25" s="9" cm="1">
        <f t="array" ref="G25">IFERROR(_xlfn.XLOOKUP(1,(Table1[[#This Row],[Name]]='Google Forms'!$B:$B)*(Table1[[#Headers],[Monaco - 28 May]]='Google Forms'!$C:$C),'Google Forms'!$K:$K,0,0,-1),0)</f>
        <v>7.5</v>
      </c>
      <c r="H25" s="9" cm="1">
        <f t="array" ref="H25">IFERROR(_xlfn.XLOOKUP(1,(Table1[[#This Row],[Name]]='Google Forms'!$B:$B)*(Table1[[#Headers],[Spain - 4 June]]='Google Forms'!$C:$C),'Google Forms'!$K:$K,0,0,-1),0)</f>
        <v>15</v>
      </c>
      <c r="I25" s="9" cm="1">
        <f t="array" ref="I25">IFERROR(_xlfn.XLOOKUP(1,(Table1[[#This Row],[Name]]='Google Forms'!$B:$B)*(Table1[[#Headers],[Canada - 18 June]]='Google Forms'!$C:$C),'Google Forms'!$K:$K,0,0,-1),0)</f>
        <v>6</v>
      </c>
      <c r="J25" s="9" cm="1">
        <f t="array" ref="J25">IFERROR(_xlfn.XLOOKUP(1,(Table1[[#This Row],[Name]]='Google Forms'!$B:$B)*(Table1[[#Headers],[Austria - 2 July]]='Google Forms'!$C:$C),'Google Forms'!$K:$K,0,0,-1),0)</f>
        <v>2</v>
      </c>
      <c r="K25" s="9" cm="1">
        <f t="array" ref="K25">IFERROR(_xlfn.XLOOKUP(1,(Table1[[#This Row],[Name]]='Google Forms'!$B:$B)*(Table1[[#Headers],[Great Britain - 9 July]]='Google Forms'!$C:$C),'Google Forms'!$K:$K,0,0,-1),0)</f>
        <v>2</v>
      </c>
      <c r="L25" s="9" cm="1">
        <f t="array" ref="L25">IFERROR(_xlfn.XLOOKUP(1,(Table1[[#This Row],[Name]]='Google Forms'!$B:$B)*(Table1[[#Headers],[Hungary - 23 July]]='Google Forms'!$C:$C),'Google Forms'!$K:$K,0,0,-1),0)</f>
        <v>6</v>
      </c>
      <c r="M25" s="9" cm="1">
        <f t="array" ref="M25">IFERROR(_xlfn.XLOOKUP(1,(Table1[[#This Row],[Name]]='Google Forms'!$B:$B)*(Table1[[#Headers],[Belgium - 30 July]]='Google Forms'!$C:$C),'Google Forms'!$K:$K,0,0,-1),0)</f>
        <v>0</v>
      </c>
      <c r="N25" s="9" cm="1">
        <f t="array" ref="N25">IFERROR(_xlfn.XLOOKUP(1,(Table1[[#This Row],[Name]]='Google Forms'!$B:$B)*(Table1[[#Headers],[Netherlands - 27 August]]='Google Forms'!$C:$C),'Google Forms'!$K:$K,0,0,-1),0)</f>
        <v>12</v>
      </c>
      <c r="O25" s="9" cm="1">
        <f t="array" ref="O25">IFERROR(_xlfn.XLOOKUP(1,(Table1[[#This Row],[Name]]='Google Forms'!$B:$B)*(Table1[[#Headers],[Italy - 3 September]]='Google Forms'!$C:$C),'Google Forms'!$K:$K,0,0,-1),0)</f>
        <v>8</v>
      </c>
      <c r="P25" s="9" cm="1">
        <f t="array" ref="P25">IFERROR(_xlfn.XLOOKUP(1,(Table1[[#This Row],[Name]]='Google Forms'!$B:$B)*(Table1[[#Headers],[Singapore - 17 September]]='Google Forms'!$C:$C),'Google Forms'!$K:$K,0,0,-1),0)</f>
        <v>7.5</v>
      </c>
      <c r="Q25" s="9" cm="1">
        <f t="array" ref="Q25">IFERROR(_xlfn.XLOOKUP(1,(Table1[[#This Row],[Name]]='Google Forms'!$B:$B)*(Table1[[#Headers],[Japan - 24 September]]='Google Forms'!$C:$C),'Google Forms'!$K:$K,0,0,-1),0)</f>
        <v>18</v>
      </c>
      <c r="R25" s="9" cm="1">
        <f t="array" ref="R25">IFERROR(_xlfn.XLOOKUP(1,(Table1[[#This Row],[Name]]='Google Forms'!$B:$B)*(Table1[[#Headers],[Qatar - 8 October]]='Google Forms'!$C:$C),'Google Forms'!$K:$K,0,0,-1),0)</f>
        <v>7.5</v>
      </c>
      <c r="S25" s="9" cm="1">
        <f t="array" ref="S25">IFERROR(_xlfn.XLOOKUP(1,(Table1[[#This Row],[Name]]='Google Forms'!$B:$B)*(Table1[[#Headers],[United States - 22 October]]='Google Forms'!$C:$C),'Google Forms'!$K:$K,0,0,-1),0)</f>
        <v>10</v>
      </c>
      <c r="T25" s="9" cm="1">
        <f t="array" ref="T25">IFERROR(_xlfn.XLOOKUP(1,(Table1[[#This Row],[Name]]='Google Forms'!$B:$B)*(Table1[[#Headers],[Mexico - 29 October]]='Google Forms'!$C:$C),'Google Forms'!$K:$K,0,0,-1),0)</f>
        <v>9</v>
      </c>
      <c r="U25" s="9" cm="1">
        <f t="array" ref="U25">IFERROR(_xlfn.XLOOKUP(1,(Table1[[#This Row],[Name]]='Google Forms'!$B:$B)*(Table1[[#Headers],[Brazil - 5 November]]='Google Forms'!$C:$C),'Google Forms'!$K:$K,0,0,-1),0)</f>
        <v>6</v>
      </c>
      <c r="V25" s="9" cm="1">
        <f t="array" ref="V25">IFERROR(_xlfn.XLOOKUP(1,(Table1[[#This Row],[Name]]='Google Forms'!$B:$B)*(Table1[[#Headers],[Las Vegas - 18 November]]='Google Forms'!$C:$C),'Google Forms'!$K:$K,0,0,-1),0)</f>
        <v>0</v>
      </c>
      <c r="W25" s="9" cm="1">
        <f t="array" ref="W25">IFERROR(_xlfn.XLOOKUP(1,(Table1[[#This Row],[Name]]='Google Forms'!$B:$B)*(Table1[[#Headers],[Abu Dhabi - 26 November]]='Google Forms'!$C:$C),'Google Forms'!$K:$K,0,0,-1),0)</f>
        <v>6</v>
      </c>
    </row>
    <row r="26" spans="1:23" x14ac:dyDescent="0.3">
      <c r="A26" t="s">
        <v>73</v>
      </c>
      <c r="B26" s="9">
        <v>0</v>
      </c>
      <c r="C26" s="9">
        <v>0</v>
      </c>
      <c r="D26" s="9">
        <v>0</v>
      </c>
      <c r="E26" s="9" cm="1">
        <f t="array" ref="E26">IFERROR(_xlfn.XLOOKUP(1,(Table1[[#This Row],[Name]]='Google Forms'!$B:$B)*(Table1[[#Headers],[Miami - 7 May]]='Google Forms'!$C:$C),'Google Forms'!$K:$K,0,0,-1),0)</f>
        <v>0</v>
      </c>
      <c r="F26" s="9" cm="1">
        <f t="array" ref="F26">IFERROR(_xlfn.XLOOKUP(1,(Table1[[#This Row],[Name]]='Google Forms'!$B:$B)*(Table1[[#Headers],[Italy - 21 May]]='Google Forms'!$C:$C),'Google Forms'!$K:$K,0,0,-1),0)</f>
        <v>0</v>
      </c>
      <c r="G26" s="9" cm="1">
        <f t="array" ref="G26">IFERROR(_xlfn.XLOOKUP(1,(Table1[[#This Row],[Name]]='Google Forms'!$B:$B)*(Table1[[#Headers],[Monaco - 28 May]]='Google Forms'!$C:$C),'Google Forms'!$K:$K,0,0,-1),0)</f>
        <v>25</v>
      </c>
      <c r="H26" s="9" cm="1">
        <f t="array" ref="H26">IFERROR(_xlfn.XLOOKUP(1,(Table1[[#This Row],[Name]]='Google Forms'!$B:$B)*(Table1[[#Headers],[Spain - 4 June]]='Google Forms'!$C:$C),'Google Forms'!$K:$K,0,0,-1),0)</f>
        <v>9</v>
      </c>
      <c r="I26" s="9" cm="1">
        <f t="array" ref="I26">IFERROR(_xlfn.XLOOKUP(1,(Table1[[#This Row],[Name]]='Google Forms'!$B:$B)*(Table1[[#Headers],[Canada - 18 June]]='Google Forms'!$C:$C),'Google Forms'!$K:$K,0,0,-1),0)</f>
        <v>15</v>
      </c>
      <c r="J26" s="9" cm="1">
        <f t="array" ref="J26">IFERROR(_xlfn.XLOOKUP(1,(Table1[[#This Row],[Name]]='Google Forms'!$B:$B)*(Table1[[#Headers],[Austria - 2 July]]='Google Forms'!$C:$C),'Google Forms'!$K:$K,0,0,-1),0)</f>
        <v>2</v>
      </c>
      <c r="K26" s="9" cm="1">
        <f t="array" ref="K26">IFERROR(_xlfn.XLOOKUP(1,(Table1[[#This Row],[Name]]='Google Forms'!$B:$B)*(Table1[[#Headers],[Great Britain - 9 July]]='Google Forms'!$C:$C),'Google Forms'!$K:$K,0,0,-1),0)</f>
        <v>3</v>
      </c>
      <c r="L26" s="9" cm="1">
        <f t="array" ref="L26">IFERROR(_xlfn.XLOOKUP(1,(Table1[[#This Row],[Name]]='Google Forms'!$B:$B)*(Table1[[#Headers],[Hungary - 23 July]]='Google Forms'!$C:$C),'Google Forms'!$K:$K,0,0,-1),0)</f>
        <v>1</v>
      </c>
      <c r="M26" s="9" cm="1">
        <f t="array" ref="M26">IFERROR(_xlfn.XLOOKUP(1,(Table1[[#This Row],[Name]]='Google Forms'!$B:$B)*(Table1[[#Headers],[Belgium - 30 July]]='Google Forms'!$C:$C),'Google Forms'!$K:$K,0,0,-1),0)</f>
        <v>25</v>
      </c>
      <c r="N26" s="9" cm="1">
        <f t="array" ref="N26">IFERROR(_xlfn.XLOOKUP(1,(Table1[[#This Row],[Name]]='Google Forms'!$B:$B)*(Table1[[#Headers],[Netherlands - 27 August]]='Google Forms'!$C:$C),'Google Forms'!$K:$K,0,0,-1),0)</f>
        <v>0</v>
      </c>
      <c r="O26" s="9" cm="1">
        <f t="array" ref="O26">IFERROR(_xlfn.XLOOKUP(1,(Table1[[#This Row],[Name]]='Google Forms'!$B:$B)*(Table1[[#Headers],[Italy - 3 September]]='Google Forms'!$C:$C),'Google Forms'!$K:$K,0,0,-1),0)</f>
        <v>0</v>
      </c>
      <c r="P26" s="9" cm="1">
        <f t="array" ref="P26">IFERROR(_xlfn.XLOOKUP(1,(Table1[[#This Row],[Name]]='Google Forms'!$B:$B)*(Table1[[#Headers],[Singapore - 17 September]]='Google Forms'!$C:$C),'Google Forms'!$K:$K,0,0,-1),0)</f>
        <v>0</v>
      </c>
      <c r="Q26" s="9" cm="1">
        <f t="array" ref="Q26">IFERROR(_xlfn.XLOOKUP(1,(Table1[[#This Row],[Name]]='Google Forms'!$B:$B)*(Table1[[#Headers],[Japan - 24 September]]='Google Forms'!$C:$C),'Google Forms'!$K:$K,0,0,-1),0)</f>
        <v>18</v>
      </c>
      <c r="R26" s="9" cm="1">
        <f t="array" ref="R26">IFERROR(_xlfn.XLOOKUP(1,(Table1[[#This Row],[Name]]='Google Forms'!$B:$B)*(Table1[[#Headers],[Qatar - 8 October]]='Google Forms'!$C:$C),'Google Forms'!$K:$K,0,0,-1),0)</f>
        <v>3</v>
      </c>
      <c r="S26" s="9" cm="1">
        <f t="array" ref="S26">IFERROR(_xlfn.XLOOKUP(1,(Table1[[#This Row],[Name]]='Google Forms'!$B:$B)*(Table1[[#Headers],[United States - 22 October]]='Google Forms'!$C:$C),'Google Forms'!$K:$K,0,0,-1),0)</f>
        <v>0</v>
      </c>
      <c r="T26" s="9" cm="1">
        <f t="array" ref="T26">IFERROR(_xlfn.XLOOKUP(1,(Table1[[#This Row],[Name]]='Google Forms'!$B:$B)*(Table1[[#Headers],[Mexico - 29 October]]='Google Forms'!$C:$C),'Google Forms'!$K:$K,0,0,-1),0)</f>
        <v>0</v>
      </c>
      <c r="U26" s="9" cm="1">
        <f t="array" ref="U26">IFERROR(_xlfn.XLOOKUP(1,(Table1[[#This Row],[Name]]='Google Forms'!$B:$B)*(Table1[[#Headers],[Brazil - 5 November]]='Google Forms'!$C:$C),'Google Forms'!$K:$K,0,0,-1),0)</f>
        <v>0</v>
      </c>
      <c r="V26" s="9" cm="1">
        <f t="array" ref="V26">IFERROR(_xlfn.XLOOKUP(1,(Table1[[#This Row],[Name]]='Google Forms'!$B:$B)*(Table1[[#Headers],[Las Vegas - 18 November]]='Google Forms'!$C:$C),'Google Forms'!$K:$K,0,0,-1),0)</f>
        <v>0</v>
      </c>
      <c r="W26" s="9" cm="1">
        <f t="array" ref="W26">IFERROR(_xlfn.XLOOKUP(1,(Table1[[#This Row],[Name]]='Google Forms'!$B:$B)*(Table1[[#Headers],[Abu Dhabi - 26 November]]='Google Forms'!$C:$C),'Google Forms'!$K:$K,0,0,-1),0)</f>
        <v>10</v>
      </c>
    </row>
    <row r="27" spans="1:23" x14ac:dyDescent="0.3">
      <c r="A27" t="s">
        <v>65</v>
      </c>
      <c r="B27" s="9">
        <v>9</v>
      </c>
      <c r="C27" s="9">
        <v>7.5</v>
      </c>
      <c r="D27" s="9">
        <v>7.5</v>
      </c>
      <c r="E27" s="9" cm="1">
        <f t="array" ref="E27">IFERROR(_xlfn.XLOOKUP(1,(Table1[[#This Row],[Name]]='Google Forms'!$B:$B)*(Table1[[#Headers],[Miami - 7 May]]='Google Forms'!$C:$C),'Google Forms'!$K:$K,0,0,-1),0)</f>
        <v>9</v>
      </c>
      <c r="F27" s="9" cm="1">
        <f t="array" ref="F27">IFERROR(_xlfn.XLOOKUP(1,(Table1[[#This Row],[Name]]='Google Forms'!$B:$B)*(Table1[[#Headers],[Italy - 21 May]]='Google Forms'!$C:$C),'Google Forms'!$K:$K,0,0,-1),0)</f>
        <v>0</v>
      </c>
      <c r="G27" s="9" cm="1">
        <f t="array" ref="G27">IFERROR(_xlfn.XLOOKUP(1,(Table1[[#This Row],[Name]]='Google Forms'!$B:$B)*(Table1[[#Headers],[Monaco - 28 May]]='Google Forms'!$C:$C),'Google Forms'!$K:$K,0,0,-1),0)</f>
        <v>4</v>
      </c>
      <c r="H27" s="9" cm="1">
        <f t="array" ref="H27">IFERROR(_xlfn.XLOOKUP(1,(Table1[[#This Row],[Name]]='Google Forms'!$B:$B)*(Table1[[#Headers],[Spain - 4 June]]='Google Forms'!$C:$C),'Google Forms'!$K:$K,0,0,-1),0)</f>
        <v>25</v>
      </c>
      <c r="I27" s="9" cm="1">
        <f t="array" ref="I27">IFERROR(_xlfn.XLOOKUP(1,(Table1[[#This Row],[Name]]='Google Forms'!$B:$B)*(Table1[[#Headers],[Canada - 18 June]]='Google Forms'!$C:$C),'Google Forms'!$K:$K,0,0,-1),0)</f>
        <v>2</v>
      </c>
      <c r="J27" s="9" cm="1">
        <f t="array" ref="J27">IFERROR(_xlfn.XLOOKUP(1,(Table1[[#This Row],[Name]]='Google Forms'!$B:$B)*(Table1[[#Headers],[Austria - 2 July]]='Google Forms'!$C:$C),'Google Forms'!$K:$K,0,0,-1),0)</f>
        <v>0</v>
      </c>
      <c r="K27" s="9" cm="1">
        <f t="array" ref="K27">IFERROR(_xlfn.XLOOKUP(1,(Table1[[#This Row],[Name]]='Google Forms'!$B:$B)*(Table1[[#Headers],[Great Britain - 9 July]]='Google Forms'!$C:$C),'Google Forms'!$K:$K,0,0,-1),0)</f>
        <v>0</v>
      </c>
      <c r="L27" s="9" cm="1">
        <f t="array" ref="L27">IFERROR(_xlfn.XLOOKUP(1,(Table1[[#This Row],[Name]]='Google Forms'!$B:$B)*(Table1[[#Headers],[Hungary - 23 July]]='Google Forms'!$C:$C),'Google Forms'!$K:$K,0,0,-1),0)</f>
        <v>10</v>
      </c>
      <c r="M27" s="9" cm="1">
        <f t="array" ref="M27">IFERROR(_xlfn.XLOOKUP(1,(Table1[[#This Row],[Name]]='Google Forms'!$B:$B)*(Table1[[#Headers],[Belgium - 30 July]]='Google Forms'!$C:$C),'Google Forms'!$K:$K,0,0,-1),0)</f>
        <v>0</v>
      </c>
      <c r="N27" s="9" cm="1">
        <f t="array" ref="N27">IFERROR(_xlfn.XLOOKUP(1,(Table1[[#This Row],[Name]]='Google Forms'!$B:$B)*(Table1[[#Headers],[Netherlands - 27 August]]='Google Forms'!$C:$C),'Google Forms'!$K:$K,0,0,-1),0)</f>
        <v>0</v>
      </c>
      <c r="O27" s="9" cm="1">
        <f t="array" ref="O27">IFERROR(_xlfn.XLOOKUP(1,(Table1[[#This Row],[Name]]='Google Forms'!$B:$B)*(Table1[[#Headers],[Italy - 3 September]]='Google Forms'!$C:$C),'Google Forms'!$K:$K,0,0,-1),0)</f>
        <v>0</v>
      </c>
      <c r="P27" s="9" cm="1">
        <f t="array" ref="P27">IFERROR(_xlfn.XLOOKUP(1,(Table1[[#This Row],[Name]]='Google Forms'!$B:$B)*(Table1[[#Headers],[Singapore - 17 September]]='Google Forms'!$C:$C),'Google Forms'!$K:$K,0,0,-1),0)</f>
        <v>0</v>
      </c>
      <c r="Q27" s="9" cm="1">
        <f t="array" ref="Q27">IFERROR(_xlfn.XLOOKUP(1,(Table1[[#This Row],[Name]]='Google Forms'!$B:$B)*(Table1[[#Headers],[Japan - 24 September]]='Google Forms'!$C:$C),'Google Forms'!$K:$K,0,0,-1),0)</f>
        <v>0</v>
      </c>
      <c r="R27" s="9" cm="1">
        <f t="array" ref="R27">IFERROR(_xlfn.XLOOKUP(1,(Table1[[#This Row],[Name]]='Google Forms'!$B:$B)*(Table1[[#Headers],[Qatar - 8 October]]='Google Forms'!$C:$C),'Google Forms'!$K:$K,0,0,-1),0)</f>
        <v>0</v>
      </c>
      <c r="S27" s="9" cm="1">
        <f t="array" ref="S27">IFERROR(_xlfn.XLOOKUP(1,(Table1[[#This Row],[Name]]='Google Forms'!$B:$B)*(Table1[[#Headers],[United States - 22 October]]='Google Forms'!$C:$C),'Google Forms'!$K:$K,0,0,-1),0)</f>
        <v>0</v>
      </c>
      <c r="T27" s="9" cm="1">
        <f t="array" ref="T27">IFERROR(_xlfn.XLOOKUP(1,(Table1[[#This Row],[Name]]='Google Forms'!$B:$B)*(Table1[[#Headers],[Mexico - 29 October]]='Google Forms'!$C:$C),'Google Forms'!$K:$K,0,0,-1),0)</f>
        <v>0</v>
      </c>
      <c r="U27" s="9" cm="1">
        <f t="array" ref="U27">IFERROR(_xlfn.XLOOKUP(1,(Table1[[#This Row],[Name]]='Google Forms'!$B:$B)*(Table1[[#Headers],[Brazil - 5 November]]='Google Forms'!$C:$C),'Google Forms'!$K:$K,0,0,-1),0)</f>
        <v>0</v>
      </c>
      <c r="V27" s="9" cm="1">
        <f t="array" ref="V27">IFERROR(_xlfn.XLOOKUP(1,(Table1[[#This Row],[Name]]='Google Forms'!$B:$B)*(Table1[[#Headers],[Las Vegas - 18 November]]='Google Forms'!$C:$C),'Google Forms'!$K:$K,0,0,-1),0)</f>
        <v>0</v>
      </c>
      <c r="W27" s="9" cm="1">
        <f t="array" ref="W27">IFERROR(_xlfn.XLOOKUP(1,(Table1[[#This Row],[Name]]='Google Forms'!$B:$B)*(Table1[[#Headers],[Abu Dhabi - 26 November]]='Google Forms'!$C:$C),'Google Forms'!$K:$K,0,0,-1),0)</f>
        <v>0</v>
      </c>
    </row>
  </sheetData>
  <conditionalFormatting sqref="B2:W27">
    <cfRule type="colorScale" priority="17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01B61-4A1E-4C68-82FD-2D8A786BF3F2}">
  <sheetPr codeName="Sheet6"/>
  <dimension ref="A1:W27"/>
  <sheetViews>
    <sheetView showGridLines="0" tabSelected="1" zoomScale="72" zoomScaleNormal="100" workbookViewId="0">
      <selection activeCell="K1" sqref="K1"/>
    </sheetView>
  </sheetViews>
  <sheetFormatPr defaultRowHeight="14.4" x14ac:dyDescent="0.3"/>
  <cols>
    <col min="1" max="1" width="13.44140625" customWidth="1"/>
    <col min="2" max="23" width="11.21875" style="9" customWidth="1"/>
  </cols>
  <sheetData>
    <row r="1" spans="1:23" s="38" customFormat="1" ht="29.1" customHeight="1" x14ac:dyDescent="0.3">
      <c r="A1" s="38" t="s">
        <v>27</v>
      </c>
      <c r="B1" s="39" t="s">
        <v>322</v>
      </c>
      <c r="C1" s="39" t="s">
        <v>323</v>
      </c>
      <c r="D1" s="39" t="s">
        <v>324</v>
      </c>
      <c r="E1" s="39" t="s">
        <v>325</v>
      </c>
      <c r="F1" s="39" t="s">
        <v>326</v>
      </c>
      <c r="G1" s="39" t="s">
        <v>327</v>
      </c>
      <c r="H1" s="39" t="s">
        <v>328</v>
      </c>
      <c r="I1" s="39" t="s">
        <v>329</v>
      </c>
      <c r="J1" s="39" t="s">
        <v>453</v>
      </c>
      <c r="K1" s="39" t="s">
        <v>331</v>
      </c>
      <c r="L1" s="39" t="s">
        <v>39</v>
      </c>
      <c r="M1" s="39" t="s">
        <v>40</v>
      </c>
      <c r="N1" s="39" t="s">
        <v>41</v>
      </c>
      <c r="O1" s="39" t="s">
        <v>42</v>
      </c>
      <c r="P1" s="39" t="s">
        <v>43</v>
      </c>
      <c r="Q1" s="39" t="s">
        <v>44</v>
      </c>
      <c r="R1" s="39" t="s">
        <v>45</v>
      </c>
      <c r="S1" s="39" t="s">
        <v>46</v>
      </c>
      <c r="T1" s="39" t="s">
        <v>47</v>
      </c>
      <c r="U1" s="39" t="s">
        <v>48</v>
      </c>
      <c r="V1" s="39" t="s">
        <v>49</v>
      </c>
      <c r="W1" s="39" t="s">
        <v>50</v>
      </c>
    </row>
    <row r="2" spans="1:23" x14ac:dyDescent="0.3">
      <c r="A2" t="s">
        <v>57</v>
      </c>
      <c r="B2" s="9">
        <v>9</v>
      </c>
      <c r="C2" s="9">
        <v>4</v>
      </c>
      <c r="D2" s="9">
        <v>25</v>
      </c>
      <c r="E2" s="9">
        <v>9</v>
      </c>
      <c r="F2" s="9">
        <v>0</v>
      </c>
      <c r="G2" s="9">
        <v>10</v>
      </c>
      <c r="H2" s="9">
        <v>12</v>
      </c>
      <c r="I2" s="9">
        <v>15</v>
      </c>
      <c r="J2" s="9">
        <v>12.5</v>
      </c>
      <c r="K2" s="9">
        <v>12</v>
      </c>
      <c r="L2" s="9">
        <v>10</v>
      </c>
      <c r="M2" s="9">
        <v>15</v>
      </c>
      <c r="N2" s="9">
        <v>18</v>
      </c>
      <c r="O2" s="9">
        <v>12.5</v>
      </c>
      <c r="P2" s="9">
        <v>12.5</v>
      </c>
      <c r="Q2" s="9">
        <v>18</v>
      </c>
      <c r="R2" s="9">
        <v>12</v>
      </c>
      <c r="S2" s="9">
        <v>10</v>
      </c>
      <c r="T2" s="9">
        <v>3</v>
      </c>
      <c r="U2" s="9">
        <v>8</v>
      </c>
      <c r="V2" s="9">
        <v>6</v>
      </c>
      <c r="W2" s="9">
        <v>10</v>
      </c>
    </row>
    <row r="3" spans="1:23" x14ac:dyDescent="0.3">
      <c r="A3" t="s">
        <v>55</v>
      </c>
      <c r="B3" s="9">
        <v>3</v>
      </c>
      <c r="C3" s="9">
        <v>8</v>
      </c>
      <c r="D3" s="9">
        <v>15</v>
      </c>
      <c r="E3" s="9">
        <v>25</v>
      </c>
      <c r="F3" s="9">
        <v>0</v>
      </c>
      <c r="G3" s="9">
        <v>12.5</v>
      </c>
      <c r="H3" s="9">
        <v>6</v>
      </c>
      <c r="I3" s="9">
        <v>15</v>
      </c>
      <c r="J3" s="9">
        <v>25</v>
      </c>
      <c r="K3" s="9">
        <v>0</v>
      </c>
      <c r="L3" s="9">
        <v>12.5</v>
      </c>
      <c r="M3" s="9">
        <v>15</v>
      </c>
      <c r="N3" s="9">
        <v>15</v>
      </c>
      <c r="O3" s="9">
        <v>10</v>
      </c>
      <c r="P3" s="9">
        <v>9</v>
      </c>
      <c r="Q3" s="9">
        <v>18</v>
      </c>
      <c r="R3" s="9">
        <v>8</v>
      </c>
      <c r="S3" s="9">
        <v>0</v>
      </c>
      <c r="T3" s="9">
        <v>9</v>
      </c>
      <c r="U3" s="9">
        <v>12.5</v>
      </c>
      <c r="V3" s="9">
        <v>10</v>
      </c>
      <c r="W3" s="9">
        <v>12</v>
      </c>
    </row>
    <row r="4" spans="1:23" x14ac:dyDescent="0.3">
      <c r="A4" t="s">
        <v>51</v>
      </c>
      <c r="B4" s="9">
        <v>25</v>
      </c>
      <c r="C4" s="9">
        <v>25</v>
      </c>
      <c r="D4" s="9">
        <v>5</v>
      </c>
      <c r="E4" s="9">
        <v>2</v>
      </c>
      <c r="F4" s="9">
        <v>0</v>
      </c>
      <c r="G4" s="9">
        <v>25</v>
      </c>
      <c r="H4" s="9">
        <v>9</v>
      </c>
      <c r="I4" s="9">
        <v>15</v>
      </c>
      <c r="J4" s="9">
        <v>1</v>
      </c>
      <c r="K4" s="9">
        <v>12</v>
      </c>
      <c r="L4" s="9">
        <v>6</v>
      </c>
      <c r="M4" s="9">
        <v>25</v>
      </c>
      <c r="N4" s="9">
        <v>0</v>
      </c>
      <c r="O4" s="9">
        <v>10</v>
      </c>
      <c r="P4" s="9">
        <v>7.5</v>
      </c>
      <c r="Q4" s="9">
        <v>7.5</v>
      </c>
      <c r="R4" s="9">
        <v>4</v>
      </c>
      <c r="S4" s="9">
        <v>12</v>
      </c>
      <c r="T4" s="9">
        <v>12</v>
      </c>
      <c r="U4" s="9">
        <v>10</v>
      </c>
      <c r="V4" s="9">
        <v>6</v>
      </c>
      <c r="W4" s="9">
        <v>10</v>
      </c>
    </row>
    <row r="5" spans="1:23" x14ac:dyDescent="0.3">
      <c r="A5" t="s">
        <v>52</v>
      </c>
      <c r="B5" s="9">
        <v>18</v>
      </c>
      <c r="C5" s="9">
        <v>25</v>
      </c>
      <c r="D5" s="9">
        <v>12.5</v>
      </c>
      <c r="E5" s="9">
        <v>12</v>
      </c>
      <c r="F5" s="9">
        <v>0</v>
      </c>
      <c r="G5" s="9">
        <v>9</v>
      </c>
      <c r="H5" s="9">
        <v>10</v>
      </c>
      <c r="I5" s="9">
        <v>9</v>
      </c>
      <c r="J5" s="9">
        <v>12.5</v>
      </c>
      <c r="K5" s="9">
        <v>0</v>
      </c>
      <c r="L5" s="9">
        <v>6</v>
      </c>
      <c r="M5" s="9">
        <v>15</v>
      </c>
      <c r="N5" s="9">
        <v>7.5</v>
      </c>
      <c r="O5" s="9">
        <v>7.5</v>
      </c>
      <c r="P5" s="9">
        <v>25</v>
      </c>
      <c r="Q5" s="9">
        <v>15</v>
      </c>
      <c r="R5" s="9">
        <v>10</v>
      </c>
      <c r="S5" s="9">
        <v>6</v>
      </c>
      <c r="T5" s="9">
        <v>7.5</v>
      </c>
      <c r="U5" s="9">
        <v>1</v>
      </c>
      <c r="V5" s="9">
        <v>5</v>
      </c>
      <c r="W5" s="9">
        <v>12</v>
      </c>
    </row>
    <row r="6" spans="1:23" x14ac:dyDescent="0.3">
      <c r="A6" t="s">
        <v>59</v>
      </c>
      <c r="B6" s="9">
        <v>6</v>
      </c>
      <c r="C6" s="9">
        <v>25</v>
      </c>
      <c r="D6" s="9">
        <v>0.25</v>
      </c>
      <c r="E6" s="9">
        <v>12</v>
      </c>
      <c r="F6" s="9">
        <v>0</v>
      </c>
      <c r="G6" s="9">
        <v>0.5</v>
      </c>
      <c r="H6" s="9">
        <v>25</v>
      </c>
      <c r="I6" s="9">
        <v>7.5</v>
      </c>
      <c r="J6" s="9">
        <v>0.25</v>
      </c>
      <c r="K6" s="9">
        <v>2</v>
      </c>
      <c r="L6" s="9">
        <v>12.5</v>
      </c>
      <c r="M6" s="9">
        <v>18</v>
      </c>
      <c r="N6" s="9">
        <v>18</v>
      </c>
      <c r="O6" s="9">
        <v>10</v>
      </c>
      <c r="P6" s="9">
        <v>15</v>
      </c>
      <c r="Q6" s="9">
        <v>15</v>
      </c>
      <c r="R6" s="9">
        <v>8</v>
      </c>
      <c r="S6" s="9">
        <v>12.5</v>
      </c>
      <c r="T6" s="9">
        <v>0.25</v>
      </c>
      <c r="U6" s="9">
        <v>25</v>
      </c>
      <c r="V6" s="9">
        <v>0.5</v>
      </c>
      <c r="W6" s="9">
        <v>5</v>
      </c>
    </row>
    <row r="7" spans="1:23" x14ac:dyDescent="0.3">
      <c r="A7" t="s">
        <v>60</v>
      </c>
      <c r="B7" s="9">
        <v>0</v>
      </c>
      <c r="C7" s="9">
        <v>8</v>
      </c>
      <c r="D7" s="9">
        <v>25</v>
      </c>
      <c r="E7" s="9">
        <v>18</v>
      </c>
      <c r="F7" s="9">
        <v>0</v>
      </c>
      <c r="G7" s="9">
        <v>9</v>
      </c>
      <c r="H7" s="9">
        <v>0.5</v>
      </c>
      <c r="I7" s="9">
        <v>15</v>
      </c>
      <c r="J7" s="9">
        <v>25</v>
      </c>
      <c r="K7" s="9">
        <v>0</v>
      </c>
      <c r="L7" s="9">
        <v>10</v>
      </c>
      <c r="M7" s="9">
        <v>18</v>
      </c>
      <c r="N7" s="9">
        <v>18</v>
      </c>
      <c r="O7" s="9">
        <v>8</v>
      </c>
      <c r="P7" s="9">
        <v>12</v>
      </c>
      <c r="Q7" s="9">
        <v>0</v>
      </c>
      <c r="R7" s="9">
        <v>12</v>
      </c>
      <c r="S7" s="9">
        <v>6</v>
      </c>
      <c r="T7" s="9">
        <v>0</v>
      </c>
      <c r="U7" s="9">
        <v>12.5</v>
      </c>
      <c r="V7" s="9">
        <v>6</v>
      </c>
      <c r="W7" s="9">
        <v>12</v>
      </c>
    </row>
    <row r="8" spans="1:23" x14ac:dyDescent="0.3">
      <c r="A8" t="s">
        <v>58</v>
      </c>
      <c r="B8" s="9">
        <v>9</v>
      </c>
      <c r="C8" s="9">
        <v>0</v>
      </c>
      <c r="D8" s="9">
        <v>25</v>
      </c>
      <c r="E8" s="9">
        <v>18</v>
      </c>
      <c r="F8" s="9">
        <v>0</v>
      </c>
      <c r="G8" s="9">
        <v>18</v>
      </c>
      <c r="H8" s="9">
        <v>3</v>
      </c>
      <c r="I8" s="9">
        <v>7.5</v>
      </c>
      <c r="J8" s="9">
        <v>1</v>
      </c>
      <c r="K8" s="9">
        <v>6</v>
      </c>
      <c r="L8" s="9">
        <v>12</v>
      </c>
      <c r="M8" s="9">
        <v>18</v>
      </c>
      <c r="N8" s="9">
        <v>15</v>
      </c>
      <c r="O8" s="9">
        <v>4</v>
      </c>
      <c r="P8" s="9">
        <v>3</v>
      </c>
      <c r="Q8" s="9">
        <v>15</v>
      </c>
      <c r="R8" s="9">
        <v>12</v>
      </c>
      <c r="S8" s="9">
        <v>12</v>
      </c>
      <c r="T8" s="9">
        <v>7.5</v>
      </c>
      <c r="U8" s="9">
        <v>2</v>
      </c>
      <c r="V8" s="9">
        <v>9</v>
      </c>
      <c r="W8" s="9">
        <v>6</v>
      </c>
    </row>
    <row r="9" spans="1:23" x14ac:dyDescent="0.3">
      <c r="A9" t="s">
        <v>56</v>
      </c>
      <c r="B9" s="9">
        <v>25</v>
      </c>
      <c r="C9" s="9">
        <v>4</v>
      </c>
      <c r="D9" s="9">
        <v>10</v>
      </c>
      <c r="E9" s="9">
        <v>2</v>
      </c>
      <c r="F9" s="9">
        <v>0</v>
      </c>
      <c r="G9" s="9">
        <v>12.5</v>
      </c>
      <c r="H9" s="9">
        <v>12.5</v>
      </c>
      <c r="I9" s="9">
        <v>18</v>
      </c>
      <c r="J9" s="9">
        <v>7.5</v>
      </c>
      <c r="K9" s="9">
        <v>6</v>
      </c>
      <c r="L9" s="9">
        <v>6</v>
      </c>
      <c r="M9" s="9">
        <v>12.5</v>
      </c>
      <c r="N9" s="9">
        <v>5</v>
      </c>
      <c r="O9" s="9">
        <v>5</v>
      </c>
      <c r="P9" s="9">
        <v>25</v>
      </c>
      <c r="Q9" s="9">
        <v>10</v>
      </c>
      <c r="R9" s="9">
        <v>12</v>
      </c>
      <c r="S9" s="9">
        <v>6</v>
      </c>
      <c r="T9" s="9">
        <v>3</v>
      </c>
      <c r="U9" s="9">
        <v>0</v>
      </c>
      <c r="V9" s="9">
        <v>7.5</v>
      </c>
      <c r="W9" s="9">
        <v>12.5</v>
      </c>
    </row>
    <row r="10" spans="1:23" x14ac:dyDescent="0.3">
      <c r="A10" t="s">
        <v>72</v>
      </c>
      <c r="B10" s="9">
        <v>7.5</v>
      </c>
      <c r="C10" s="9">
        <v>4</v>
      </c>
      <c r="D10" s="9">
        <v>0.25</v>
      </c>
      <c r="E10" s="9">
        <v>6</v>
      </c>
      <c r="F10" s="9">
        <v>0</v>
      </c>
      <c r="G10" s="9">
        <v>18</v>
      </c>
      <c r="H10" s="9">
        <v>12.5</v>
      </c>
      <c r="I10" s="9">
        <v>6</v>
      </c>
      <c r="J10" s="9">
        <v>12.5</v>
      </c>
      <c r="K10" s="9">
        <v>2</v>
      </c>
      <c r="L10" s="9">
        <v>25</v>
      </c>
      <c r="M10" s="9">
        <v>18</v>
      </c>
      <c r="N10" s="9">
        <v>15</v>
      </c>
      <c r="O10" s="9">
        <v>5</v>
      </c>
      <c r="P10" s="9">
        <v>4</v>
      </c>
      <c r="Q10" s="9">
        <v>12.5</v>
      </c>
      <c r="R10" s="9">
        <v>10</v>
      </c>
      <c r="S10" s="9">
        <v>4</v>
      </c>
      <c r="T10" s="9">
        <v>8</v>
      </c>
      <c r="U10" s="9">
        <v>3</v>
      </c>
      <c r="V10" s="9">
        <v>15</v>
      </c>
      <c r="W10" s="9">
        <v>12.5</v>
      </c>
    </row>
    <row r="11" spans="1:23" x14ac:dyDescent="0.3">
      <c r="A11" t="s">
        <v>63</v>
      </c>
      <c r="B11" s="9">
        <v>10</v>
      </c>
      <c r="C11" s="9">
        <v>8</v>
      </c>
      <c r="D11" s="9">
        <v>4</v>
      </c>
      <c r="E11" s="9">
        <v>25</v>
      </c>
      <c r="F11" s="9">
        <v>0</v>
      </c>
      <c r="G11" s="9">
        <v>8</v>
      </c>
      <c r="H11" s="9">
        <v>10</v>
      </c>
      <c r="I11" s="9">
        <v>6</v>
      </c>
      <c r="J11" s="9">
        <v>15</v>
      </c>
      <c r="K11" s="9">
        <v>0</v>
      </c>
      <c r="L11" s="9">
        <v>0</v>
      </c>
      <c r="M11" s="9">
        <v>25</v>
      </c>
      <c r="N11" s="9">
        <v>12</v>
      </c>
      <c r="O11" s="9">
        <v>4</v>
      </c>
      <c r="P11" s="9">
        <v>0</v>
      </c>
      <c r="Q11" s="9">
        <v>0</v>
      </c>
      <c r="R11" s="9">
        <v>10</v>
      </c>
      <c r="S11" s="9">
        <v>12</v>
      </c>
      <c r="T11" s="9">
        <v>10</v>
      </c>
      <c r="U11" s="9">
        <v>12.5</v>
      </c>
      <c r="V11" s="9">
        <v>15</v>
      </c>
      <c r="W11" s="9">
        <v>12</v>
      </c>
    </row>
    <row r="12" spans="1:23" x14ac:dyDescent="0.3">
      <c r="A12" t="s">
        <v>64</v>
      </c>
      <c r="B12" s="9">
        <v>6</v>
      </c>
      <c r="C12" s="9">
        <v>4</v>
      </c>
      <c r="D12" s="9">
        <v>25</v>
      </c>
      <c r="E12" s="9">
        <v>18</v>
      </c>
      <c r="F12" s="9">
        <v>0</v>
      </c>
      <c r="G12" s="9">
        <v>4</v>
      </c>
      <c r="H12" s="9">
        <v>0.5</v>
      </c>
      <c r="I12" s="9">
        <v>12</v>
      </c>
      <c r="J12" s="9">
        <v>25</v>
      </c>
      <c r="K12" s="9">
        <v>12</v>
      </c>
      <c r="L12" s="9">
        <v>3</v>
      </c>
      <c r="M12" s="9">
        <v>15</v>
      </c>
      <c r="N12" s="9">
        <v>0</v>
      </c>
      <c r="O12" s="9">
        <v>0</v>
      </c>
      <c r="P12" s="9">
        <v>8</v>
      </c>
      <c r="Q12" s="9">
        <v>10</v>
      </c>
      <c r="R12" s="9">
        <v>25</v>
      </c>
      <c r="S12" s="9">
        <v>0.25</v>
      </c>
      <c r="T12" s="9">
        <v>8</v>
      </c>
      <c r="U12" s="9">
        <v>9</v>
      </c>
      <c r="V12" s="9">
        <v>0</v>
      </c>
      <c r="W12" s="9">
        <v>12</v>
      </c>
    </row>
    <row r="13" spans="1:23" x14ac:dyDescent="0.3">
      <c r="A13" t="s">
        <v>53</v>
      </c>
      <c r="B13" s="9">
        <v>25</v>
      </c>
      <c r="C13" s="9">
        <v>25</v>
      </c>
      <c r="D13" s="9">
        <v>12.5</v>
      </c>
      <c r="E13" s="9">
        <v>1</v>
      </c>
      <c r="F13" s="9">
        <v>0</v>
      </c>
      <c r="G13" s="9">
        <v>1</v>
      </c>
      <c r="H13" s="9">
        <v>6</v>
      </c>
      <c r="I13" s="9">
        <v>15</v>
      </c>
      <c r="J13" s="9">
        <v>25</v>
      </c>
      <c r="K13" s="9">
        <v>2</v>
      </c>
      <c r="L13" s="9">
        <v>0</v>
      </c>
      <c r="M13" s="9">
        <v>18</v>
      </c>
      <c r="N13" s="9">
        <v>7.5</v>
      </c>
      <c r="O13" s="9">
        <v>6</v>
      </c>
      <c r="P13" s="9">
        <v>3</v>
      </c>
      <c r="Q13" s="9">
        <v>10</v>
      </c>
      <c r="R13" s="9">
        <v>6</v>
      </c>
      <c r="S13" s="9">
        <v>6</v>
      </c>
      <c r="T13" s="9">
        <v>15</v>
      </c>
      <c r="U13" s="9">
        <v>5</v>
      </c>
      <c r="V13" s="9">
        <v>1</v>
      </c>
      <c r="W13" s="9">
        <v>6</v>
      </c>
    </row>
    <row r="14" spans="1:23" x14ac:dyDescent="0.3">
      <c r="A14" t="s">
        <v>54</v>
      </c>
      <c r="B14" s="9">
        <v>12.5</v>
      </c>
      <c r="C14" s="9">
        <v>12.5</v>
      </c>
      <c r="D14" s="9">
        <v>5</v>
      </c>
      <c r="E14" s="9">
        <v>18</v>
      </c>
      <c r="F14" s="9">
        <v>0</v>
      </c>
      <c r="G14" s="9">
        <v>9</v>
      </c>
      <c r="H14" s="9">
        <v>12.5</v>
      </c>
      <c r="I14" s="9">
        <v>15</v>
      </c>
      <c r="J14" s="9">
        <v>1</v>
      </c>
      <c r="K14" s="9">
        <v>12</v>
      </c>
      <c r="L14" s="9">
        <v>4</v>
      </c>
      <c r="M14" s="70">
        <v>12</v>
      </c>
      <c r="N14" s="9">
        <v>12</v>
      </c>
      <c r="O14" s="9">
        <v>4</v>
      </c>
      <c r="P14" s="9">
        <v>2</v>
      </c>
      <c r="Q14" s="9">
        <v>15</v>
      </c>
      <c r="R14" s="9">
        <v>10</v>
      </c>
      <c r="S14" s="9">
        <v>0</v>
      </c>
      <c r="T14" s="9">
        <v>15</v>
      </c>
      <c r="U14" s="9">
        <v>0.5</v>
      </c>
      <c r="V14" s="9">
        <v>10</v>
      </c>
      <c r="W14" s="9">
        <v>12</v>
      </c>
    </row>
    <row r="15" spans="1:23" x14ac:dyDescent="0.3">
      <c r="A15" t="s">
        <v>67</v>
      </c>
      <c r="B15" s="9">
        <v>6</v>
      </c>
      <c r="C15" s="9">
        <v>0</v>
      </c>
      <c r="D15" s="9">
        <v>25</v>
      </c>
      <c r="E15" s="9">
        <v>9</v>
      </c>
      <c r="F15" s="9">
        <v>0</v>
      </c>
      <c r="G15" s="9">
        <v>4</v>
      </c>
      <c r="H15" s="9">
        <v>12.5</v>
      </c>
      <c r="I15" s="9">
        <v>6</v>
      </c>
      <c r="J15" s="9">
        <v>0</v>
      </c>
      <c r="K15" s="9">
        <v>6</v>
      </c>
      <c r="L15" s="9">
        <v>12</v>
      </c>
      <c r="M15" s="9">
        <v>18</v>
      </c>
      <c r="N15" s="9">
        <v>6</v>
      </c>
      <c r="O15" s="9">
        <v>9</v>
      </c>
      <c r="P15" s="9">
        <v>3</v>
      </c>
      <c r="Q15" s="9">
        <v>18</v>
      </c>
      <c r="R15" s="9">
        <v>8</v>
      </c>
      <c r="S15" s="9">
        <v>6</v>
      </c>
      <c r="T15" s="9">
        <v>7.5</v>
      </c>
      <c r="U15" s="9">
        <v>12.5</v>
      </c>
      <c r="V15" s="9">
        <v>5</v>
      </c>
      <c r="W15" s="9">
        <v>12</v>
      </c>
    </row>
    <row r="16" spans="1:23" x14ac:dyDescent="0.3">
      <c r="A16" t="s">
        <v>61</v>
      </c>
      <c r="B16" s="9">
        <v>18</v>
      </c>
      <c r="C16" s="9">
        <v>12.5</v>
      </c>
      <c r="D16" s="9">
        <v>10</v>
      </c>
      <c r="E16" s="9">
        <v>12.5</v>
      </c>
      <c r="F16" s="9">
        <v>0</v>
      </c>
      <c r="G16" s="9">
        <v>4</v>
      </c>
      <c r="H16" s="9">
        <v>6</v>
      </c>
      <c r="I16" s="9">
        <v>12</v>
      </c>
      <c r="J16" s="9">
        <v>1</v>
      </c>
      <c r="K16" s="9">
        <v>2</v>
      </c>
      <c r="L16" s="9">
        <v>5</v>
      </c>
      <c r="M16" s="70">
        <v>12</v>
      </c>
      <c r="N16" s="9">
        <v>15</v>
      </c>
      <c r="O16" s="9">
        <v>0.25</v>
      </c>
      <c r="P16" s="9">
        <v>4</v>
      </c>
      <c r="Q16" s="9">
        <v>12.5</v>
      </c>
      <c r="R16" s="9">
        <v>12</v>
      </c>
      <c r="S16" s="9">
        <v>10</v>
      </c>
      <c r="T16" s="9">
        <v>10</v>
      </c>
      <c r="U16" s="9">
        <v>1</v>
      </c>
      <c r="V16" s="9">
        <v>0</v>
      </c>
      <c r="W16" s="9">
        <v>25</v>
      </c>
    </row>
    <row r="17" spans="1:23" x14ac:dyDescent="0.3">
      <c r="A17" t="s">
        <v>68</v>
      </c>
      <c r="B17" s="9">
        <v>9</v>
      </c>
      <c r="C17" s="9">
        <v>12.5</v>
      </c>
      <c r="D17" s="9">
        <v>12.5</v>
      </c>
      <c r="E17" s="9">
        <v>5</v>
      </c>
      <c r="F17" s="9">
        <v>0</v>
      </c>
      <c r="G17" s="9">
        <v>0.5</v>
      </c>
      <c r="H17" s="9">
        <v>6</v>
      </c>
      <c r="I17" s="9">
        <v>15</v>
      </c>
      <c r="J17" s="9">
        <v>2</v>
      </c>
      <c r="K17" s="9">
        <v>12</v>
      </c>
      <c r="L17" s="9">
        <v>5</v>
      </c>
      <c r="M17" s="9">
        <v>18</v>
      </c>
      <c r="N17" s="9">
        <v>15</v>
      </c>
      <c r="O17" s="9">
        <v>4</v>
      </c>
      <c r="P17" s="9">
        <v>15</v>
      </c>
      <c r="Q17" s="9">
        <v>10</v>
      </c>
      <c r="R17" s="9">
        <v>4</v>
      </c>
      <c r="S17" s="9">
        <v>6</v>
      </c>
      <c r="T17" s="9">
        <v>8</v>
      </c>
      <c r="U17" s="9">
        <v>18</v>
      </c>
      <c r="V17" s="9">
        <v>6</v>
      </c>
      <c r="W17" s="9">
        <v>0</v>
      </c>
    </row>
    <row r="18" spans="1:23" x14ac:dyDescent="0.3">
      <c r="A18" t="s">
        <v>66</v>
      </c>
      <c r="B18" s="9">
        <v>0</v>
      </c>
      <c r="C18" s="9">
        <v>7.5</v>
      </c>
      <c r="D18" s="9">
        <v>25</v>
      </c>
      <c r="E18" s="9">
        <v>12</v>
      </c>
      <c r="F18" s="9">
        <v>0</v>
      </c>
      <c r="G18" s="9">
        <v>0.5</v>
      </c>
      <c r="H18" s="9">
        <v>12</v>
      </c>
      <c r="I18" s="9">
        <v>6</v>
      </c>
      <c r="J18" s="9">
        <v>1</v>
      </c>
      <c r="K18" s="9">
        <v>1</v>
      </c>
      <c r="L18" s="9">
        <v>3</v>
      </c>
      <c r="M18" s="9">
        <v>18</v>
      </c>
      <c r="N18" s="9">
        <v>15</v>
      </c>
      <c r="O18" s="9">
        <v>4</v>
      </c>
      <c r="P18" s="9">
        <v>2</v>
      </c>
      <c r="Q18" s="9">
        <v>18</v>
      </c>
      <c r="R18" s="9">
        <v>8</v>
      </c>
      <c r="S18" s="9">
        <v>4</v>
      </c>
      <c r="T18" s="9">
        <v>4</v>
      </c>
      <c r="U18" s="9">
        <v>1</v>
      </c>
      <c r="V18" s="9">
        <v>10</v>
      </c>
      <c r="W18" s="9">
        <v>25</v>
      </c>
    </row>
    <row r="19" spans="1:23" x14ac:dyDescent="0.3">
      <c r="A19" t="s">
        <v>69</v>
      </c>
      <c r="B19" s="9">
        <v>0</v>
      </c>
      <c r="C19" s="9">
        <v>0</v>
      </c>
      <c r="D19" s="9">
        <v>6</v>
      </c>
      <c r="E19" s="9">
        <v>5</v>
      </c>
      <c r="F19" s="9">
        <v>0</v>
      </c>
      <c r="G19" s="9">
        <v>7.5</v>
      </c>
      <c r="H19" s="9">
        <v>25</v>
      </c>
      <c r="I19" s="9">
        <v>15</v>
      </c>
      <c r="J19" s="9">
        <v>12.5</v>
      </c>
      <c r="K19" s="9">
        <v>9</v>
      </c>
      <c r="L19" s="9">
        <v>12.5</v>
      </c>
      <c r="M19" s="9">
        <v>15</v>
      </c>
      <c r="N19" s="9">
        <v>0</v>
      </c>
      <c r="O19" s="9">
        <v>0</v>
      </c>
      <c r="P19" s="9">
        <v>8</v>
      </c>
      <c r="Q19" s="9">
        <v>18</v>
      </c>
      <c r="R19" s="9">
        <v>15</v>
      </c>
      <c r="S19" s="9">
        <v>4</v>
      </c>
      <c r="T19" s="9">
        <v>7.5</v>
      </c>
      <c r="U19" s="9">
        <v>0</v>
      </c>
      <c r="V19" s="9">
        <v>0.25</v>
      </c>
      <c r="W19" s="9">
        <v>12.5</v>
      </c>
    </row>
    <row r="20" spans="1:23" x14ac:dyDescent="0.3">
      <c r="A20" t="s">
        <v>71</v>
      </c>
      <c r="B20" s="9">
        <v>0</v>
      </c>
      <c r="C20" s="9">
        <v>8</v>
      </c>
      <c r="D20" s="9">
        <v>25</v>
      </c>
      <c r="E20" s="9">
        <v>4</v>
      </c>
      <c r="F20" s="9">
        <v>0</v>
      </c>
      <c r="G20" s="9">
        <v>1</v>
      </c>
      <c r="H20" s="9">
        <v>2</v>
      </c>
      <c r="I20" s="9">
        <v>15</v>
      </c>
      <c r="J20" s="9">
        <v>0</v>
      </c>
      <c r="K20" s="9">
        <v>12</v>
      </c>
      <c r="L20" s="9">
        <v>5</v>
      </c>
      <c r="M20" s="9">
        <v>18</v>
      </c>
      <c r="N20" s="9">
        <v>4</v>
      </c>
      <c r="O20" s="9">
        <v>5</v>
      </c>
      <c r="P20" s="9">
        <v>3</v>
      </c>
      <c r="Q20" s="9">
        <v>18</v>
      </c>
      <c r="R20" s="9">
        <v>10</v>
      </c>
      <c r="S20" s="9">
        <v>6</v>
      </c>
      <c r="T20" s="9">
        <v>15</v>
      </c>
      <c r="U20" s="9">
        <v>5</v>
      </c>
      <c r="V20" s="9">
        <v>10</v>
      </c>
      <c r="W20" s="9">
        <v>3</v>
      </c>
    </row>
    <row r="21" spans="1:23" x14ac:dyDescent="0.3">
      <c r="A21" t="s">
        <v>62</v>
      </c>
      <c r="B21" s="9">
        <v>5</v>
      </c>
      <c r="C21" s="9">
        <v>0</v>
      </c>
      <c r="D21" s="9">
        <v>25</v>
      </c>
      <c r="E21" s="9">
        <v>9</v>
      </c>
      <c r="F21" s="9">
        <v>0</v>
      </c>
      <c r="G21" s="9">
        <v>18</v>
      </c>
      <c r="H21" s="9">
        <v>0</v>
      </c>
      <c r="I21" s="9">
        <v>15</v>
      </c>
      <c r="J21" s="9">
        <v>2</v>
      </c>
      <c r="K21" s="9">
        <v>12</v>
      </c>
      <c r="L21" s="9">
        <v>10</v>
      </c>
      <c r="M21" s="9">
        <v>18</v>
      </c>
      <c r="N21" s="9">
        <v>4</v>
      </c>
      <c r="O21" s="9">
        <v>9</v>
      </c>
      <c r="P21" s="9">
        <v>2</v>
      </c>
      <c r="Q21" s="9">
        <v>10</v>
      </c>
      <c r="R21" s="9">
        <v>6</v>
      </c>
      <c r="S21" s="9">
        <v>0</v>
      </c>
      <c r="T21" s="9">
        <v>12.5</v>
      </c>
      <c r="U21" s="9">
        <v>0</v>
      </c>
      <c r="V21" s="9">
        <v>1</v>
      </c>
      <c r="W21" s="9">
        <v>6</v>
      </c>
    </row>
    <row r="22" spans="1:23" x14ac:dyDescent="0.3">
      <c r="A22" t="s">
        <v>75</v>
      </c>
      <c r="B22" s="9">
        <v>0</v>
      </c>
      <c r="C22" s="9">
        <v>12.5</v>
      </c>
      <c r="D22" s="9">
        <v>7.5</v>
      </c>
      <c r="E22" s="9">
        <v>3</v>
      </c>
      <c r="F22" s="9">
        <v>0</v>
      </c>
      <c r="G22" s="9">
        <v>18</v>
      </c>
      <c r="H22" s="9">
        <v>4</v>
      </c>
      <c r="I22" s="9">
        <v>1</v>
      </c>
      <c r="J22" s="9">
        <v>12.5</v>
      </c>
      <c r="K22" s="9">
        <v>2</v>
      </c>
      <c r="L22" s="9">
        <v>0</v>
      </c>
      <c r="M22" s="9">
        <v>25</v>
      </c>
      <c r="N22" s="9">
        <v>15</v>
      </c>
      <c r="O22" s="9">
        <v>10</v>
      </c>
      <c r="P22" s="9">
        <v>4</v>
      </c>
      <c r="Q22" s="9">
        <v>15</v>
      </c>
      <c r="R22" s="9">
        <v>12</v>
      </c>
      <c r="S22" s="9">
        <v>0</v>
      </c>
      <c r="T22" s="9">
        <v>7.5</v>
      </c>
      <c r="U22" s="9">
        <v>0</v>
      </c>
      <c r="V22" s="9">
        <v>6</v>
      </c>
      <c r="W22" s="9">
        <v>3</v>
      </c>
    </row>
    <row r="23" spans="1:23" x14ac:dyDescent="0.3">
      <c r="A23" t="s">
        <v>74</v>
      </c>
      <c r="B23" s="9">
        <v>0.5</v>
      </c>
      <c r="C23" s="9">
        <v>0</v>
      </c>
      <c r="D23" s="9">
        <v>25</v>
      </c>
      <c r="E23" s="9">
        <v>9</v>
      </c>
      <c r="F23" s="9">
        <v>0</v>
      </c>
      <c r="G23" s="9">
        <v>0.5</v>
      </c>
      <c r="H23" s="9">
        <v>5</v>
      </c>
      <c r="I23" s="9">
        <v>6</v>
      </c>
      <c r="J23" s="9">
        <v>7.5</v>
      </c>
      <c r="K23" s="9">
        <v>0</v>
      </c>
      <c r="L23" s="9">
        <v>6</v>
      </c>
      <c r="M23" s="9">
        <v>25</v>
      </c>
      <c r="N23" s="9">
        <v>18</v>
      </c>
      <c r="O23" s="9">
        <v>5</v>
      </c>
      <c r="P23" s="9">
        <v>4</v>
      </c>
      <c r="Q23" s="9">
        <v>10</v>
      </c>
      <c r="R23" s="9">
        <v>4</v>
      </c>
      <c r="S23" s="9">
        <v>0</v>
      </c>
      <c r="T23" s="9">
        <v>15</v>
      </c>
      <c r="U23" s="9">
        <v>4</v>
      </c>
      <c r="V23" s="9">
        <v>1</v>
      </c>
      <c r="W23" s="9">
        <v>12</v>
      </c>
    </row>
    <row r="24" spans="1:23" x14ac:dyDescent="0.3">
      <c r="A24" t="s">
        <v>70</v>
      </c>
      <c r="B24" s="9">
        <v>10</v>
      </c>
      <c r="C24" s="9">
        <v>4</v>
      </c>
      <c r="D24" s="9">
        <v>5</v>
      </c>
      <c r="E24" s="9">
        <v>18</v>
      </c>
      <c r="F24" s="9">
        <v>0</v>
      </c>
      <c r="G24" s="9">
        <v>1</v>
      </c>
      <c r="H24" s="9">
        <v>6</v>
      </c>
      <c r="I24" s="9">
        <v>12</v>
      </c>
      <c r="J24" s="9">
        <v>1</v>
      </c>
      <c r="K24" s="9">
        <v>0</v>
      </c>
      <c r="L24" s="9">
        <v>7.5</v>
      </c>
      <c r="M24" s="9">
        <v>15</v>
      </c>
      <c r="N24" s="9">
        <v>0</v>
      </c>
      <c r="O24" s="9">
        <v>4</v>
      </c>
      <c r="P24" s="9">
        <v>8</v>
      </c>
      <c r="Q24" s="9">
        <v>0</v>
      </c>
      <c r="R24" s="9">
        <v>8</v>
      </c>
      <c r="S24" s="9">
        <v>18</v>
      </c>
      <c r="T24" s="9">
        <v>8</v>
      </c>
      <c r="U24" s="9">
        <v>1</v>
      </c>
      <c r="V24" s="9">
        <v>7.5</v>
      </c>
      <c r="W24" s="9">
        <v>5</v>
      </c>
    </row>
    <row r="25" spans="1:23" x14ac:dyDescent="0.3">
      <c r="A25" t="s">
        <v>76</v>
      </c>
      <c r="B25" s="9">
        <v>0</v>
      </c>
      <c r="C25" s="9">
        <v>0</v>
      </c>
      <c r="D25" s="9">
        <v>0.5</v>
      </c>
      <c r="E25" s="9">
        <v>6</v>
      </c>
      <c r="F25" s="9">
        <v>0</v>
      </c>
      <c r="G25" s="9">
        <v>7.5</v>
      </c>
      <c r="H25" s="9">
        <v>15</v>
      </c>
      <c r="I25" s="9">
        <v>6</v>
      </c>
      <c r="J25" s="9">
        <v>2</v>
      </c>
      <c r="K25" s="9">
        <v>2</v>
      </c>
      <c r="L25" s="9">
        <v>6</v>
      </c>
      <c r="M25" s="9">
        <v>0</v>
      </c>
      <c r="N25" s="9">
        <v>12</v>
      </c>
      <c r="O25" s="9">
        <v>8</v>
      </c>
      <c r="P25" s="9">
        <v>7.5</v>
      </c>
      <c r="Q25" s="9">
        <v>18</v>
      </c>
      <c r="R25" s="9">
        <v>7.5</v>
      </c>
      <c r="S25" s="9">
        <v>10</v>
      </c>
      <c r="T25" s="9">
        <v>9</v>
      </c>
      <c r="U25" s="9">
        <v>6</v>
      </c>
      <c r="V25" s="9">
        <v>0</v>
      </c>
      <c r="W25" s="9">
        <v>6</v>
      </c>
    </row>
    <row r="26" spans="1:23" x14ac:dyDescent="0.3">
      <c r="A26" t="s">
        <v>73</v>
      </c>
      <c r="B26" s="9">
        <v>0</v>
      </c>
      <c r="C26" s="9">
        <v>0</v>
      </c>
      <c r="D26" s="9">
        <v>0</v>
      </c>
      <c r="E26" s="9">
        <v>0</v>
      </c>
      <c r="F26" s="9">
        <v>0</v>
      </c>
      <c r="G26" s="9">
        <v>25</v>
      </c>
      <c r="H26" s="9">
        <v>9</v>
      </c>
      <c r="I26" s="9">
        <v>15</v>
      </c>
      <c r="J26" s="9">
        <v>2</v>
      </c>
      <c r="K26" s="9">
        <v>3</v>
      </c>
      <c r="L26" s="9">
        <v>1</v>
      </c>
      <c r="M26" s="9">
        <v>25</v>
      </c>
      <c r="N26" s="9">
        <v>0</v>
      </c>
      <c r="O26" s="9">
        <v>0</v>
      </c>
      <c r="P26" s="9">
        <v>0</v>
      </c>
      <c r="Q26" s="9">
        <v>18</v>
      </c>
      <c r="R26" s="9">
        <v>3</v>
      </c>
      <c r="S26" s="9">
        <v>0</v>
      </c>
      <c r="T26" s="9">
        <v>0</v>
      </c>
      <c r="U26" s="9">
        <v>0</v>
      </c>
      <c r="V26" s="9">
        <v>0</v>
      </c>
      <c r="W26" s="9">
        <v>10</v>
      </c>
    </row>
    <row r="27" spans="1:23" x14ac:dyDescent="0.3">
      <c r="A27" t="s">
        <v>65</v>
      </c>
      <c r="B27" s="9">
        <v>9</v>
      </c>
      <c r="C27" s="9">
        <v>7.5</v>
      </c>
      <c r="D27" s="9">
        <v>7.5</v>
      </c>
      <c r="E27" s="9">
        <v>9</v>
      </c>
      <c r="F27" s="9">
        <v>0</v>
      </c>
      <c r="G27" s="9">
        <v>4</v>
      </c>
      <c r="H27" s="9">
        <v>25</v>
      </c>
      <c r="I27" s="9">
        <v>2</v>
      </c>
      <c r="J27" s="9">
        <v>0</v>
      </c>
      <c r="K27" s="9">
        <v>0</v>
      </c>
      <c r="L27" s="9">
        <v>10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U27" s="9">
        <v>0</v>
      </c>
      <c r="V27" s="9">
        <v>0</v>
      </c>
      <c r="W27" s="9">
        <v>0</v>
      </c>
    </row>
  </sheetData>
  <conditionalFormatting sqref="B2:W27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B99DF-6272-4C6F-B990-0996A4553D93}">
  <dimension ref="A1:B4"/>
  <sheetViews>
    <sheetView workbookViewId="0">
      <selection activeCell="A3" sqref="A3"/>
    </sheetView>
  </sheetViews>
  <sheetFormatPr defaultRowHeight="14.4" x14ac:dyDescent="0.3"/>
  <cols>
    <col min="1" max="1" width="57.5546875" bestFit="1" customWidth="1"/>
    <col min="3" max="3" width="17.77734375" bestFit="1" customWidth="1"/>
  </cols>
  <sheetData>
    <row r="1" spans="1:2" x14ac:dyDescent="0.3">
      <c r="A1" t="s">
        <v>379</v>
      </c>
      <c r="B1" s="85" t="s">
        <v>380</v>
      </c>
    </row>
    <row r="2" spans="1:2" x14ac:dyDescent="0.3">
      <c r="A2" t="s">
        <v>381</v>
      </c>
      <c r="B2" s="85" t="s">
        <v>380</v>
      </c>
    </row>
    <row r="3" spans="1:2" x14ac:dyDescent="0.3">
      <c r="A3" t="s">
        <v>382</v>
      </c>
    </row>
    <row r="4" spans="1:2" x14ac:dyDescent="0.3">
      <c r="A4" t="s">
        <v>383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1D528-ED0A-434F-B2AE-8B705B1ACD5D}">
  <dimension ref="C3:W29"/>
  <sheetViews>
    <sheetView workbookViewId="0">
      <selection activeCell="K30" sqref="K30"/>
    </sheetView>
  </sheetViews>
  <sheetFormatPr defaultRowHeight="14.4" x14ac:dyDescent="0.3"/>
  <sheetData>
    <row r="3" spans="3:23" x14ac:dyDescent="0.3">
      <c r="I3" t="s">
        <v>460</v>
      </c>
      <c r="J3" t="s">
        <v>461</v>
      </c>
      <c r="K3" t="s">
        <v>462</v>
      </c>
      <c r="L3" t="s">
        <v>463</v>
      </c>
      <c r="P3">
        <v>0.25</v>
      </c>
      <c r="Q3">
        <v>0.5</v>
      </c>
      <c r="R3">
        <v>0.75</v>
      </c>
      <c r="S3">
        <v>1</v>
      </c>
      <c r="T3">
        <v>1.25</v>
      </c>
      <c r="U3">
        <v>1.5</v>
      </c>
      <c r="V3">
        <v>1.75</v>
      </c>
      <c r="W3">
        <v>2</v>
      </c>
    </row>
    <row r="4" spans="3:23" x14ac:dyDescent="0.3">
      <c r="C4">
        <v>1</v>
      </c>
      <c r="D4" t="s">
        <v>53</v>
      </c>
      <c r="E4">
        <v>85.5</v>
      </c>
      <c r="F4">
        <v>3</v>
      </c>
      <c r="G4">
        <v>1</v>
      </c>
      <c r="H4">
        <v>2</v>
      </c>
      <c r="J4">
        <f>AVERAGE(M4:M29)</f>
        <v>76.932692307692307</v>
      </c>
      <c r="K4">
        <f>_xlfn.STDEV.P(M4:M29)</f>
        <v>20.216325002275589</v>
      </c>
      <c r="L4">
        <f>SUM(M4:M29)</f>
        <v>2000.25</v>
      </c>
      <c r="M4">
        <v>110.5</v>
      </c>
      <c r="N4">
        <f>M4/$J$4</f>
        <v>1.4363204599425072</v>
      </c>
      <c r="O4">
        <f t="shared" ref="O4:O29" si="0">_xlfn.NORM.DIST(M4,$J$4,$K$4,FALSE)</f>
        <v>4.9721494290009037E-3</v>
      </c>
      <c r="P4">
        <f>IF($N4&lt;=P$3,$N4,0)</f>
        <v>0</v>
      </c>
      <c r="Q4">
        <f t="shared" ref="Q4:W19" si="1">IF($N4&lt;=Q$3,$N4,0)</f>
        <v>0</v>
      </c>
      <c r="R4">
        <f t="shared" si="1"/>
        <v>0</v>
      </c>
      <c r="S4">
        <f t="shared" si="1"/>
        <v>0</v>
      </c>
      <c r="T4">
        <f t="shared" si="1"/>
        <v>0</v>
      </c>
      <c r="U4" s="111">
        <f t="shared" si="1"/>
        <v>1.4363204599425072</v>
      </c>
      <c r="V4">
        <f t="shared" si="1"/>
        <v>1.4363204599425072</v>
      </c>
      <c r="W4">
        <f t="shared" si="1"/>
        <v>1.4363204599425072</v>
      </c>
    </row>
    <row r="5" spans="3:23" x14ac:dyDescent="0.3">
      <c r="C5">
        <v>2</v>
      </c>
      <c r="D5" t="s">
        <v>55</v>
      </c>
      <c r="E5">
        <v>84.5</v>
      </c>
      <c r="F5">
        <v>4</v>
      </c>
      <c r="G5">
        <v>2</v>
      </c>
      <c r="H5">
        <v>2</v>
      </c>
      <c r="M5">
        <v>109.5</v>
      </c>
      <c r="N5">
        <f t="shared" ref="N5:N29" si="2">M5/$J$4</f>
        <v>1.4233220847394077</v>
      </c>
      <c r="O5">
        <f t="shared" si="0"/>
        <v>5.3911610868546903E-3</v>
      </c>
      <c r="P5">
        <f t="shared" ref="P5:P29" si="3">IF(N5&lt;=$P$3,N5,0)</f>
        <v>0</v>
      </c>
      <c r="Q5">
        <f t="shared" si="1"/>
        <v>0</v>
      </c>
      <c r="R5">
        <f t="shared" si="1"/>
        <v>0</v>
      </c>
      <c r="S5">
        <f t="shared" si="1"/>
        <v>0</v>
      </c>
      <c r="T5">
        <f t="shared" si="1"/>
        <v>0</v>
      </c>
      <c r="U5" s="111">
        <f t="shared" si="1"/>
        <v>1.4233220847394077</v>
      </c>
      <c r="V5">
        <f t="shared" si="1"/>
        <v>1.4233220847394077</v>
      </c>
      <c r="W5">
        <f t="shared" si="1"/>
        <v>1.4233220847394077</v>
      </c>
    </row>
    <row r="6" spans="3:23" x14ac:dyDescent="0.3">
      <c r="C6">
        <v>3</v>
      </c>
      <c r="D6" t="s">
        <v>52</v>
      </c>
      <c r="E6">
        <v>95.5</v>
      </c>
      <c r="F6">
        <v>2</v>
      </c>
      <c r="G6">
        <v>3</v>
      </c>
      <c r="H6">
        <v>-1</v>
      </c>
      <c r="M6">
        <v>108</v>
      </c>
      <c r="N6">
        <f t="shared" si="2"/>
        <v>1.4038245219347583</v>
      </c>
      <c r="O6">
        <f t="shared" si="0"/>
        <v>6.0589461445767611E-3</v>
      </c>
      <c r="P6">
        <f t="shared" si="3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1"/>
        <v>0</v>
      </c>
      <c r="U6" s="111">
        <f t="shared" si="1"/>
        <v>1.4038245219347583</v>
      </c>
      <c r="V6">
        <f t="shared" si="1"/>
        <v>1.4038245219347583</v>
      </c>
      <c r="W6">
        <f t="shared" si="1"/>
        <v>1.4038245219347583</v>
      </c>
    </row>
    <row r="7" spans="3:23" x14ac:dyDescent="0.3">
      <c r="C7">
        <v>4</v>
      </c>
      <c r="D7" t="s">
        <v>51</v>
      </c>
      <c r="E7">
        <v>106</v>
      </c>
      <c r="F7">
        <v>1</v>
      </c>
      <c r="G7">
        <v>4</v>
      </c>
      <c r="H7">
        <v>-3</v>
      </c>
      <c r="M7">
        <v>107</v>
      </c>
      <c r="N7">
        <f t="shared" si="2"/>
        <v>1.3908261467316585</v>
      </c>
      <c r="O7">
        <f t="shared" si="0"/>
        <v>6.5294810704919961E-3</v>
      </c>
      <c r="P7">
        <f t="shared" si="3"/>
        <v>0</v>
      </c>
      <c r="Q7">
        <f t="shared" si="1"/>
        <v>0</v>
      </c>
      <c r="R7">
        <f t="shared" si="1"/>
        <v>0</v>
      </c>
      <c r="S7">
        <f t="shared" si="1"/>
        <v>0</v>
      </c>
      <c r="T7">
        <f t="shared" si="1"/>
        <v>0</v>
      </c>
      <c r="U7" s="111">
        <f t="shared" si="1"/>
        <v>1.3908261467316585</v>
      </c>
      <c r="V7">
        <f t="shared" si="1"/>
        <v>1.3908261467316585</v>
      </c>
      <c r="W7">
        <f t="shared" si="1"/>
        <v>1.3908261467316585</v>
      </c>
    </row>
    <row r="8" spans="3:23" x14ac:dyDescent="0.3">
      <c r="C8">
        <v>5</v>
      </c>
      <c r="D8" t="s">
        <v>60</v>
      </c>
      <c r="E8">
        <v>75.5</v>
      </c>
      <c r="F8">
        <v>10</v>
      </c>
      <c r="G8">
        <v>5</v>
      </c>
      <c r="H8">
        <v>5</v>
      </c>
      <c r="M8">
        <v>100.5</v>
      </c>
      <c r="N8">
        <f t="shared" si="2"/>
        <v>1.3063367079115111</v>
      </c>
      <c r="O8">
        <f t="shared" si="0"/>
        <v>1.0002473926913539E-2</v>
      </c>
      <c r="P8">
        <f t="shared" si="3"/>
        <v>0</v>
      </c>
      <c r="Q8">
        <f t="shared" si="1"/>
        <v>0</v>
      </c>
      <c r="R8">
        <f t="shared" si="1"/>
        <v>0</v>
      </c>
      <c r="S8">
        <f t="shared" si="1"/>
        <v>0</v>
      </c>
      <c r="T8">
        <f t="shared" si="1"/>
        <v>0</v>
      </c>
      <c r="U8" s="111">
        <f t="shared" si="1"/>
        <v>1.3063367079115111</v>
      </c>
      <c r="V8">
        <f t="shared" si="1"/>
        <v>1.3063367079115111</v>
      </c>
      <c r="W8">
        <f t="shared" si="1"/>
        <v>1.3063367079115111</v>
      </c>
    </row>
    <row r="9" spans="3:23" x14ac:dyDescent="0.3">
      <c r="C9">
        <v>6</v>
      </c>
      <c r="D9" t="s">
        <v>57</v>
      </c>
      <c r="E9">
        <v>84</v>
      </c>
      <c r="F9">
        <v>6</v>
      </c>
      <c r="G9">
        <v>6</v>
      </c>
      <c r="H9">
        <v>0</v>
      </c>
      <c r="M9">
        <v>96.5</v>
      </c>
      <c r="N9">
        <f t="shared" si="2"/>
        <v>1.2543432070991127</v>
      </c>
      <c r="O9">
        <f t="shared" si="0"/>
        <v>1.235319337642031E-2</v>
      </c>
      <c r="P9">
        <f t="shared" si="3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 s="111">
        <f t="shared" si="1"/>
        <v>1.2543432070991127</v>
      </c>
      <c r="V9">
        <f t="shared" si="1"/>
        <v>1.2543432070991127</v>
      </c>
      <c r="W9">
        <f t="shared" si="1"/>
        <v>1.2543432070991127</v>
      </c>
    </row>
    <row r="10" spans="3:23" x14ac:dyDescent="0.3">
      <c r="C10">
        <v>7</v>
      </c>
      <c r="D10" t="s">
        <v>64</v>
      </c>
      <c r="E10">
        <v>69.5</v>
      </c>
      <c r="F10">
        <v>14</v>
      </c>
      <c r="G10">
        <v>7</v>
      </c>
      <c r="H10">
        <v>7</v>
      </c>
      <c r="M10">
        <v>94.5</v>
      </c>
      <c r="N10">
        <f t="shared" si="2"/>
        <v>1.2283464566929134</v>
      </c>
      <c r="O10">
        <f t="shared" si="0"/>
        <v>1.352818077080723E-2</v>
      </c>
      <c r="P10">
        <f t="shared" si="3"/>
        <v>0</v>
      </c>
      <c r="Q10">
        <f t="shared" si="1"/>
        <v>0</v>
      </c>
      <c r="R10">
        <f t="shared" si="1"/>
        <v>0</v>
      </c>
      <c r="S10">
        <f t="shared" si="1"/>
        <v>0</v>
      </c>
      <c r="T10" s="111">
        <f t="shared" si="1"/>
        <v>1.2283464566929134</v>
      </c>
      <c r="U10">
        <f t="shared" si="1"/>
        <v>1.2283464566929134</v>
      </c>
      <c r="V10">
        <f t="shared" si="1"/>
        <v>1.2283464566929134</v>
      </c>
      <c r="W10">
        <f t="shared" si="1"/>
        <v>1.2283464566929134</v>
      </c>
    </row>
    <row r="11" spans="3:23" x14ac:dyDescent="0.3">
      <c r="C11">
        <v>8</v>
      </c>
      <c r="D11" t="s">
        <v>56</v>
      </c>
      <c r="E11">
        <v>84</v>
      </c>
      <c r="F11">
        <v>7</v>
      </c>
      <c r="G11">
        <v>8</v>
      </c>
      <c r="H11">
        <v>-1</v>
      </c>
      <c r="M11">
        <v>91.5</v>
      </c>
      <c r="N11">
        <f t="shared" si="2"/>
        <v>1.1893513310836146</v>
      </c>
      <c r="O11">
        <f t="shared" si="0"/>
        <v>1.522158755042829E-2</v>
      </c>
      <c r="P11">
        <f t="shared" si="3"/>
        <v>0</v>
      </c>
      <c r="Q11">
        <f t="shared" si="1"/>
        <v>0</v>
      </c>
      <c r="R11">
        <f t="shared" si="1"/>
        <v>0</v>
      </c>
      <c r="S11">
        <f t="shared" si="1"/>
        <v>0</v>
      </c>
      <c r="T11" s="111">
        <f t="shared" si="1"/>
        <v>1.1893513310836146</v>
      </c>
      <c r="U11">
        <f t="shared" si="1"/>
        <v>1.1893513310836146</v>
      </c>
      <c r="V11">
        <f t="shared" si="1"/>
        <v>1.1893513310836146</v>
      </c>
      <c r="W11">
        <f t="shared" si="1"/>
        <v>1.1893513310836146</v>
      </c>
    </row>
    <row r="12" spans="3:23" x14ac:dyDescent="0.3">
      <c r="C12">
        <v>9</v>
      </c>
      <c r="D12" t="s">
        <v>63</v>
      </c>
      <c r="E12">
        <v>71</v>
      </c>
      <c r="F12">
        <v>13</v>
      </c>
      <c r="G12">
        <v>9</v>
      </c>
      <c r="H12">
        <v>4</v>
      </c>
      <c r="M12">
        <v>86</v>
      </c>
      <c r="N12">
        <f t="shared" si="2"/>
        <v>1.1178602674665667</v>
      </c>
      <c r="O12">
        <f t="shared" si="0"/>
        <v>1.7845365361361228E-2</v>
      </c>
      <c r="P12">
        <f t="shared" si="3"/>
        <v>0</v>
      </c>
      <c r="Q12">
        <f t="shared" si="1"/>
        <v>0</v>
      </c>
      <c r="R12">
        <f t="shared" si="1"/>
        <v>0</v>
      </c>
      <c r="S12">
        <f t="shared" si="1"/>
        <v>0</v>
      </c>
      <c r="T12" s="111">
        <f t="shared" si="1"/>
        <v>1.1178602674665667</v>
      </c>
      <c r="U12">
        <f t="shared" si="1"/>
        <v>1.1178602674665667</v>
      </c>
      <c r="V12">
        <f t="shared" si="1"/>
        <v>1.1178602674665667</v>
      </c>
      <c r="W12">
        <f t="shared" si="1"/>
        <v>1.1178602674665667</v>
      </c>
    </row>
    <row r="13" spans="3:23" x14ac:dyDescent="0.3">
      <c r="C13">
        <v>10</v>
      </c>
      <c r="D13" t="s">
        <v>54</v>
      </c>
      <c r="E13">
        <v>84.5</v>
      </c>
      <c r="F13">
        <v>5</v>
      </c>
      <c r="G13">
        <v>10</v>
      </c>
      <c r="H13">
        <v>-5</v>
      </c>
      <c r="M13">
        <v>85.5</v>
      </c>
      <c r="N13">
        <f t="shared" si="2"/>
        <v>1.1113610798650169</v>
      </c>
      <c r="O13">
        <f t="shared" si="0"/>
        <v>1.8038905701912862E-2</v>
      </c>
      <c r="P13">
        <f t="shared" si="3"/>
        <v>0</v>
      </c>
      <c r="Q13">
        <f t="shared" si="1"/>
        <v>0</v>
      </c>
      <c r="R13">
        <f t="shared" si="1"/>
        <v>0</v>
      </c>
      <c r="S13">
        <f t="shared" si="1"/>
        <v>0</v>
      </c>
      <c r="T13" s="111">
        <f t="shared" si="1"/>
        <v>1.1113610798650169</v>
      </c>
      <c r="U13">
        <f t="shared" si="1"/>
        <v>1.1113610798650169</v>
      </c>
      <c r="V13">
        <f t="shared" si="1"/>
        <v>1.1113610798650169</v>
      </c>
      <c r="W13">
        <f t="shared" si="1"/>
        <v>1.1113610798650169</v>
      </c>
    </row>
    <row r="14" spans="3:23" x14ac:dyDescent="0.3">
      <c r="C14">
        <v>11</v>
      </c>
      <c r="D14" t="s">
        <v>58</v>
      </c>
      <c r="E14">
        <v>80.5</v>
      </c>
      <c r="F14">
        <v>8</v>
      </c>
      <c r="G14">
        <v>11</v>
      </c>
      <c r="H14">
        <v>-3</v>
      </c>
      <c r="M14">
        <v>81.5</v>
      </c>
      <c r="N14">
        <f t="shared" si="2"/>
        <v>1.0593675790526185</v>
      </c>
      <c r="O14">
        <f t="shared" si="0"/>
        <v>1.9236431958174888E-2</v>
      </c>
      <c r="P14">
        <f t="shared" si="3"/>
        <v>0</v>
      </c>
      <c r="Q14">
        <f t="shared" si="1"/>
        <v>0</v>
      </c>
      <c r="R14">
        <f t="shared" si="1"/>
        <v>0</v>
      </c>
      <c r="S14">
        <f t="shared" si="1"/>
        <v>0</v>
      </c>
      <c r="T14" s="111">
        <f t="shared" si="1"/>
        <v>1.0593675790526185</v>
      </c>
      <c r="U14">
        <f t="shared" si="1"/>
        <v>1.0593675790526185</v>
      </c>
      <c r="V14">
        <f t="shared" si="1"/>
        <v>1.0593675790526185</v>
      </c>
      <c r="W14">
        <f t="shared" si="1"/>
        <v>1.0593675790526185</v>
      </c>
    </row>
    <row r="15" spans="3:23" x14ac:dyDescent="0.3">
      <c r="C15">
        <v>12</v>
      </c>
      <c r="D15" t="s">
        <v>59</v>
      </c>
      <c r="E15">
        <v>76.25</v>
      </c>
      <c r="F15">
        <v>9</v>
      </c>
      <c r="G15">
        <v>12</v>
      </c>
      <c r="H15">
        <v>-3</v>
      </c>
      <c r="M15">
        <v>76.5</v>
      </c>
      <c r="N15">
        <f t="shared" si="2"/>
        <v>0.99437570303712042</v>
      </c>
      <c r="O15">
        <f t="shared" si="0"/>
        <v>1.9729150299583661E-2</v>
      </c>
      <c r="P15">
        <f t="shared" si="3"/>
        <v>0</v>
      </c>
      <c r="Q15">
        <f t="shared" si="1"/>
        <v>0</v>
      </c>
      <c r="R15">
        <f t="shared" si="1"/>
        <v>0</v>
      </c>
      <c r="S15" s="111">
        <f t="shared" si="1"/>
        <v>0.99437570303712042</v>
      </c>
      <c r="T15">
        <f t="shared" si="1"/>
        <v>0.99437570303712042</v>
      </c>
      <c r="U15">
        <f t="shared" si="1"/>
        <v>0.99437570303712042</v>
      </c>
      <c r="V15">
        <f t="shared" si="1"/>
        <v>0.99437570303712042</v>
      </c>
      <c r="W15">
        <f t="shared" si="1"/>
        <v>0.99437570303712042</v>
      </c>
    </row>
    <row r="16" spans="3:23" x14ac:dyDescent="0.3">
      <c r="C16">
        <v>13</v>
      </c>
      <c r="D16" t="s">
        <v>61</v>
      </c>
      <c r="E16">
        <v>75</v>
      </c>
      <c r="F16">
        <v>11</v>
      </c>
      <c r="G16">
        <v>13</v>
      </c>
      <c r="H16">
        <v>-2</v>
      </c>
      <c r="M16">
        <v>76</v>
      </c>
      <c r="N16">
        <f t="shared" si="2"/>
        <v>0.98787651543557053</v>
      </c>
      <c r="O16">
        <f t="shared" si="0"/>
        <v>1.9712679388423301E-2</v>
      </c>
      <c r="P16">
        <f t="shared" si="3"/>
        <v>0</v>
      </c>
      <c r="Q16">
        <f t="shared" si="1"/>
        <v>0</v>
      </c>
      <c r="R16">
        <f t="shared" si="1"/>
        <v>0</v>
      </c>
      <c r="S16" s="111">
        <f t="shared" si="1"/>
        <v>0.98787651543557053</v>
      </c>
      <c r="T16">
        <f t="shared" si="1"/>
        <v>0.98787651543557053</v>
      </c>
      <c r="U16">
        <f t="shared" si="1"/>
        <v>0.98787651543557053</v>
      </c>
      <c r="V16">
        <f t="shared" si="1"/>
        <v>0.98787651543557053</v>
      </c>
      <c r="W16">
        <f t="shared" si="1"/>
        <v>0.98787651543557053</v>
      </c>
    </row>
    <row r="17" spans="3:23" x14ac:dyDescent="0.3">
      <c r="C17">
        <v>14</v>
      </c>
      <c r="D17" t="s">
        <v>62</v>
      </c>
      <c r="E17">
        <v>72</v>
      </c>
      <c r="F17">
        <v>12</v>
      </c>
      <c r="G17">
        <v>14</v>
      </c>
      <c r="H17">
        <v>-2</v>
      </c>
      <c r="M17">
        <v>74</v>
      </c>
      <c r="N17">
        <f t="shared" si="2"/>
        <v>0.96187976502937134</v>
      </c>
      <c r="O17">
        <f t="shared" si="0"/>
        <v>1.9527120465561199E-2</v>
      </c>
      <c r="P17">
        <f t="shared" si="3"/>
        <v>0</v>
      </c>
      <c r="Q17">
        <f t="shared" si="1"/>
        <v>0</v>
      </c>
      <c r="R17">
        <f t="shared" si="1"/>
        <v>0</v>
      </c>
      <c r="S17" s="111">
        <f t="shared" si="1"/>
        <v>0.96187976502937134</v>
      </c>
      <c r="T17">
        <f t="shared" si="1"/>
        <v>0.96187976502937134</v>
      </c>
      <c r="U17">
        <f t="shared" si="1"/>
        <v>0.96187976502937134</v>
      </c>
      <c r="V17">
        <f t="shared" si="1"/>
        <v>0.96187976502937134</v>
      </c>
      <c r="W17">
        <f t="shared" si="1"/>
        <v>0.96187976502937134</v>
      </c>
    </row>
    <row r="18" spans="3:23" x14ac:dyDescent="0.3">
      <c r="C18">
        <v>15</v>
      </c>
      <c r="D18" t="s">
        <v>69</v>
      </c>
      <c r="E18">
        <v>58.5</v>
      </c>
      <c r="F18">
        <v>19</v>
      </c>
      <c r="G18">
        <v>15</v>
      </c>
      <c r="H18">
        <v>4</v>
      </c>
      <c r="M18">
        <v>71</v>
      </c>
      <c r="N18">
        <f t="shared" si="2"/>
        <v>0.92288463942007248</v>
      </c>
      <c r="O18">
        <f t="shared" si="0"/>
        <v>1.8901981816387279E-2</v>
      </c>
      <c r="P18">
        <f t="shared" si="3"/>
        <v>0</v>
      </c>
      <c r="Q18">
        <f t="shared" si="1"/>
        <v>0</v>
      </c>
      <c r="R18">
        <f t="shared" si="1"/>
        <v>0</v>
      </c>
      <c r="S18" s="111">
        <f t="shared" si="1"/>
        <v>0.92288463942007248</v>
      </c>
      <c r="T18">
        <f t="shared" si="1"/>
        <v>0.92288463942007248</v>
      </c>
      <c r="U18">
        <f t="shared" si="1"/>
        <v>0.92288463942007248</v>
      </c>
      <c r="V18">
        <f t="shared" si="1"/>
        <v>0.92288463942007248</v>
      </c>
      <c r="W18">
        <f t="shared" si="1"/>
        <v>0.92288463942007248</v>
      </c>
    </row>
    <row r="19" spans="3:23" x14ac:dyDescent="0.3">
      <c r="C19">
        <v>16</v>
      </c>
      <c r="D19" t="s">
        <v>72</v>
      </c>
      <c r="E19">
        <v>54.25</v>
      </c>
      <c r="F19">
        <v>22</v>
      </c>
      <c r="G19">
        <v>16</v>
      </c>
      <c r="H19">
        <v>6</v>
      </c>
      <c r="M19">
        <v>66.75</v>
      </c>
      <c r="N19">
        <f t="shared" si="2"/>
        <v>0.86764154480689915</v>
      </c>
      <c r="O19">
        <f t="shared" si="0"/>
        <v>1.7382712820256909E-2</v>
      </c>
      <c r="P19">
        <f t="shared" si="3"/>
        <v>0</v>
      </c>
      <c r="Q19">
        <f t="shared" si="1"/>
        <v>0</v>
      </c>
      <c r="R19">
        <f t="shared" si="1"/>
        <v>0</v>
      </c>
      <c r="S19" s="111">
        <f t="shared" si="1"/>
        <v>0.86764154480689915</v>
      </c>
      <c r="T19">
        <f t="shared" si="1"/>
        <v>0.86764154480689915</v>
      </c>
      <c r="U19">
        <f t="shared" si="1"/>
        <v>0.86764154480689915</v>
      </c>
      <c r="V19">
        <f t="shared" si="1"/>
        <v>0.86764154480689915</v>
      </c>
      <c r="W19">
        <f t="shared" si="1"/>
        <v>0.86764154480689915</v>
      </c>
    </row>
    <row r="20" spans="3:23" x14ac:dyDescent="0.3">
      <c r="C20">
        <v>17</v>
      </c>
      <c r="D20" t="s">
        <v>66</v>
      </c>
      <c r="E20">
        <v>63</v>
      </c>
      <c r="F20">
        <v>16</v>
      </c>
      <c r="G20">
        <v>17</v>
      </c>
      <c r="H20">
        <v>-1</v>
      </c>
      <c r="M20">
        <v>64</v>
      </c>
      <c r="N20">
        <f t="shared" si="2"/>
        <v>0.83189601299837523</v>
      </c>
      <c r="O20">
        <f t="shared" si="0"/>
        <v>1.608212601961553E-2</v>
      </c>
      <c r="P20">
        <f t="shared" si="3"/>
        <v>0</v>
      </c>
      <c r="Q20">
        <f t="shared" ref="Q20:W29" si="4">IF($N20&lt;=Q$3,$N20,0)</f>
        <v>0</v>
      </c>
      <c r="R20">
        <f t="shared" si="4"/>
        <v>0</v>
      </c>
      <c r="S20" s="111">
        <f t="shared" si="4"/>
        <v>0.83189601299837523</v>
      </c>
      <c r="T20">
        <f t="shared" si="4"/>
        <v>0.83189601299837523</v>
      </c>
      <c r="U20">
        <f t="shared" si="4"/>
        <v>0.83189601299837523</v>
      </c>
      <c r="V20">
        <f t="shared" si="4"/>
        <v>0.83189601299837523</v>
      </c>
      <c r="W20">
        <f t="shared" si="4"/>
        <v>0.83189601299837523</v>
      </c>
    </row>
    <row r="21" spans="3:23" x14ac:dyDescent="0.3">
      <c r="C21">
        <v>18</v>
      </c>
      <c r="D21" t="s">
        <v>65</v>
      </c>
      <c r="E21">
        <v>64</v>
      </c>
      <c r="F21">
        <v>15</v>
      </c>
      <c r="G21">
        <v>18</v>
      </c>
      <c r="H21">
        <v>-3</v>
      </c>
      <c r="M21">
        <v>64</v>
      </c>
      <c r="N21">
        <f t="shared" si="2"/>
        <v>0.83189601299837523</v>
      </c>
      <c r="O21">
        <f t="shared" si="0"/>
        <v>1.608212601961553E-2</v>
      </c>
      <c r="P21">
        <f t="shared" si="3"/>
        <v>0</v>
      </c>
      <c r="Q21">
        <f t="shared" si="4"/>
        <v>0</v>
      </c>
      <c r="R21">
        <f t="shared" si="4"/>
        <v>0</v>
      </c>
      <c r="S21" s="111">
        <f t="shared" si="4"/>
        <v>0.83189601299837523</v>
      </c>
      <c r="T21">
        <f t="shared" si="4"/>
        <v>0.83189601299837523</v>
      </c>
      <c r="U21">
        <f t="shared" si="4"/>
        <v>0.83189601299837523</v>
      </c>
      <c r="V21">
        <f t="shared" si="4"/>
        <v>0.83189601299837523</v>
      </c>
      <c r="W21">
        <f t="shared" si="4"/>
        <v>0.83189601299837523</v>
      </c>
    </row>
    <row r="22" spans="3:23" x14ac:dyDescent="0.3">
      <c r="C22">
        <v>19</v>
      </c>
      <c r="D22" t="s">
        <v>68</v>
      </c>
      <c r="E22">
        <v>60.5</v>
      </c>
      <c r="F22">
        <v>18</v>
      </c>
      <c r="G22">
        <v>19</v>
      </c>
      <c r="H22">
        <v>-1</v>
      </c>
      <c r="M22">
        <v>62.5</v>
      </c>
      <c r="N22">
        <f t="shared" si="2"/>
        <v>0.81239845019372581</v>
      </c>
      <c r="O22">
        <f t="shared" si="0"/>
        <v>1.5294458716747268E-2</v>
      </c>
      <c r="P22">
        <f t="shared" si="3"/>
        <v>0</v>
      </c>
      <c r="Q22">
        <f t="shared" si="4"/>
        <v>0</v>
      </c>
      <c r="R22">
        <f t="shared" si="4"/>
        <v>0</v>
      </c>
      <c r="S22" s="111">
        <f t="shared" si="4"/>
        <v>0.81239845019372581</v>
      </c>
      <c r="T22">
        <f t="shared" si="4"/>
        <v>0.81239845019372581</v>
      </c>
      <c r="U22">
        <f t="shared" si="4"/>
        <v>0.81239845019372581</v>
      </c>
      <c r="V22">
        <f t="shared" si="4"/>
        <v>0.81239845019372581</v>
      </c>
      <c r="W22">
        <f t="shared" si="4"/>
        <v>0.81239845019372581</v>
      </c>
    </row>
    <row r="23" spans="3:23" x14ac:dyDescent="0.3">
      <c r="C23">
        <v>20</v>
      </c>
      <c r="D23" t="s">
        <v>67</v>
      </c>
      <c r="E23">
        <v>62.5</v>
      </c>
      <c r="F23">
        <v>17</v>
      </c>
      <c r="G23">
        <v>20</v>
      </c>
      <c r="H23">
        <v>-3</v>
      </c>
      <c r="M23">
        <v>62.5</v>
      </c>
      <c r="N23">
        <f t="shared" si="2"/>
        <v>0.81239845019372581</v>
      </c>
      <c r="O23">
        <f t="shared" si="0"/>
        <v>1.5294458716747268E-2</v>
      </c>
      <c r="P23">
        <f t="shared" si="3"/>
        <v>0</v>
      </c>
      <c r="Q23">
        <f t="shared" si="4"/>
        <v>0</v>
      </c>
      <c r="R23">
        <f t="shared" si="4"/>
        <v>0</v>
      </c>
      <c r="S23" s="111">
        <f t="shared" si="4"/>
        <v>0.81239845019372581</v>
      </c>
      <c r="T23">
        <f t="shared" si="4"/>
        <v>0.81239845019372581</v>
      </c>
      <c r="U23">
        <f t="shared" si="4"/>
        <v>0.81239845019372581</v>
      </c>
      <c r="V23">
        <f t="shared" si="4"/>
        <v>0.81239845019372581</v>
      </c>
      <c r="W23">
        <f t="shared" si="4"/>
        <v>0.81239845019372581</v>
      </c>
    </row>
    <row r="24" spans="3:23" x14ac:dyDescent="0.3">
      <c r="C24">
        <v>21</v>
      </c>
      <c r="D24" t="s">
        <v>75</v>
      </c>
      <c r="E24">
        <v>46</v>
      </c>
      <c r="F24">
        <v>24</v>
      </c>
      <c r="G24">
        <v>21</v>
      </c>
      <c r="H24">
        <v>3</v>
      </c>
      <c r="M24">
        <v>58.5</v>
      </c>
      <c r="N24">
        <f t="shared" si="2"/>
        <v>0.7604049493813273</v>
      </c>
      <c r="O24">
        <f t="shared" si="0"/>
        <v>1.3022278386586397E-2</v>
      </c>
      <c r="P24">
        <f t="shared" si="3"/>
        <v>0</v>
      </c>
      <c r="Q24">
        <f t="shared" si="4"/>
        <v>0</v>
      </c>
      <c r="R24">
        <f t="shared" si="4"/>
        <v>0</v>
      </c>
      <c r="S24" s="111">
        <f t="shared" si="4"/>
        <v>0.7604049493813273</v>
      </c>
      <c r="T24">
        <f t="shared" si="4"/>
        <v>0.7604049493813273</v>
      </c>
      <c r="U24">
        <f t="shared" si="4"/>
        <v>0.7604049493813273</v>
      </c>
      <c r="V24">
        <f t="shared" si="4"/>
        <v>0.7604049493813273</v>
      </c>
      <c r="W24">
        <f t="shared" si="4"/>
        <v>0.7604049493813273</v>
      </c>
    </row>
    <row r="25" spans="3:23" x14ac:dyDescent="0.3">
      <c r="C25">
        <v>22</v>
      </c>
      <c r="D25" t="s">
        <v>70</v>
      </c>
      <c r="E25">
        <v>56</v>
      </c>
      <c r="F25">
        <v>20</v>
      </c>
      <c r="G25">
        <v>22</v>
      </c>
      <c r="H25">
        <v>-2</v>
      </c>
      <c r="M25">
        <v>57</v>
      </c>
      <c r="N25">
        <f t="shared" si="2"/>
        <v>0.74090738657667787</v>
      </c>
      <c r="O25">
        <f t="shared" si="0"/>
        <v>1.2136989396893441E-2</v>
      </c>
      <c r="P25">
        <f t="shared" si="3"/>
        <v>0</v>
      </c>
      <c r="Q25">
        <f t="shared" si="4"/>
        <v>0</v>
      </c>
      <c r="R25" s="111">
        <f t="shared" si="4"/>
        <v>0.74090738657667787</v>
      </c>
      <c r="S25">
        <f t="shared" si="4"/>
        <v>0.74090738657667787</v>
      </c>
      <c r="T25">
        <f t="shared" si="4"/>
        <v>0.74090738657667787</v>
      </c>
      <c r="U25">
        <f t="shared" si="4"/>
        <v>0.74090738657667787</v>
      </c>
      <c r="V25">
        <f t="shared" si="4"/>
        <v>0.74090738657667787</v>
      </c>
      <c r="W25">
        <f t="shared" si="4"/>
        <v>0.74090738657667787</v>
      </c>
    </row>
    <row r="26" spans="3:23" x14ac:dyDescent="0.3">
      <c r="C26">
        <v>23</v>
      </c>
      <c r="D26" t="s">
        <v>71</v>
      </c>
      <c r="E26">
        <v>55</v>
      </c>
      <c r="F26">
        <v>21</v>
      </c>
      <c r="G26">
        <v>23</v>
      </c>
      <c r="H26">
        <v>-2</v>
      </c>
      <c r="M26">
        <v>55</v>
      </c>
      <c r="N26">
        <f t="shared" si="2"/>
        <v>0.71491063617047867</v>
      </c>
      <c r="O26">
        <f t="shared" si="0"/>
        <v>1.0955287581715141E-2</v>
      </c>
      <c r="P26">
        <f t="shared" si="3"/>
        <v>0</v>
      </c>
      <c r="Q26">
        <f t="shared" si="4"/>
        <v>0</v>
      </c>
      <c r="R26" s="111">
        <f t="shared" si="4"/>
        <v>0.71491063617047867</v>
      </c>
      <c r="S26">
        <f t="shared" si="4"/>
        <v>0.71491063617047867</v>
      </c>
      <c r="T26">
        <f t="shared" si="4"/>
        <v>0.71491063617047867</v>
      </c>
      <c r="U26">
        <f t="shared" si="4"/>
        <v>0.71491063617047867</v>
      </c>
      <c r="V26">
        <f t="shared" si="4"/>
        <v>0.71491063617047867</v>
      </c>
      <c r="W26">
        <f t="shared" si="4"/>
        <v>0.71491063617047867</v>
      </c>
    </row>
    <row r="27" spans="3:23" x14ac:dyDescent="0.3">
      <c r="C27">
        <v>24</v>
      </c>
      <c r="D27" t="s">
        <v>74</v>
      </c>
      <c r="E27">
        <v>46</v>
      </c>
      <c r="F27">
        <v>25</v>
      </c>
      <c r="G27">
        <v>24</v>
      </c>
      <c r="H27">
        <v>1</v>
      </c>
      <c r="M27">
        <v>53.5</v>
      </c>
      <c r="N27">
        <f t="shared" si="2"/>
        <v>0.69541307336582925</v>
      </c>
      <c r="O27">
        <f t="shared" si="0"/>
        <v>1.0080196547497765E-2</v>
      </c>
      <c r="P27">
        <f t="shared" si="3"/>
        <v>0</v>
      </c>
      <c r="Q27">
        <f t="shared" si="4"/>
        <v>0</v>
      </c>
      <c r="R27" s="111">
        <f t="shared" si="4"/>
        <v>0.69541307336582925</v>
      </c>
      <c r="S27">
        <f t="shared" si="4"/>
        <v>0.69541307336582925</v>
      </c>
      <c r="T27">
        <f t="shared" si="4"/>
        <v>0.69541307336582925</v>
      </c>
      <c r="U27">
        <f t="shared" si="4"/>
        <v>0.69541307336582925</v>
      </c>
      <c r="V27">
        <f t="shared" si="4"/>
        <v>0.69541307336582925</v>
      </c>
      <c r="W27">
        <f t="shared" si="4"/>
        <v>0.69541307336582925</v>
      </c>
    </row>
    <row r="28" spans="3:23" x14ac:dyDescent="0.3">
      <c r="C28">
        <v>25</v>
      </c>
      <c r="D28" t="s">
        <v>73</v>
      </c>
      <c r="E28">
        <v>49</v>
      </c>
      <c r="F28">
        <v>23</v>
      </c>
      <c r="G28">
        <v>25</v>
      </c>
      <c r="H28">
        <v>-2</v>
      </c>
      <c r="M28">
        <v>51</v>
      </c>
      <c r="N28">
        <f t="shared" si="2"/>
        <v>0.66291713535808028</v>
      </c>
      <c r="O28">
        <f t="shared" si="0"/>
        <v>8.6675809521073056E-3</v>
      </c>
      <c r="P28">
        <f t="shared" si="3"/>
        <v>0</v>
      </c>
      <c r="Q28">
        <f t="shared" si="4"/>
        <v>0</v>
      </c>
      <c r="R28" s="111">
        <f t="shared" si="4"/>
        <v>0.66291713535808028</v>
      </c>
      <c r="S28">
        <f t="shared" si="4"/>
        <v>0.66291713535808028</v>
      </c>
      <c r="T28">
        <f t="shared" si="4"/>
        <v>0.66291713535808028</v>
      </c>
      <c r="U28">
        <f t="shared" si="4"/>
        <v>0.66291713535808028</v>
      </c>
      <c r="V28">
        <f t="shared" si="4"/>
        <v>0.66291713535808028</v>
      </c>
      <c r="W28">
        <f t="shared" si="4"/>
        <v>0.66291713535808028</v>
      </c>
    </row>
    <row r="29" spans="3:23" x14ac:dyDescent="0.3">
      <c r="C29">
        <v>26</v>
      </c>
      <c r="D29" t="s">
        <v>76</v>
      </c>
      <c r="E29">
        <v>35</v>
      </c>
      <c r="F29">
        <v>26</v>
      </c>
      <c r="G29">
        <v>26</v>
      </c>
      <c r="H29">
        <v>0</v>
      </c>
      <c r="M29">
        <v>37</v>
      </c>
      <c r="N29">
        <f t="shared" si="2"/>
        <v>0.48093988251468567</v>
      </c>
      <c r="O29">
        <f t="shared" si="0"/>
        <v>2.8052181072260487E-3</v>
      </c>
      <c r="P29">
        <f t="shared" si="3"/>
        <v>0</v>
      </c>
      <c r="Q29" s="111">
        <f t="shared" si="4"/>
        <v>0.48093988251468567</v>
      </c>
      <c r="R29">
        <f t="shared" si="4"/>
        <v>0.48093988251468567</v>
      </c>
      <c r="S29">
        <f t="shared" si="4"/>
        <v>0.48093988251468567</v>
      </c>
      <c r="T29">
        <f t="shared" si="4"/>
        <v>0.48093988251468567</v>
      </c>
      <c r="U29">
        <f t="shared" si="4"/>
        <v>0.48093988251468567</v>
      </c>
      <c r="V29">
        <f t="shared" si="4"/>
        <v>0.48093988251468567</v>
      </c>
      <c r="W29">
        <f t="shared" si="4"/>
        <v>0.48093988251468567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D0569-2D46-4D44-97BB-D38DA5E949C4}">
  <sheetPr codeName="Sheet2">
    <tabColor rgb="FFFF0000"/>
  </sheetPr>
  <dimension ref="A1:I99"/>
  <sheetViews>
    <sheetView showGridLines="0" workbookViewId="0">
      <selection activeCell="H84" sqref="H84"/>
    </sheetView>
  </sheetViews>
  <sheetFormatPr defaultColWidth="27.5546875" defaultRowHeight="14.4" x14ac:dyDescent="0.3"/>
  <cols>
    <col min="1" max="1" width="18" style="24" bestFit="1" customWidth="1"/>
    <col min="2" max="2" width="14.5546875" style="24" bestFit="1" customWidth="1"/>
    <col min="3" max="3" width="21.21875" style="24" bestFit="1" customWidth="1"/>
    <col min="4" max="5" width="29.77734375" style="24" bestFit="1" customWidth="1"/>
    <col min="6" max="6" width="1.44140625" customWidth="1"/>
    <col min="7" max="7" width="11" style="41" customWidth="1"/>
    <col min="8" max="8" width="2" customWidth="1"/>
  </cols>
  <sheetData>
    <row r="1" spans="1:8" s="2" customFormat="1" x14ac:dyDescent="0.3">
      <c r="A1" s="26"/>
      <c r="B1" s="26"/>
      <c r="C1" s="26"/>
      <c r="D1" s="26"/>
      <c r="E1" s="26"/>
      <c r="F1" s="30"/>
      <c r="G1" s="40"/>
    </row>
    <row r="2" spans="1:8" ht="15" thickBot="1" x14ac:dyDescent="0.35">
      <c r="A2" s="25"/>
      <c r="B2" s="25"/>
      <c r="C2" s="25"/>
      <c r="D2" s="25"/>
      <c r="E2" s="25"/>
      <c r="F2" s="22"/>
    </row>
    <row r="3" spans="1:8" ht="15" thickBot="1" x14ac:dyDescent="0.35">
      <c r="A3" s="23"/>
      <c r="B3" s="23"/>
      <c r="C3" s="23"/>
      <c r="D3" s="23"/>
      <c r="E3" s="23"/>
      <c r="F3" s="22"/>
    </row>
    <row r="4" spans="1:8" ht="15" thickBot="1" x14ac:dyDescent="0.35">
      <c r="A4" s="23"/>
      <c r="B4" s="23"/>
      <c r="C4" s="23"/>
      <c r="D4" s="23"/>
      <c r="E4" s="23"/>
      <c r="F4" s="22"/>
    </row>
    <row r="5" spans="1:8" ht="15" thickBot="1" x14ac:dyDescent="0.35">
      <c r="A5" s="23"/>
      <c r="B5" s="23"/>
      <c r="C5" s="23"/>
      <c r="D5" s="23"/>
      <c r="E5" s="23"/>
      <c r="F5" s="22"/>
    </row>
    <row r="6" spans="1:8" ht="15" thickBot="1" x14ac:dyDescent="0.35">
      <c r="A6" s="23"/>
      <c r="B6" s="23"/>
      <c r="C6" s="23"/>
      <c r="D6" s="23"/>
      <c r="E6" s="23"/>
      <c r="F6" s="22"/>
    </row>
    <row r="7" spans="1:8" ht="15" thickBot="1" x14ac:dyDescent="0.35">
      <c r="A7" s="23"/>
      <c r="B7" s="23"/>
      <c r="C7" s="23"/>
      <c r="D7" s="23"/>
      <c r="E7" s="23"/>
      <c r="F7" s="22"/>
    </row>
    <row r="8" spans="1:8" ht="15" thickBot="1" x14ac:dyDescent="0.35">
      <c r="A8" s="23"/>
      <c r="B8" s="23"/>
      <c r="C8" s="23"/>
      <c r="D8" s="23"/>
      <c r="E8" s="23"/>
      <c r="F8" s="22"/>
    </row>
    <row r="9" spans="1:8" ht="15" thickBot="1" x14ac:dyDescent="0.35">
      <c r="A9" s="23"/>
      <c r="B9" s="23"/>
      <c r="C9" s="23"/>
      <c r="D9" s="23"/>
      <c r="E9" s="23"/>
      <c r="F9" s="22"/>
    </row>
    <row r="10" spans="1:8" ht="15" thickBot="1" x14ac:dyDescent="0.35">
      <c r="A10" s="23"/>
      <c r="B10" s="23"/>
      <c r="C10" s="23"/>
      <c r="D10" s="23"/>
      <c r="E10" s="23"/>
      <c r="F10" s="22"/>
      <c r="H10" s="21"/>
    </row>
    <row r="11" spans="1:8" ht="15" thickBot="1" x14ac:dyDescent="0.35">
      <c r="A11" s="23"/>
      <c r="B11" s="23"/>
      <c r="C11" s="23"/>
      <c r="D11" s="23"/>
      <c r="E11" s="23"/>
      <c r="F11" s="22"/>
    </row>
    <row r="12" spans="1:8" ht="15" thickBot="1" x14ac:dyDescent="0.35">
      <c r="A12" s="23"/>
      <c r="B12" s="23"/>
      <c r="C12" s="23"/>
      <c r="D12" s="23"/>
      <c r="E12" s="23"/>
      <c r="F12" s="22"/>
    </row>
    <row r="13" spans="1:8" ht="15" thickBot="1" x14ac:dyDescent="0.35">
      <c r="A13" s="23"/>
      <c r="B13" s="23"/>
      <c r="C13" s="23"/>
      <c r="D13" s="23"/>
      <c r="E13" s="23"/>
      <c r="F13" s="22"/>
    </row>
    <row r="14" spans="1:8" ht="15" thickBot="1" x14ac:dyDescent="0.35">
      <c r="A14" s="23"/>
      <c r="B14" s="23"/>
      <c r="C14" s="23"/>
      <c r="D14" s="23"/>
      <c r="E14" s="23"/>
      <c r="F14" s="22"/>
    </row>
    <row r="15" spans="1:8" ht="15" thickBot="1" x14ac:dyDescent="0.35">
      <c r="A15" s="23"/>
      <c r="B15" s="23"/>
      <c r="C15" s="23"/>
      <c r="D15" s="23"/>
      <c r="E15" s="23"/>
      <c r="F15" s="22"/>
    </row>
    <row r="16" spans="1:8" ht="15" thickBot="1" x14ac:dyDescent="0.35">
      <c r="A16" s="23"/>
      <c r="B16" s="23"/>
      <c r="C16" s="23"/>
      <c r="D16" s="23"/>
      <c r="E16" s="23"/>
      <c r="F16" s="22"/>
    </row>
    <row r="17" spans="1:6" ht="15" thickBot="1" x14ac:dyDescent="0.35">
      <c r="A17" s="23"/>
      <c r="B17" s="23"/>
      <c r="C17" s="23"/>
      <c r="D17" s="23"/>
      <c r="E17" s="23"/>
      <c r="F17" s="22"/>
    </row>
    <row r="18" spans="1:6" ht="15" thickBot="1" x14ac:dyDescent="0.35">
      <c r="A18" s="23"/>
      <c r="B18" s="23"/>
      <c r="C18" s="23"/>
      <c r="D18" s="23"/>
      <c r="E18" s="23"/>
      <c r="F18" s="22"/>
    </row>
    <row r="19" spans="1:6" ht="15" thickBot="1" x14ac:dyDescent="0.35">
      <c r="A19" s="23"/>
      <c r="B19" s="23"/>
      <c r="C19" s="23"/>
      <c r="D19" s="23"/>
      <c r="E19" s="23"/>
      <c r="F19" s="22"/>
    </row>
    <row r="20" spans="1:6" ht="15" thickBot="1" x14ac:dyDescent="0.35">
      <c r="A20" s="23"/>
      <c r="B20" s="23"/>
      <c r="C20" s="23"/>
      <c r="D20" s="23"/>
      <c r="E20" s="23"/>
      <c r="F20" s="22"/>
    </row>
    <row r="21" spans="1:6" ht="15" thickBot="1" x14ac:dyDescent="0.35">
      <c r="A21" s="23"/>
      <c r="B21" s="23"/>
      <c r="C21" s="23"/>
      <c r="D21" s="23"/>
      <c r="E21" s="23"/>
      <c r="F21" s="22"/>
    </row>
    <row r="22" spans="1:6" ht="15" thickBot="1" x14ac:dyDescent="0.35">
      <c r="A22" s="23"/>
      <c r="B22" s="23"/>
      <c r="C22" s="23"/>
      <c r="D22" s="23"/>
      <c r="E22" s="23"/>
      <c r="F22" s="22"/>
    </row>
    <row r="23" spans="1:6" ht="15" thickBot="1" x14ac:dyDescent="0.35">
      <c r="A23" s="23"/>
      <c r="B23" s="23"/>
      <c r="C23" s="23"/>
      <c r="D23" s="23"/>
      <c r="E23" s="23"/>
      <c r="F23" s="22"/>
    </row>
    <row r="24" spans="1:6" ht="15" thickBot="1" x14ac:dyDescent="0.35">
      <c r="A24" s="23"/>
      <c r="B24" s="23"/>
      <c r="C24" s="23"/>
      <c r="D24" s="23"/>
      <c r="E24" s="23"/>
      <c r="F24" s="22"/>
    </row>
    <row r="25" spans="1:6" ht="15" thickBot="1" x14ac:dyDescent="0.35">
      <c r="A25" s="23"/>
      <c r="B25" s="23"/>
      <c r="C25" s="23"/>
      <c r="D25" s="23"/>
      <c r="E25" s="23"/>
      <c r="F25" s="22"/>
    </row>
    <row r="26" spans="1:6" ht="15" thickBot="1" x14ac:dyDescent="0.35">
      <c r="A26" s="23"/>
      <c r="B26" s="23"/>
      <c r="C26" s="23"/>
      <c r="D26" s="23"/>
      <c r="E26" s="23"/>
      <c r="F26" s="22"/>
    </row>
    <row r="27" spans="1:6" ht="15" thickBot="1" x14ac:dyDescent="0.35">
      <c r="A27" s="23"/>
      <c r="B27" s="23"/>
      <c r="C27" s="23"/>
      <c r="D27" s="23"/>
      <c r="E27" s="23"/>
      <c r="F27" s="22"/>
    </row>
    <row r="28" spans="1:6" ht="15" thickBot="1" x14ac:dyDescent="0.35">
      <c r="A28" s="23"/>
      <c r="B28" s="23"/>
      <c r="C28" s="23"/>
      <c r="D28" s="23"/>
      <c r="E28" s="23"/>
      <c r="F28" s="22"/>
    </row>
    <row r="29" spans="1:6" ht="15" thickBot="1" x14ac:dyDescent="0.35">
      <c r="A29" s="23"/>
      <c r="B29" s="23"/>
      <c r="C29" s="23"/>
      <c r="D29" s="23"/>
      <c r="E29" s="23"/>
      <c r="F29" s="22"/>
    </row>
    <row r="30" spans="1:6" ht="15" thickBot="1" x14ac:dyDescent="0.35">
      <c r="A30" s="23"/>
      <c r="B30" s="23"/>
      <c r="C30" s="23"/>
      <c r="D30" s="23"/>
      <c r="E30" s="23"/>
      <c r="F30" s="22"/>
    </row>
    <row r="31" spans="1:6" ht="15" thickBot="1" x14ac:dyDescent="0.35">
      <c r="A31" s="23"/>
      <c r="B31" s="23"/>
      <c r="C31" s="23"/>
      <c r="D31" s="23"/>
      <c r="E31" s="23"/>
      <c r="F31" s="22"/>
    </row>
    <row r="32" spans="1:6" ht="15" thickBot="1" x14ac:dyDescent="0.35">
      <c r="A32" s="23"/>
      <c r="B32" s="23"/>
      <c r="C32" s="23"/>
      <c r="D32" s="23"/>
      <c r="E32" s="23"/>
      <c r="F32" s="22"/>
    </row>
    <row r="33" spans="1:6" ht="15" thickBot="1" x14ac:dyDescent="0.35">
      <c r="A33" s="23"/>
      <c r="B33" s="23"/>
      <c r="C33" s="23"/>
      <c r="D33" s="23"/>
      <c r="E33" s="23"/>
      <c r="F33" s="22"/>
    </row>
    <row r="34" spans="1:6" ht="15" thickBot="1" x14ac:dyDescent="0.35">
      <c r="A34" s="23"/>
      <c r="B34" s="23"/>
      <c r="C34" s="23"/>
      <c r="D34" s="23"/>
      <c r="E34" s="23"/>
      <c r="F34" s="22"/>
    </row>
    <row r="35" spans="1:6" ht="15" thickBot="1" x14ac:dyDescent="0.35">
      <c r="A35" s="23"/>
      <c r="B35" s="23"/>
      <c r="C35" s="23"/>
      <c r="D35" s="23"/>
      <c r="E35" s="23"/>
      <c r="F35" s="22"/>
    </row>
    <row r="36" spans="1:6" ht="15" thickBot="1" x14ac:dyDescent="0.35">
      <c r="A36" s="23"/>
      <c r="B36" s="23"/>
      <c r="C36" s="23"/>
      <c r="D36" s="23"/>
      <c r="E36" s="23"/>
      <c r="F36" s="22"/>
    </row>
    <row r="37" spans="1:6" ht="15" thickBot="1" x14ac:dyDescent="0.35">
      <c r="A37" s="23"/>
      <c r="B37" s="23"/>
      <c r="C37" s="23"/>
      <c r="D37" s="23"/>
      <c r="E37" s="23"/>
      <c r="F37" s="22"/>
    </row>
    <row r="38" spans="1:6" ht="15" thickBot="1" x14ac:dyDescent="0.35">
      <c r="A38" s="23"/>
      <c r="B38" s="23"/>
      <c r="C38" s="23"/>
      <c r="D38" s="23"/>
      <c r="E38" s="23"/>
      <c r="F38" s="22"/>
    </row>
    <row r="39" spans="1:6" ht="15" thickBot="1" x14ac:dyDescent="0.35">
      <c r="A39" s="23"/>
      <c r="B39" s="23"/>
      <c r="C39" s="23"/>
      <c r="D39" s="23"/>
      <c r="E39" s="23"/>
      <c r="F39" s="22"/>
    </row>
    <row r="40" spans="1:6" ht="15" thickBot="1" x14ac:dyDescent="0.35">
      <c r="A40" s="23"/>
      <c r="B40" s="23"/>
      <c r="C40" s="23"/>
      <c r="D40" s="23"/>
      <c r="E40" s="23"/>
      <c r="F40" s="22"/>
    </row>
    <row r="41" spans="1:6" ht="15" thickBot="1" x14ac:dyDescent="0.35">
      <c r="A41" s="23"/>
      <c r="B41" s="23"/>
      <c r="C41" s="23"/>
      <c r="D41" s="23"/>
      <c r="E41" s="23"/>
      <c r="F41" s="22"/>
    </row>
    <row r="42" spans="1:6" ht="15" thickBot="1" x14ac:dyDescent="0.35">
      <c r="A42" s="23"/>
      <c r="B42" s="23"/>
      <c r="C42" s="23"/>
      <c r="D42" s="23"/>
      <c r="E42" s="23"/>
      <c r="F42" s="22"/>
    </row>
    <row r="43" spans="1:6" ht="15" thickBot="1" x14ac:dyDescent="0.35">
      <c r="A43" s="23"/>
      <c r="B43" s="23"/>
      <c r="C43" s="23"/>
      <c r="D43" s="23"/>
      <c r="E43" s="23"/>
      <c r="F43" s="22"/>
    </row>
    <row r="44" spans="1:6" ht="12.75" customHeight="1" thickBot="1" x14ac:dyDescent="0.35">
      <c r="A44" s="23"/>
      <c r="B44" s="23"/>
      <c r="C44" s="23"/>
      <c r="D44" s="23"/>
      <c r="E44" s="23"/>
      <c r="F44" s="22"/>
    </row>
    <row r="45" spans="1:6" ht="15" thickBot="1" x14ac:dyDescent="0.35">
      <c r="A45" s="23"/>
      <c r="B45" s="23"/>
      <c r="C45" s="23"/>
      <c r="D45" s="23"/>
      <c r="E45" s="23"/>
      <c r="F45" s="22"/>
    </row>
    <row r="46" spans="1:6" ht="15" thickBot="1" x14ac:dyDescent="0.35">
      <c r="A46" s="23"/>
      <c r="B46" s="23"/>
      <c r="C46" s="23"/>
      <c r="D46" s="23"/>
      <c r="E46" s="23"/>
      <c r="F46" s="22"/>
    </row>
    <row r="47" spans="1:6" ht="15" thickBot="1" x14ac:dyDescent="0.35">
      <c r="A47" s="23"/>
      <c r="B47" s="23"/>
      <c r="C47" s="23"/>
      <c r="D47" s="23"/>
      <c r="E47" s="23"/>
      <c r="F47" s="22"/>
    </row>
    <row r="48" spans="1:6" ht="15" thickBot="1" x14ac:dyDescent="0.35">
      <c r="A48" s="23"/>
      <c r="B48" s="23"/>
      <c r="C48" s="23"/>
      <c r="D48" s="23"/>
      <c r="E48" s="23"/>
      <c r="F48" s="22"/>
    </row>
    <row r="49" spans="1:9" ht="15" customHeight="1" thickBot="1" x14ac:dyDescent="0.35">
      <c r="A49" s="23"/>
      <c r="B49" s="23"/>
      <c r="C49" s="23"/>
      <c r="D49" s="23"/>
      <c r="E49" s="23"/>
      <c r="F49" s="22"/>
    </row>
    <row r="50" spans="1:9" ht="15" customHeight="1" thickBot="1" x14ac:dyDescent="0.35">
      <c r="A50" s="23"/>
      <c r="B50" s="23"/>
      <c r="C50" s="23"/>
      <c r="D50" s="23"/>
      <c r="E50" s="33"/>
      <c r="F50" s="22"/>
      <c r="I50" s="82"/>
    </row>
    <row r="51" spans="1:9" ht="15" customHeight="1" thickBot="1" x14ac:dyDescent="0.35">
      <c r="A51" s="23"/>
      <c r="B51" s="23"/>
      <c r="C51" s="23"/>
      <c r="D51" s="23"/>
      <c r="E51" s="33"/>
      <c r="F51" s="22"/>
      <c r="I51" s="82"/>
    </row>
    <row r="52" spans="1:9" ht="15" customHeight="1" thickBot="1" x14ac:dyDescent="0.35">
      <c r="A52" s="23"/>
      <c r="B52" s="23"/>
      <c r="C52" s="23"/>
      <c r="D52" s="23"/>
      <c r="E52" s="23"/>
      <c r="F52" s="22"/>
      <c r="I52" s="82"/>
    </row>
    <row r="53" spans="1:9" ht="15" customHeight="1" thickBot="1" x14ac:dyDescent="0.35">
      <c r="A53" s="23"/>
      <c r="B53" s="23"/>
      <c r="C53" s="23"/>
      <c r="D53" s="23"/>
      <c r="E53" s="23"/>
      <c r="F53" s="35"/>
      <c r="I53" s="82"/>
    </row>
    <row r="54" spans="1:9" ht="15" customHeight="1" thickBot="1" x14ac:dyDescent="0.35">
      <c r="A54" s="23"/>
      <c r="B54" s="23"/>
      <c r="C54" s="23"/>
      <c r="D54" s="23"/>
      <c r="E54" s="23"/>
      <c r="F54" s="22"/>
      <c r="I54" s="82"/>
    </row>
    <row r="55" spans="1:9" ht="15" customHeight="1" thickBot="1" x14ac:dyDescent="0.35">
      <c r="A55" s="23"/>
      <c r="B55" s="23"/>
      <c r="C55" s="23"/>
      <c r="D55" s="23"/>
      <c r="E55" s="23"/>
      <c r="F55" s="22"/>
      <c r="I55" s="82"/>
    </row>
    <row r="56" spans="1:9" ht="15" customHeight="1" thickBot="1" x14ac:dyDescent="0.35">
      <c r="A56" s="23"/>
      <c r="B56" s="23"/>
      <c r="C56" s="23"/>
      <c r="D56" s="23"/>
      <c r="E56" s="23"/>
      <c r="F56" s="22"/>
      <c r="I56" s="82"/>
    </row>
    <row r="57" spans="1:9" ht="15" customHeight="1" thickBot="1" x14ac:dyDescent="0.35">
      <c r="A57" s="23"/>
      <c r="B57" s="23"/>
      <c r="C57" s="23"/>
      <c r="D57" s="23"/>
      <c r="E57" s="23"/>
      <c r="F57" s="22"/>
      <c r="I57" s="82"/>
    </row>
    <row r="58" spans="1:9" ht="15" customHeight="1" thickBot="1" x14ac:dyDescent="0.35">
      <c r="A58" s="23"/>
      <c r="B58" s="23"/>
      <c r="C58" s="23"/>
      <c r="D58" s="33"/>
      <c r="E58" s="23"/>
      <c r="F58" s="36"/>
      <c r="I58" s="82"/>
    </row>
    <row r="59" spans="1:9" ht="15" customHeight="1" thickBot="1" x14ac:dyDescent="0.35">
      <c r="A59" s="23"/>
      <c r="B59" s="23"/>
      <c r="C59" s="23"/>
      <c r="D59" s="23"/>
      <c r="E59" s="23"/>
      <c r="F59" s="22"/>
      <c r="I59" s="82"/>
    </row>
    <row r="60" spans="1:9" ht="15" customHeight="1" thickBot="1" x14ac:dyDescent="0.35">
      <c r="A60" s="23"/>
      <c r="B60" s="23"/>
      <c r="C60" s="23"/>
      <c r="D60" s="23"/>
      <c r="E60" s="23"/>
      <c r="F60" s="22"/>
      <c r="I60" s="82"/>
    </row>
    <row r="61" spans="1:9" ht="15" customHeight="1" thickBot="1" x14ac:dyDescent="0.35">
      <c r="A61" s="23"/>
      <c r="B61" s="23"/>
      <c r="C61" s="23"/>
      <c r="D61" s="23"/>
      <c r="E61" s="23"/>
      <c r="F61" s="22"/>
      <c r="I61" s="82"/>
    </row>
    <row r="62" spans="1:9" ht="15" customHeight="1" thickBot="1" x14ac:dyDescent="0.35">
      <c r="A62" s="23"/>
      <c r="B62" s="23"/>
      <c r="C62" s="23"/>
      <c r="D62" s="33"/>
      <c r="E62" s="23"/>
      <c r="F62" s="22"/>
      <c r="I62" s="82"/>
    </row>
    <row r="63" spans="1:9" ht="15" customHeight="1" thickBot="1" x14ac:dyDescent="0.35">
      <c r="A63" s="23"/>
      <c r="B63" s="23"/>
      <c r="C63" s="23"/>
      <c r="D63" s="23"/>
      <c r="E63" s="23"/>
      <c r="F63" s="35"/>
      <c r="I63" s="82"/>
    </row>
    <row r="64" spans="1:9" ht="15" customHeight="1" thickBot="1" x14ac:dyDescent="0.35">
      <c r="A64" s="23"/>
      <c r="B64" s="23"/>
      <c r="C64" s="23"/>
      <c r="D64" s="23"/>
      <c r="E64" s="23"/>
      <c r="F64" s="22"/>
      <c r="I64" s="82"/>
    </row>
    <row r="65" spans="1:9" ht="15" customHeight="1" thickBot="1" x14ac:dyDescent="0.35">
      <c r="A65" s="23"/>
      <c r="B65" s="23"/>
      <c r="C65" s="23"/>
      <c r="D65" s="23"/>
      <c r="E65" s="34"/>
      <c r="F65" s="35"/>
      <c r="I65" s="82"/>
    </row>
    <row r="66" spans="1:9" ht="15" customHeight="1" thickBot="1" x14ac:dyDescent="0.35">
      <c r="A66" s="23"/>
      <c r="B66" s="23"/>
      <c r="C66" s="23"/>
      <c r="D66" s="23"/>
      <c r="E66" s="23"/>
      <c r="F66" s="22"/>
      <c r="I66" s="82"/>
    </row>
    <row r="67" spans="1:9" ht="15" customHeight="1" thickBot="1" x14ac:dyDescent="0.35">
      <c r="A67" s="23"/>
      <c r="B67" s="23"/>
      <c r="C67" s="23"/>
      <c r="D67" s="23"/>
      <c r="E67" s="23"/>
      <c r="F67" s="22"/>
      <c r="I67" s="82"/>
    </row>
    <row r="68" spans="1:9" ht="15" customHeight="1" thickBot="1" x14ac:dyDescent="0.35">
      <c r="A68" s="23"/>
      <c r="B68" s="23"/>
      <c r="C68" s="23"/>
      <c r="D68" s="23"/>
      <c r="E68" s="23"/>
      <c r="F68" s="22"/>
      <c r="I68" s="82"/>
    </row>
    <row r="69" spans="1:9" ht="15" customHeight="1" thickBot="1" x14ac:dyDescent="0.35">
      <c r="A69" s="23"/>
      <c r="B69" s="23"/>
      <c r="C69" s="23"/>
      <c r="D69" s="23"/>
      <c r="E69" s="23"/>
      <c r="F69" s="22"/>
      <c r="I69" s="82"/>
    </row>
    <row r="70" spans="1:9" ht="15" customHeight="1" thickBot="1" x14ac:dyDescent="0.35">
      <c r="A70" s="23"/>
      <c r="B70" s="23"/>
      <c r="C70" s="23"/>
      <c r="D70" s="23"/>
      <c r="E70" s="33"/>
      <c r="F70" s="22"/>
      <c r="I70" s="82"/>
    </row>
    <row r="71" spans="1:9" ht="15" customHeight="1" thickBot="1" x14ac:dyDescent="0.35">
      <c r="A71" s="23"/>
      <c r="B71" s="23"/>
      <c r="C71" s="23"/>
      <c r="D71" s="23"/>
      <c r="E71" s="23"/>
      <c r="F71" s="22"/>
      <c r="I71" s="82"/>
    </row>
    <row r="72" spans="1:9" ht="15" customHeight="1" thickBot="1" x14ac:dyDescent="0.35">
      <c r="A72" s="23"/>
      <c r="B72" s="23"/>
      <c r="C72" s="23"/>
      <c r="D72" s="33"/>
      <c r="E72" s="23"/>
      <c r="F72" s="36"/>
      <c r="I72" s="82"/>
    </row>
    <row r="73" spans="1:9" ht="15" customHeight="1" thickBot="1" x14ac:dyDescent="0.35">
      <c r="A73" s="23"/>
      <c r="B73" s="23"/>
      <c r="C73" s="23"/>
      <c r="D73" s="23"/>
      <c r="E73" s="23"/>
      <c r="F73" s="22"/>
      <c r="I73" s="82"/>
    </row>
    <row r="74" spans="1:9" ht="15" customHeight="1" thickBot="1" x14ac:dyDescent="0.35">
      <c r="A74" s="23"/>
      <c r="B74" s="23"/>
      <c r="C74" s="23"/>
      <c r="D74" s="23"/>
      <c r="E74" s="23"/>
      <c r="F74" s="22"/>
      <c r="I74" s="82"/>
    </row>
    <row r="75" spans="1:9" ht="15" customHeight="1" thickBot="1" x14ac:dyDescent="0.35">
      <c r="A75" s="23"/>
      <c r="B75" s="23"/>
      <c r="C75" s="23"/>
      <c r="D75" s="23"/>
      <c r="E75" s="47"/>
    </row>
    <row r="76" spans="1:9" ht="15" customHeight="1" thickBot="1" x14ac:dyDescent="0.35">
      <c r="A76" s="23"/>
      <c r="B76" s="23"/>
      <c r="C76" s="23"/>
      <c r="D76" s="23"/>
      <c r="E76" s="48"/>
    </row>
    <row r="77" spans="1:9" ht="15" customHeight="1" thickBot="1" x14ac:dyDescent="0.35">
      <c r="A77" s="23"/>
      <c r="B77" s="23"/>
      <c r="C77" s="23"/>
      <c r="D77" s="23"/>
      <c r="E77" s="48"/>
    </row>
    <row r="78" spans="1:9" ht="15" customHeight="1" thickBot="1" x14ac:dyDescent="0.35">
      <c r="A78" s="23"/>
      <c r="B78" s="23"/>
      <c r="C78" s="23"/>
      <c r="D78" s="23"/>
      <c r="E78" s="48"/>
    </row>
    <row r="79" spans="1:9" ht="15" customHeight="1" thickBot="1" x14ac:dyDescent="0.35">
      <c r="A79" s="23"/>
      <c r="B79" s="23"/>
      <c r="C79" s="23"/>
      <c r="D79" s="23"/>
      <c r="E79" s="48"/>
    </row>
    <row r="80" spans="1:9" ht="15" customHeight="1" thickBot="1" x14ac:dyDescent="0.35">
      <c r="A80" s="23"/>
      <c r="B80" s="23"/>
      <c r="C80" s="23"/>
      <c r="D80" s="23"/>
      <c r="E80" s="48"/>
    </row>
    <row r="81" spans="1:5" ht="15" customHeight="1" thickBot="1" x14ac:dyDescent="0.35">
      <c r="A81" s="23"/>
      <c r="B81" s="23"/>
      <c r="C81" s="23"/>
      <c r="D81" s="23"/>
      <c r="E81" s="48"/>
    </row>
    <row r="82" spans="1:5" ht="15" customHeight="1" thickBot="1" x14ac:dyDescent="0.35">
      <c r="A82" s="23"/>
      <c r="B82" s="23"/>
      <c r="C82" s="23"/>
      <c r="D82" s="23"/>
      <c r="E82" s="48"/>
    </row>
    <row r="83" spans="1:5" ht="15" customHeight="1" thickBot="1" x14ac:dyDescent="0.35">
      <c r="A83" s="23"/>
      <c r="B83" s="23"/>
      <c r="C83" s="23"/>
      <c r="D83" s="23"/>
      <c r="E83" s="48"/>
    </row>
    <row r="84" spans="1:5" ht="15" customHeight="1" thickBot="1" x14ac:dyDescent="0.35">
      <c r="A84" s="23"/>
      <c r="B84" s="23"/>
      <c r="C84" s="23"/>
      <c r="D84" s="23"/>
      <c r="E84" s="48"/>
    </row>
    <row r="85" spans="1:5" ht="15" customHeight="1" thickBot="1" x14ac:dyDescent="0.35">
      <c r="A85" s="23"/>
      <c r="B85" s="23"/>
      <c r="C85" s="23"/>
      <c r="D85" s="23"/>
      <c r="E85" s="48"/>
    </row>
    <row r="86" spans="1:5" ht="15" customHeight="1" thickBot="1" x14ac:dyDescent="0.35">
      <c r="A86" s="23"/>
      <c r="B86" s="23"/>
      <c r="C86" s="23"/>
      <c r="D86" s="23"/>
      <c r="E86" s="48"/>
    </row>
    <row r="87" spans="1:5" ht="15" customHeight="1" thickBot="1" x14ac:dyDescent="0.35">
      <c r="A87" s="23"/>
      <c r="B87" s="23"/>
      <c r="C87" s="23"/>
      <c r="D87" s="23"/>
      <c r="E87" s="48"/>
    </row>
    <row r="88" spans="1:5" ht="15" customHeight="1" thickBot="1" x14ac:dyDescent="0.35">
      <c r="A88" s="23"/>
      <c r="B88" s="23"/>
      <c r="C88" s="23"/>
      <c r="D88" s="23"/>
      <c r="E88" s="48"/>
    </row>
    <row r="89" spans="1:5" ht="15" customHeight="1" thickBot="1" x14ac:dyDescent="0.35">
      <c r="A89" s="23"/>
      <c r="B89" s="23"/>
      <c r="C89" s="23"/>
      <c r="D89" s="23"/>
      <c r="E89" s="48"/>
    </row>
    <row r="90" spans="1:5" ht="15" customHeight="1" thickBot="1" x14ac:dyDescent="0.35">
      <c r="A90" s="23"/>
      <c r="B90" s="23"/>
      <c r="C90" s="23"/>
      <c r="D90" s="23"/>
      <c r="E90" s="48"/>
    </row>
    <row r="91" spans="1:5" ht="15" customHeight="1" thickBot="1" x14ac:dyDescent="0.35">
      <c r="A91" s="23"/>
      <c r="B91" s="23"/>
      <c r="C91" s="23"/>
      <c r="D91" s="23"/>
      <c r="E91" s="48"/>
    </row>
    <row r="92" spans="1:5" ht="15" customHeight="1" thickBot="1" x14ac:dyDescent="0.35">
      <c r="A92" s="23"/>
      <c r="B92" s="23"/>
      <c r="C92" s="23"/>
      <c r="D92" s="23"/>
      <c r="E92" s="48"/>
    </row>
    <row r="93" spans="1:5" ht="15" customHeight="1" thickBot="1" x14ac:dyDescent="0.35">
      <c r="A93" s="23"/>
      <c r="B93" s="23"/>
      <c r="C93" s="23"/>
      <c r="D93" s="23"/>
      <c r="E93" s="48"/>
    </row>
    <row r="94" spans="1:5" ht="15" customHeight="1" thickBot="1" x14ac:dyDescent="0.35">
      <c r="A94" s="23"/>
      <c r="B94" s="23"/>
      <c r="C94" s="23"/>
      <c r="D94" s="23"/>
      <c r="E94" s="48"/>
    </row>
    <row r="95" spans="1:5" ht="15" customHeight="1" thickBot="1" x14ac:dyDescent="0.35">
      <c r="A95" s="23"/>
      <c r="B95" s="23"/>
      <c r="C95" s="23"/>
      <c r="D95" s="23"/>
      <c r="E95" s="48"/>
    </row>
    <row r="96" spans="1:5" ht="15" customHeight="1" thickBot="1" x14ac:dyDescent="0.35">
      <c r="A96" s="23"/>
      <c r="B96" s="23"/>
      <c r="C96" s="23"/>
      <c r="D96" s="23"/>
      <c r="E96" s="48"/>
    </row>
    <row r="97" spans="1:5" ht="15" customHeight="1" thickBot="1" x14ac:dyDescent="0.35">
      <c r="A97" s="23"/>
      <c r="B97" s="23"/>
      <c r="C97" s="23"/>
      <c r="D97" s="23"/>
      <c r="E97" s="48"/>
    </row>
    <row r="98" spans="1:5" ht="15" customHeight="1" thickBot="1" x14ac:dyDescent="0.35">
      <c r="A98" s="23"/>
      <c r="B98" s="23"/>
      <c r="C98" s="23"/>
      <c r="D98" s="23"/>
      <c r="E98" s="48"/>
    </row>
    <row r="99" spans="1:5" ht="15" customHeight="1" thickBot="1" x14ac:dyDescent="0.35">
      <c r="A99" s="23"/>
      <c r="B99" s="37"/>
      <c r="C99" s="37"/>
      <c r="D99" s="37"/>
      <c r="E99" s="49"/>
    </row>
  </sheetData>
  <conditionalFormatting sqref="G2:G83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{6EA5EDBE-0616-4533-A4DE-75DC6509A9B8}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A5EDBE-0616-4533-A4DE-75DC6509A9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G2:G838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15E37-9B81-4860-858E-DDE95B9DEC14}">
  <sheetPr codeName="Sheet4"/>
  <dimension ref="B2:E47"/>
  <sheetViews>
    <sheetView workbookViewId="0">
      <selection activeCell="E26" sqref="E26"/>
    </sheetView>
  </sheetViews>
  <sheetFormatPr defaultRowHeight="14.4" x14ac:dyDescent="0.3"/>
  <sheetData>
    <row r="2" spans="2:5" ht="18" x14ac:dyDescent="0.35">
      <c r="B2" s="16" t="s">
        <v>367</v>
      </c>
      <c r="C2" s="17"/>
      <c r="D2" s="18"/>
      <c r="E2" s="18"/>
    </row>
    <row r="3" spans="2:5" x14ac:dyDescent="0.3">
      <c r="B3" s="15" t="s">
        <v>384</v>
      </c>
      <c r="C3" s="17" t="e">
        <f>SUM('Results - ss'!#REF!)</f>
        <v>#REF!</v>
      </c>
      <c r="D3" s="18">
        <v>0</v>
      </c>
      <c r="E3" s="18">
        <v>0</v>
      </c>
    </row>
    <row r="4" spans="2:5" x14ac:dyDescent="0.3">
      <c r="B4" s="15" t="s">
        <v>385</v>
      </c>
      <c r="C4" s="17" t="e">
        <f>SUM('Results - ss'!#REF!)</f>
        <v>#REF!</v>
      </c>
      <c r="D4" s="18">
        <v>0</v>
      </c>
      <c r="E4" s="18">
        <v>0</v>
      </c>
    </row>
    <row r="5" spans="2:5" x14ac:dyDescent="0.3">
      <c r="B5" s="15" t="s">
        <v>386</v>
      </c>
      <c r="C5" s="17" t="e">
        <f>SUM('Results - ss'!#REF!)</f>
        <v>#REF!</v>
      </c>
      <c r="D5" s="18">
        <v>0</v>
      </c>
      <c r="E5" s="19">
        <v>15</v>
      </c>
    </row>
    <row r="6" spans="2:5" ht="28.8" x14ac:dyDescent="0.3">
      <c r="B6" s="15" t="s">
        <v>387</v>
      </c>
      <c r="C6" s="17" t="e">
        <f>SUM('Results - ss'!#REF!)</f>
        <v>#REF!</v>
      </c>
      <c r="D6" s="18">
        <v>2</v>
      </c>
      <c r="E6" s="18" t="s">
        <v>388</v>
      </c>
    </row>
    <row r="7" spans="2:5" x14ac:dyDescent="0.3">
      <c r="B7" s="15" t="s">
        <v>389</v>
      </c>
      <c r="C7" s="17" t="e">
        <f>SUM('Results - ss'!#REF!)</f>
        <v>#REF!</v>
      </c>
      <c r="D7" s="20">
        <v>18</v>
      </c>
      <c r="E7" s="18" t="s">
        <v>390</v>
      </c>
    </row>
    <row r="8" spans="2:5" x14ac:dyDescent="0.3">
      <c r="B8" s="15" t="s">
        <v>391</v>
      </c>
      <c r="C8" s="17" t="e">
        <f>SUM('Results - ss'!#REF!)</f>
        <v>#REF!</v>
      </c>
      <c r="D8" s="18">
        <v>1</v>
      </c>
      <c r="E8" s="18">
        <v>0</v>
      </c>
    </row>
    <row r="9" spans="2:5" x14ac:dyDescent="0.3">
      <c r="B9" s="15" t="s">
        <v>392</v>
      </c>
      <c r="C9" s="17" t="e">
        <f>SUM('Results - ss'!#REF!)</f>
        <v>#REF!</v>
      </c>
      <c r="D9" s="18">
        <v>10</v>
      </c>
      <c r="E9" s="18">
        <v>8</v>
      </c>
    </row>
    <row r="10" spans="2:5" x14ac:dyDescent="0.3">
      <c r="B10" t="s">
        <v>393</v>
      </c>
      <c r="C10" s="5" t="e">
        <f>SUM('Results - ss'!#REF!)</f>
        <v>#REF!</v>
      </c>
      <c r="D10" s="9">
        <v>8</v>
      </c>
      <c r="E10" s="9">
        <v>0</v>
      </c>
    </row>
    <row r="11" spans="2:5" x14ac:dyDescent="0.3">
      <c r="B11" t="s">
        <v>394</v>
      </c>
      <c r="C11" s="7" t="e">
        <f>SUM('Results - ss'!#REF!)</f>
        <v>#REF!</v>
      </c>
      <c r="D11" s="10">
        <v>25</v>
      </c>
      <c r="E11" s="9">
        <v>0</v>
      </c>
    </row>
    <row r="12" spans="2:5" x14ac:dyDescent="0.3">
      <c r="B12" t="s">
        <v>395</v>
      </c>
      <c r="C12" s="5" t="e">
        <f>SUM('Results - ss'!#REF!)</f>
        <v>#REF!</v>
      </c>
      <c r="D12" s="9">
        <v>0</v>
      </c>
      <c r="E12" s="9">
        <v>4</v>
      </c>
    </row>
    <row r="13" spans="2:5" x14ac:dyDescent="0.3">
      <c r="B13" t="s">
        <v>396</v>
      </c>
      <c r="C13" s="5" t="e">
        <f>SUM('Results - ss'!#REF!)</f>
        <v>#REF!</v>
      </c>
      <c r="D13" s="9">
        <v>12</v>
      </c>
      <c r="E13" s="9" t="s">
        <v>397</v>
      </c>
    </row>
    <row r="14" spans="2:5" x14ac:dyDescent="0.3">
      <c r="B14" t="s">
        <v>398</v>
      </c>
      <c r="C14" s="5" t="e">
        <f>SUM('Results - ss'!#REF!)</f>
        <v>#REF!</v>
      </c>
      <c r="D14" s="9">
        <v>0</v>
      </c>
      <c r="E14" s="9">
        <v>1</v>
      </c>
    </row>
    <row r="15" spans="2:5" x14ac:dyDescent="0.3">
      <c r="B15" t="s">
        <v>399</v>
      </c>
      <c r="C15" s="5" t="e">
        <f>SUM('Results - ss'!#REF!)</f>
        <v>#REF!</v>
      </c>
      <c r="D15" s="9">
        <v>0.5</v>
      </c>
      <c r="E15" s="9">
        <v>12</v>
      </c>
    </row>
    <row r="16" spans="2:5" x14ac:dyDescent="0.3">
      <c r="B16" t="s">
        <v>400</v>
      </c>
      <c r="C16" s="5" t="e">
        <f>SUM('Results - ss'!#REF!)</f>
        <v>#REF!</v>
      </c>
      <c r="D16" s="9">
        <v>0</v>
      </c>
      <c r="E16" s="9">
        <v>0</v>
      </c>
    </row>
    <row r="17" spans="2:5" x14ac:dyDescent="0.3">
      <c r="B17" t="s">
        <v>401</v>
      </c>
      <c r="C17" s="5" t="e">
        <f>SUM('Results - ss'!#REF!)</f>
        <v>#REF!</v>
      </c>
      <c r="D17" s="9">
        <v>4</v>
      </c>
      <c r="E17" s="9">
        <v>10</v>
      </c>
    </row>
    <row r="18" spans="2:5" x14ac:dyDescent="0.3">
      <c r="B18" t="s">
        <v>402</v>
      </c>
      <c r="C18" s="5" t="e">
        <f>SUM('Results - ss'!#REF!)</f>
        <v>#REF!</v>
      </c>
      <c r="D18" s="9">
        <v>0</v>
      </c>
      <c r="E18" s="9">
        <v>0</v>
      </c>
    </row>
    <row r="19" spans="2:5" x14ac:dyDescent="0.3">
      <c r="B19" t="s">
        <v>403</v>
      </c>
      <c r="C19" s="5" t="e">
        <f>SUM('Results - ss'!#REF!)</f>
        <v>#REF!</v>
      </c>
      <c r="D19" s="9">
        <v>0</v>
      </c>
      <c r="E19" s="9">
        <v>0</v>
      </c>
    </row>
    <row r="20" spans="2:5" x14ac:dyDescent="0.3">
      <c r="B20" t="s">
        <v>404</v>
      </c>
      <c r="C20" s="6" t="e">
        <f>SUM('Results - ss'!#REF!)</f>
        <v>#REF!</v>
      </c>
      <c r="D20" s="12">
        <v>15</v>
      </c>
      <c r="E20" s="10">
        <v>25</v>
      </c>
    </row>
    <row r="21" spans="2:5" x14ac:dyDescent="0.3">
      <c r="B21" t="s">
        <v>405</v>
      </c>
      <c r="C21" s="5" t="e">
        <f>SUM('Results - ss'!#REF!)</f>
        <v>#REF!</v>
      </c>
      <c r="D21" s="9">
        <v>0</v>
      </c>
      <c r="E21" s="9">
        <v>0</v>
      </c>
    </row>
    <row r="22" spans="2:5" x14ac:dyDescent="0.3">
      <c r="B22" t="s">
        <v>406</v>
      </c>
      <c r="C22" s="8" t="e">
        <f>SUM('Results - ss'!#REF!)</f>
        <v>#REF!</v>
      </c>
      <c r="D22" s="9">
        <v>6</v>
      </c>
      <c r="E22" s="11">
        <v>18</v>
      </c>
    </row>
    <row r="23" spans="2:5" x14ac:dyDescent="0.3">
      <c r="C23" s="5"/>
      <c r="D23" s="9"/>
      <c r="E23" s="9"/>
    </row>
    <row r="24" spans="2:5" ht="18" x14ac:dyDescent="0.35">
      <c r="B24" s="1" t="s">
        <v>407</v>
      </c>
      <c r="C24" s="5"/>
      <c r="D24" s="9"/>
      <c r="E24" s="9"/>
    </row>
    <row r="25" spans="2:5" x14ac:dyDescent="0.3">
      <c r="B25" t="s">
        <v>384</v>
      </c>
      <c r="C25" s="5"/>
      <c r="D25" s="9"/>
      <c r="E25" s="9" t="s">
        <v>408</v>
      </c>
    </row>
    <row r="26" spans="2:5" x14ac:dyDescent="0.3">
      <c r="B26" t="s">
        <v>385</v>
      </c>
      <c r="C26" s="5"/>
      <c r="D26" s="9"/>
      <c r="E26" s="9" t="s">
        <v>409</v>
      </c>
    </row>
    <row r="27" spans="2:5" x14ac:dyDescent="0.3">
      <c r="B27" t="s">
        <v>386</v>
      </c>
      <c r="C27" s="5"/>
      <c r="D27" s="9"/>
      <c r="E27" s="9" t="s">
        <v>410</v>
      </c>
    </row>
    <row r="28" spans="2:5" x14ac:dyDescent="0.3">
      <c r="B28" t="s">
        <v>387</v>
      </c>
      <c r="C28" s="5"/>
      <c r="D28" s="9"/>
      <c r="E28" s="9" t="s">
        <v>411</v>
      </c>
    </row>
    <row r="29" spans="2:5" x14ac:dyDescent="0.3">
      <c r="B29" t="s">
        <v>389</v>
      </c>
      <c r="C29" s="5"/>
      <c r="D29" s="9"/>
      <c r="E29" s="9" t="s">
        <v>412</v>
      </c>
    </row>
    <row r="30" spans="2:5" x14ac:dyDescent="0.3">
      <c r="B30" t="s">
        <v>391</v>
      </c>
      <c r="C30" s="5"/>
      <c r="D30" s="9"/>
      <c r="E30" s="9" t="s">
        <v>413</v>
      </c>
    </row>
    <row r="31" spans="2:5" x14ac:dyDescent="0.3">
      <c r="B31" t="s">
        <v>392</v>
      </c>
      <c r="C31" s="5"/>
      <c r="D31" s="9"/>
      <c r="E31" s="9" t="s">
        <v>414</v>
      </c>
    </row>
    <row r="32" spans="2:5" x14ac:dyDescent="0.3">
      <c r="B32" t="s">
        <v>393</v>
      </c>
      <c r="C32" s="5"/>
      <c r="D32" s="9"/>
      <c r="E32" s="9" t="s">
        <v>415</v>
      </c>
    </row>
    <row r="33" spans="2:5" x14ac:dyDescent="0.3">
      <c r="B33" t="s">
        <v>394</v>
      </c>
      <c r="C33" s="5"/>
      <c r="D33" s="9"/>
      <c r="E33" s="9" t="s">
        <v>416</v>
      </c>
    </row>
    <row r="34" spans="2:5" x14ac:dyDescent="0.3">
      <c r="B34" t="s">
        <v>395</v>
      </c>
      <c r="C34" s="5"/>
      <c r="D34" s="9"/>
      <c r="E34" s="9" t="s">
        <v>417</v>
      </c>
    </row>
    <row r="35" spans="2:5" x14ac:dyDescent="0.3">
      <c r="B35" t="s">
        <v>396</v>
      </c>
      <c r="C35" s="5"/>
      <c r="D35" s="9"/>
      <c r="E35" s="9" t="s">
        <v>418</v>
      </c>
    </row>
    <row r="36" spans="2:5" x14ac:dyDescent="0.3">
      <c r="B36" t="s">
        <v>398</v>
      </c>
      <c r="C36" s="5"/>
      <c r="D36" s="9"/>
      <c r="E36" s="9" t="s">
        <v>419</v>
      </c>
    </row>
    <row r="37" spans="2:5" x14ac:dyDescent="0.3">
      <c r="B37" t="s">
        <v>399</v>
      </c>
      <c r="C37" s="5"/>
      <c r="D37" s="9"/>
      <c r="E37" s="9" t="s">
        <v>420</v>
      </c>
    </row>
    <row r="38" spans="2:5" x14ac:dyDescent="0.3">
      <c r="B38" t="s">
        <v>400</v>
      </c>
      <c r="C38" s="5"/>
      <c r="D38" s="9"/>
      <c r="E38" s="9" t="s">
        <v>421</v>
      </c>
    </row>
    <row r="39" spans="2:5" x14ac:dyDescent="0.3">
      <c r="B39" t="s">
        <v>401</v>
      </c>
      <c r="C39" s="5"/>
      <c r="D39" s="9"/>
      <c r="E39" s="9" t="s">
        <v>422</v>
      </c>
    </row>
    <row r="40" spans="2:5" x14ac:dyDescent="0.3">
      <c r="B40" t="s">
        <v>402</v>
      </c>
      <c r="C40" s="5"/>
      <c r="D40" s="9"/>
      <c r="E40" s="9" t="s">
        <v>423</v>
      </c>
    </row>
    <row r="41" spans="2:5" x14ac:dyDescent="0.3">
      <c r="B41" t="s">
        <v>403</v>
      </c>
      <c r="C41" s="5"/>
      <c r="D41" s="9"/>
      <c r="E41" s="9" t="s">
        <v>424</v>
      </c>
    </row>
    <row r="42" spans="2:5" x14ac:dyDescent="0.3">
      <c r="B42" t="s">
        <v>404</v>
      </c>
      <c r="C42" s="5"/>
      <c r="D42" s="9"/>
      <c r="E42" s="9" t="s">
        <v>425</v>
      </c>
    </row>
    <row r="43" spans="2:5" x14ac:dyDescent="0.3">
      <c r="B43" t="s">
        <v>405</v>
      </c>
      <c r="C43" s="5"/>
      <c r="D43" s="9"/>
      <c r="E43" s="9" t="s">
        <v>426</v>
      </c>
    </row>
    <row r="44" spans="2:5" x14ac:dyDescent="0.3">
      <c r="B44" t="s">
        <v>406</v>
      </c>
      <c r="C44" s="5"/>
      <c r="D44" s="9"/>
      <c r="E44" s="9" t="s">
        <v>427</v>
      </c>
    </row>
    <row r="45" spans="2:5" x14ac:dyDescent="0.3">
      <c r="B45" s="3"/>
      <c r="E45" s="3"/>
    </row>
    <row r="46" spans="2:5" x14ac:dyDescent="0.3">
      <c r="B46" s="3"/>
      <c r="E46" s="3"/>
    </row>
    <row r="47" spans="2:5" x14ac:dyDescent="0.3">
      <c r="B47" s="3"/>
      <c r="E47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40D16C-80B2-4AAF-9C5C-80EF7CF9B9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Instructions</vt:lpstr>
      <vt:lpstr>Sheet1</vt:lpstr>
      <vt:lpstr>Google Forms</vt:lpstr>
      <vt:lpstr>Race Results</vt:lpstr>
      <vt:lpstr>Driver Stats</vt:lpstr>
      <vt:lpstr>Snapshot</vt:lpstr>
      <vt:lpstr>DriverNameMapping</vt:lpstr>
      <vt:lpstr>Results (2)</vt:lpstr>
      <vt:lpstr>Results - ss</vt:lpstr>
      <vt:lpstr>Results</vt:lpstr>
      <vt:lpstr>Todo</vt:lpstr>
      <vt:lpstr>Stats</vt:lpstr>
      <vt:lpstr>Guesses</vt:lpstr>
      <vt:lpstr>SS</vt:lpstr>
      <vt:lpstr>'Results (2)'!max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Bell</dc:creator>
  <cp:keywords/>
  <dc:description/>
  <cp:lastModifiedBy>Frank Kusel</cp:lastModifiedBy>
  <cp:revision/>
  <dcterms:created xsi:type="dcterms:W3CDTF">2023-03-19T18:02:24Z</dcterms:created>
  <dcterms:modified xsi:type="dcterms:W3CDTF">2024-02-11T12:11:51Z</dcterms:modified>
  <cp:category/>
  <cp:contentStatus/>
</cp:coreProperties>
</file>